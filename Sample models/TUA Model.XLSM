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leja\AppData\Local\Research\ModelPublishing\SubmittedModels\"/>
    </mc:Choice>
  </mc:AlternateContent>
  <xr:revisionPtr revIDLastSave="0" documentId="8_{D8630954-99BD-48E7-97AD-1D778E00CA49}" xr6:coauthVersionLast="47" xr6:coauthVersionMax="47" xr10:uidLastSave="{00000000-0000-0000-0000-000000000000}"/>
  <bookViews>
    <workbookView xWindow="30612" yWindow="-108" windowWidth="30936" windowHeight="16776" tabRatio="872" xr2:uid="{00000000-000D-0000-FFFF-FFFF00000000}"/>
  </bookViews>
  <sheets>
    <sheet name="CircularReferenceAlert" sheetId="101" r:id="rId1"/>
    <sheet name="ImportantDisclosures" sheetId="98" r:id="rId2"/>
    <sheet name="1.Assumptions" sheetId="51" r:id="rId3"/>
    <sheet name="2. Income" sheetId="56" r:id="rId4"/>
    <sheet name="3. Cashflow" sheetId="6" r:id="rId5"/>
    <sheet name="4. Balance Sheet" sheetId="4" r:id="rId6"/>
    <sheet name="Financial Summary" sheetId="23" r:id="rId7"/>
    <sheet name="IndexInformation" sheetId="99" r:id="rId8"/>
    <sheet name="ModPubIndex" sheetId="100" r:id="rId9"/>
  </sheets>
  <externalReferences>
    <externalReference r:id="rId10"/>
    <externalReference r:id="rId11"/>
  </externalReferences>
  <definedNames>
    <definedName name="_Order1">255</definedName>
    <definedName name="adsfdsaf" localSheetId="3">'2. Income'!$B$4:$H$47</definedName>
    <definedName name="africa">0</definedName>
    <definedName name="africaCountries">#REF!</definedName>
    <definedName name="allRegions">#REF!</definedName>
    <definedName name="americaRegion">#REF!</definedName>
    <definedName name="americas">0</definedName>
    <definedName name="americasStates">#REF!</definedName>
    <definedName name="AppVersion">"GEG-1.0"</definedName>
    <definedName name="asiaPacific">1</definedName>
    <definedName name="asiaPacificExJapan">1</definedName>
    <definedName name="asiaPacificExJapanCountries">#REF!</definedName>
    <definedName name="asiaPacificRegion">#REF!</definedName>
    <definedName name="asiaPacificStates">#REF!</definedName>
    <definedName name="australasia">0</definedName>
    <definedName name="BRICS">0</definedName>
    <definedName name="ccc" localSheetId="3">'2. Income'!ccc</definedName>
    <definedName name="ccc" localSheetId="4">'3. Cashflow'!ccc</definedName>
    <definedName name="ccc" localSheetId="6">'Financial Summary'!ccc</definedName>
    <definedName name="ccc">'2. Income'!ccc</definedName>
    <definedName name="centralEasternEurope">0</definedName>
    <definedName name="centralEasternEuropeCountries">#REF!</definedName>
    <definedName name="chart_1">"Chart 1"</definedName>
    <definedName name="chart_2">"Chart 2"</definedName>
    <definedName name="china">0</definedName>
    <definedName name="Choices_Wrapper" localSheetId="3">'2. Income'!Choices_Wrapper</definedName>
    <definedName name="Choices_Wrapper" localSheetId="4">'3. Cashflow'!Choices_Wrapper</definedName>
    <definedName name="Choices_Wrapper" localSheetId="6">'Financial Summary'!Choices_Wrapper</definedName>
    <definedName name="Choices_Wrapper">'2. Income'!Choices_Wrapper</definedName>
    <definedName name="consumerDemandExposure">#REF!</definedName>
    <definedName name="consumersExposure">1</definedName>
    <definedName name="countryList">"Country Mapping"</definedName>
    <definedName name="DB">"WIREAUPROD"</definedName>
    <definedName name="developedEuropeExUK">0</definedName>
    <definedName name="developedEuropeExUKCountries">#REF!</definedName>
    <definedName name="DEVELOPMENT">5</definedName>
    <definedName name="dfgdf">'Financial Summary'!$B$5:$N$70</definedName>
    <definedName name="dfsadf">'Financial Summary'!$B$5:$N$73</definedName>
    <definedName name="domesticAndForeignExposure">#REF!</definedName>
    <definedName name="domesticCostExposure">#REF!</definedName>
    <definedName name="dsafdssdadsfdsf">'4. Balance Sheet'!$B$5:$H$44</definedName>
    <definedName name="dsfas">'Financial Summary'!$B$5:$N$69</definedName>
    <definedName name="dsfgdag">#REF!</definedName>
    <definedName name="dsfsa">'3. Cashflow'!$B$5:$I$42</definedName>
    <definedName name="dsfsadgfas">'3. Cashflow'!$B$5:$I$43</definedName>
    <definedName name="dsfsdaf">'2. Income'!$B$3:$H$48</definedName>
    <definedName name="EEMEA">0</definedName>
    <definedName name="endDemandExposure">#REF!</definedName>
    <definedName name="EssAliasTable">"Default"</definedName>
    <definedName name="EssLatest">"Jul"</definedName>
    <definedName name="EssOptions">"A1100000000111000011101101000_030.009NO ACCESS"</definedName>
    <definedName name="europe">0</definedName>
    <definedName name="europeRegion">#REF!</definedName>
    <definedName name="europeStates">#REF!</definedName>
    <definedName name="High_Ratio">" 100+"</definedName>
    <definedName name="ictsymbol">"HK$"</definedName>
    <definedName name="icusymbol">"Rmb"</definedName>
    <definedName name="india">0</definedName>
    <definedName name="instructions">#REF!</definedName>
    <definedName name="italy">0</definedName>
    <definedName name="iuesymbol">"fen"</definedName>
    <definedName name="iunsymbol">"Rmbm"</definedName>
    <definedName name="japan">0</definedName>
    <definedName name="latinAmerica">0</definedName>
    <definedName name="latinAmericaCountries">#REF!</definedName>
    <definedName name="Linking_1">#REF!</definedName>
    <definedName name="Linking_10">#REF!</definedName>
    <definedName name="Linking_11">#REF!</definedName>
    <definedName name="Linking_12">#REF!</definedName>
    <definedName name="Linking_13">#REF!</definedName>
    <definedName name="Linking_14">#REF!</definedName>
    <definedName name="Linking_15">#REF!</definedName>
    <definedName name="Linking_16">#REF!</definedName>
    <definedName name="Linking_17" xml:space="preserve">                                                                                                                                              'Financial Summary'!$B$5:$O$63</definedName>
    <definedName name="Linking_18">#REF!</definedName>
    <definedName name="Linking_19" xml:space="preserve">                                                                                                                                              'Financial Summary'!$B$5:$O$63</definedName>
    <definedName name="Linking_2">#REF!</definedName>
    <definedName name="Linking_20">#REF!</definedName>
    <definedName name="Linking_21">#REF!</definedName>
    <definedName name="Linking_22" xml:space="preserve">                                                                                                                                              'Financial Summary'!$B$5:$O$63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#REF!</definedName>
    <definedName name="Linking_30">#REF!</definedName>
    <definedName name="Linking_31">#REF!</definedName>
    <definedName name="Linking_32">#REF!</definedName>
    <definedName name="Linking_33">#REF!</definedName>
    <definedName name="Linking_34">#REF!</definedName>
    <definedName name="Linking_35">#REF!</definedName>
    <definedName name="Linking_36">#REF!</definedName>
    <definedName name="Linking_37">#REF!</definedName>
    <definedName name="Linking_38">#REF!</definedName>
    <definedName name="Linking_39">#REF!</definedName>
    <definedName name="Linking_4">#REF!</definedName>
    <definedName name="Linking_40">#REF!</definedName>
    <definedName name="Linking_41">#REF!</definedName>
    <definedName name="Linking_42">#REF!</definedName>
    <definedName name="Linking_43">#REF!</definedName>
    <definedName name="Linking_44">#REF!</definedName>
    <definedName name="Linking_45" xml:space="preserve">                                                                                      'Financial Summary'!$B$5:$P$64</definedName>
    <definedName name="Linking_46">#REF!</definedName>
    <definedName name="Linking_47">#REF!</definedName>
    <definedName name="Linking_48">#REF!</definedName>
    <definedName name="Linking_49">#REF!</definedName>
    <definedName name="Linking_5">#REF!</definedName>
    <definedName name="Linking_50">#REF!</definedName>
    <definedName name="Linking_51">#REF!</definedName>
    <definedName name="Linking_52">#REF!</definedName>
    <definedName name="Linking_53">#REF!</definedName>
    <definedName name="Linking_54">#REF!</definedName>
    <definedName name="Linking_55">#REF!</definedName>
    <definedName name="Linking_56">'Financial Summary'!$B$5:$R$62</definedName>
    <definedName name="Linking_57">#REF!</definedName>
    <definedName name="Linking_58">#REF!</definedName>
    <definedName name="Linking_59">#REF!</definedName>
    <definedName name="Linking_6">#REF!</definedName>
    <definedName name="Linking_60">#REF!</definedName>
    <definedName name="Linking_61">'Financial Summary'!$B$5:$R$63</definedName>
    <definedName name="Linking_62">#REF!</definedName>
    <definedName name="Linking_63">'Financial Summary'!$B$5:$S$63</definedName>
    <definedName name="Linking_64">#REF!</definedName>
    <definedName name="Linking_65">#REF!</definedName>
    <definedName name="Linking_66">#REF!</definedName>
    <definedName name="Linking_67">#REF!</definedName>
    <definedName name="Linking_68">'Financial Summary'!$B$5:$T$63</definedName>
    <definedName name="Linking_69">#REF!</definedName>
    <definedName name="Linking_7">#REF!</definedName>
    <definedName name="Linking_70">#REF!</definedName>
    <definedName name="Linking_71">'Financial Summary'!$B$5:$U$65</definedName>
    <definedName name="Linking_72">#REF!</definedName>
    <definedName name="Linking_73">#REF!</definedName>
    <definedName name="Linking_74">#REF!</definedName>
    <definedName name="Linking_75">#REF!</definedName>
    <definedName name="Linking_76">#REF!</definedName>
    <definedName name="Linking_77">#REF!</definedName>
    <definedName name="Linking_78">#REF!</definedName>
    <definedName name="Linking_79">#REF!</definedName>
    <definedName name="Linking_8">#REF!</definedName>
    <definedName name="Linking_80">#REF!</definedName>
    <definedName name="Linking_81">#REF!</definedName>
    <definedName name="Linking_82">#REF!</definedName>
    <definedName name="Linking_83">#REF!</definedName>
    <definedName name="Linking_84">#REF!</definedName>
    <definedName name="Linking_85">#REF!</definedName>
    <definedName name="Linking_86">#REF!</definedName>
    <definedName name="Linking_87">#REF!</definedName>
    <definedName name="Linking_88">#REF!</definedName>
    <definedName name="Linking_89">#REF!</definedName>
    <definedName name="Linking_9">#REF!</definedName>
    <definedName name="Linking_90">#REF!</definedName>
    <definedName name="Linking_91">#REF!</definedName>
    <definedName name="Linking_92">#REF!</definedName>
    <definedName name="Linking_93">#REF!</definedName>
    <definedName name="Linking_94">#REF!</definedName>
    <definedName name="Linking_Range_1">[1]SUMMARY!$C$4:$CQ$85</definedName>
    <definedName name="Linking_Range_10">'[2]P&amp;L'!#REF!</definedName>
    <definedName name="Linking_Range_11">#REF!</definedName>
    <definedName name="Linking_Range_12">#REF!</definedName>
    <definedName name="Linking_Range_13">#REF!</definedName>
    <definedName name="Linking_Range_14">#REF!</definedName>
    <definedName name="Linking_Range_15">#REF!</definedName>
    <definedName name="Linking_Range_16">#REF!</definedName>
    <definedName name="Linking_Range_17">#REF!</definedName>
    <definedName name="Linking_Range_18">#REF!</definedName>
    <definedName name="Linking_Range_19">#REF!</definedName>
    <definedName name="Linking_Range_2">[1]Revisions!$B$3:$BM$80</definedName>
    <definedName name="Linking_Range_20">#REF!</definedName>
    <definedName name="Linking_Range_21">#REF!</definedName>
    <definedName name="Linking_Range_22">#REF!</definedName>
    <definedName name="Linking_Range_23">#REF!</definedName>
    <definedName name="Linking_Range_24">#REF!</definedName>
    <definedName name="Linking_Range_25">#REF!</definedName>
    <definedName name="Linking_Range_26">#REF!</definedName>
    <definedName name="Linking_Range_27">#REF!</definedName>
    <definedName name="Linking_Range_28">#REF!</definedName>
    <definedName name="Linking_Range_29">#REF!</definedName>
    <definedName name="Linking_Range_3">'[1]New PT'!$B$6:$D$34</definedName>
    <definedName name="Linking_Range_30">#REF!</definedName>
    <definedName name="Linking_Range_31">#REF!</definedName>
    <definedName name="Linking_Range_32">#REF!</definedName>
    <definedName name="Linking_Range_33">#REF!</definedName>
    <definedName name="Linking_Range_34">#REF!</definedName>
    <definedName name="Linking_Range_36">#REF!</definedName>
    <definedName name="Linking_Range_38">#REF!</definedName>
    <definedName name="Linking_Range_4">'[1]Mini SUMMARY'!$B$5:$O$20</definedName>
    <definedName name="Linking_Range_40">'[2]DCF val'!#REF!</definedName>
    <definedName name="Linking_Range_41">'[2]DCF val'!#REF!</definedName>
    <definedName name="Linking_Range_42">#REF!</definedName>
    <definedName name="Linking_Range_43">#REF!</definedName>
    <definedName name="Linking_Range_46">'[2]DCF val'!#REF!</definedName>
    <definedName name="Linking_Range_47">'[2]DCF val'!#REF!</definedName>
    <definedName name="Linking_Range_48">'[2]DCF val'!#REF!</definedName>
    <definedName name="Linking_Range_5">[1]Revisions!$B$4:$BM$80</definedName>
    <definedName name="Linking_Range_51">#REF!</definedName>
    <definedName name="Linking_Range_52">#REF!</definedName>
    <definedName name="Linking_Range_6">#REF!</definedName>
    <definedName name="Linking_Range_7">#REF!</definedName>
    <definedName name="Linking_Range_8">#REF!</definedName>
    <definedName name="Linking_Range_9">'[2]P&amp;L'!#REF!</definedName>
    <definedName name="lstexchcodes">"Drop Down 22"</definedName>
    <definedName name="MExbrlDates">#REF!</definedName>
    <definedName name="middleEast">0</definedName>
    <definedName name="middleEastAfrica">0</definedName>
    <definedName name="middleEastAfricaRegion">#REF!</definedName>
    <definedName name="middleEastAfricaStates">#REF!</definedName>
    <definedName name="na">"  n/a "</definedName>
    <definedName name="northAmerica">0</definedName>
    <definedName name="northAmericaCountries">#REF!</definedName>
    <definedName name="otherAfrica">0</definedName>
    <definedName name="otherAsiaPacific">1</definedName>
    <definedName name="otherCentralEasternEurope">0</definedName>
    <definedName name="otherDevelopedEurope">0</definedName>
    <definedName name="otherLATAM">0</definedName>
    <definedName name="_xlnm.Print_Area" localSheetId="3">'2. Income'!$B$1:$M$47</definedName>
    <definedName name="_xlnm.Print_Area" localSheetId="6">'Financial Summary'!$B$1:$N$79</definedName>
    <definedName name="_xlnm.Print_Area">#REF!</definedName>
    <definedName name="ProfitLoss" localSheetId="3">'2. Income'!$3:$50</definedName>
    <definedName name="ProfitLossAnalysis" localSheetId="3">'2. Income'!$51:$73</definedName>
    <definedName name="regionalCostExposure">#REF!</definedName>
    <definedName name="rngBRICS">#REF!,#REF!,#REF!,#REF!</definedName>
    <definedName name="rngContinentWiseValue">#REF!</definedName>
    <definedName name="rngCountryWiseValue">#REF!</definedName>
    <definedName name="rngEEMEA">#REF!,#REF!,#REF!,#REF!</definedName>
    <definedName name="rngStateWiseValue">#REF!</definedName>
    <definedName name="rngTotalRegionExposure">1</definedName>
    <definedName name="sadfads">#REF!</definedName>
    <definedName name="sdafdsa">'4. Balance Sheet'!$B$5:$H$45</definedName>
    <definedName name="sdfasd">'4. Balance Sheet'!$B$5:$H$44</definedName>
    <definedName name="sdfds">'2. Income'!$B$4:$H$48</definedName>
    <definedName name="sdfdsfdsa" localSheetId="3">'2. Income'!$B$4:$E$48</definedName>
    <definedName name="sens">[0]!sens</definedName>
    <definedName name="showVersionCheckMessage">1</definedName>
    <definedName name="snes">[0]!snes</definedName>
    <definedName name="socioEconomicRegion">#REF!</definedName>
    <definedName name="socioEconomicRegions">#REF!</definedName>
    <definedName name="spain">0</definedName>
    <definedName name="Template.WIRE">"DBACCESS"</definedName>
    <definedName name="TemplateVersion">2</definedName>
    <definedName name="TestAdd">"Test RefersTo1"</definedName>
    <definedName name="totalConsumerDemandExposure">1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uk">0</definedName>
    <definedName name="ValidDateTable">#REF!</definedName>
    <definedName name="Version.WIRE">1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7" i="23" l="1"/>
  <c r="V56" i="23"/>
  <c r="V54" i="23"/>
  <c r="V53" i="23"/>
  <c r="V55" i="23" s="1"/>
  <c r="V50" i="23"/>
  <c r="V49" i="23"/>
  <c r="V48" i="23"/>
  <c r="V47" i="23"/>
  <c r="V44" i="23"/>
  <c r="V59" i="23" s="1"/>
  <c r="V42" i="23"/>
  <c r="V41" i="23"/>
  <c r="V40" i="23"/>
  <c r="V39" i="23"/>
  <c r="V43" i="23" s="1"/>
  <c r="V34" i="23"/>
  <c r="V27" i="23"/>
  <c r="V24" i="23"/>
  <c r="V23" i="23" s="1"/>
  <c r="V22" i="23"/>
  <c r="V21" i="23"/>
  <c r="V18" i="23"/>
  <c r="V17" i="23"/>
  <c r="V15" i="23"/>
  <c r="V14" i="23"/>
  <c r="V16" i="23" s="1"/>
  <c r="V11" i="23"/>
  <c r="V10" i="23" s="1"/>
  <c r="V9" i="23"/>
  <c r="V8" i="23"/>
  <c r="K65" i="23"/>
  <c r="K64" i="23"/>
  <c r="K62" i="23"/>
  <c r="K61" i="23"/>
  <c r="K57" i="23"/>
  <c r="K56" i="23"/>
  <c r="K55" i="23"/>
  <c r="K54" i="23"/>
  <c r="K53" i="23"/>
  <c r="K51" i="23"/>
  <c r="K50" i="23"/>
  <c r="K49" i="23"/>
  <c r="K48" i="23"/>
  <c r="K47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0" i="23"/>
  <c r="K29" i="23"/>
  <c r="K28" i="23"/>
  <c r="K27" i="23"/>
  <c r="K25" i="23"/>
  <c r="K24" i="23"/>
  <c r="K23" i="23"/>
  <c r="K22" i="23"/>
  <c r="K21" i="23"/>
  <c r="K19" i="23"/>
  <c r="K18" i="23"/>
  <c r="K17" i="23"/>
  <c r="K15" i="23"/>
  <c r="K14" i="23"/>
  <c r="K13" i="23"/>
  <c r="K11" i="23"/>
  <c r="K10" i="23"/>
  <c r="K9" i="23"/>
  <c r="K8" i="23"/>
  <c r="K7" i="23"/>
  <c r="K6" i="23"/>
  <c r="V6" i="23" s="1"/>
  <c r="V37" i="23" s="1"/>
  <c r="H7" i="23"/>
  <c r="H8" i="23"/>
  <c r="H9" i="23"/>
  <c r="H10" i="23"/>
  <c r="H11" i="23"/>
  <c r="H13" i="23"/>
  <c r="H14" i="23"/>
  <c r="H15" i="23"/>
  <c r="H17" i="23"/>
  <c r="H18" i="23"/>
  <c r="H19" i="23"/>
  <c r="H21" i="23"/>
  <c r="H22" i="23"/>
  <c r="H23" i="23"/>
  <c r="H24" i="23"/>
  <c r="H25" i="23"/>
  <c r="H27" i="23"/>
  <c r="H28" i="23"/>
  <c r="H29" i="23"/>
  <c r="H30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7" i="23"/>
  <c r="H48" i="23"/>
  <c r="H49" i="23"/>
  <c r="H50" i="23"/>
  <c r="H51" i="23"/>
  <c r="H53" i="23"/>
  <c r="H54" i="23"/>
  <c r="H55" i="23"/>
  <c r="H56" i="23"/>
  <c r="H57" i="23"/>
  <c r="H61" i="23"/>
  <c r="H64" i="23"/>
  <c r="H65" i="23"/>
  <c r="K46" i="23" l="1"/>
  <c r="K60" i="23"/>
  <c r="AR62" i="56" l="1"/>
  <c r="BL4" i="56"/>
  <c r="P191" i="51"/>
  <c r="P192" i="51"/>
  <c r="P193" i="51"/>
  <c r="P196" i="51"/>
  <c r="P197" i="51"/>
  <c r="P198" i="51"/>
  <c r="P165" i="51"/>
  <c r="P150" i="51"/>
  <c r="P141" i="51" s="1"/>
  <c r="P125" i="51"/>
  <c r="P133" i="51" s="1"/>
  <c r="P124" i="51"/>
  <c r="P127" i="51"/>
  <c r="Q56" i="51"/>
  <c r="S80" i="51"/>
  <c r="T80" i="51" s="1"/>
  <c r="U80" i="51" s="1"/>
  <c r="V80" i="51" s="1"/>
  <c r="W80" i="51" s="1"/>
  <c r="X80" i="51" s="1"/>
  <c r="Y80" i="51" s="1"/>
  <c r="P93" i="51"/>
  <c r="Q93" i="51" s="1"/>
  <c r="R93" i="51" s="1"/>
  <c r="P91" i="51"/>
  <c r="P97" i="51"/>
  <c r="P96" i="51" s="1"/>
  <c r="P85" i="51"/>
  <c r="P82" i="51" s="1"/>
  <c r="P27" i="6"/>
  <c r="P26" i="6" s="1"/>
  <c r="P19" i="6"/>
  <c r="P9" i="6"/>
  <c r="P13" i="6" s="1"/>
  <c r="O42" i="4"/>
  <c r="O19" i="4"/>
  <c r="O7" i="4"/>
  <c r="O10" i="4" s="1"/>
  <c r="P194" i="51" l="1"/>
  <c r="P42" i="6"/>
  <c r="AE77" i="51" l="1"/>
  <c r="AF77" i="51"/>
  <c r="AF76" i="51"/>
  <c r="AE76" i="51"/>
  <c r="AE78" i="51" l="1"/>
  <c r="AF78" i="51"/>
  <c r="BG4" i="56"/>
  <c r="R60" i="51"/>
  <c r="S60" i="51" s="1"/>
  <c r="T60" i="51" s="1"/>
  <c r="U60" i="51" s="1"/>
  <c r="V60" i="51" s="1"/>
  <c r="W60" i="51" s="1"/>
  <c r="X60" i="51" s="1"/>
  <c r="Y60" i="51" s="1"/>
  <c r="AO28" i="56"/>
  <c r="AO14" i="56"/>
  <c r="AO8" i="56"/>
  <c r="AO16" i="56" l="1"/>
  <c r="AO18" i="56"/>
  <c r="AL57" i="56" l="1"/>
  <c r="Q119" i="51" l="1"/>
  <c r="R119" i="51" s="1"/>
  <c r="S119" i="51" s="1"/>
  <c r="T119" i="51" s="1"/>
  <c r="U119" i="51" s="1"/>
  <c r="V119" i="51" s="1"/>
  <c r="W119" i="51" s="1"/>
  <c r="X119" i="51" s="1"/>
  <c r="Y119" i="51" s="1"/>
  <c r="AN60" i="56" l="1"/>
  <c r="AT61" i="56"/>
  <c r="AQ61" i="56"/>
  <c r="AO61" i="56" s="1"/>
  <c r="AO62" i="56"/>
  <c r="AN56" i="56"/>
  <c r="AM56" i="56" s="1"/>
  <c r="AN55" i="56"/>
  <c r="BH4" i="56"/>
  <c r="AR61" i="56" l="1"/>
  <c r="AS61" i="56"/>
  <c r="AL56" i="56"/>
  <c r="AP61" i="56"/>
  <c r="AM55" i="56"/>
  <c r="L56" i="51" l="1"/>
  <c r="AD29" i="56" l="1"/>
  <c r="AC29" i="56"/>
  <c r="AB29" i="56"/>
  <c r="B2" i="56"/>
  <c r="R83" i="51"/>
  <c r="Q83" i="51"/>
  <c r="AU61" i="56"/>
  <c r="O101" i="51"/>
  <c r="O102" i="51" s="1"/>
  <c r="O95" i="51"/>
  <c r="O90" i="51"/>
  <c r="O165" i="51"/>
  <c r="N165" i="51"/>
  <c r="O13" i="51"/>
  <c r="O25" i="51" s="1"/>
  <c r="O178" i="51"/>
  <c r="O187" i="51"/>
  <c r="O198" i="51"/>
  <c r="O197" i="51"/>
  <c r="O196" i="51"/>
  <c r="O193" i="51"/>
  <c r="O192" i="51"/>
  <c r="O191" i="51"/>
  <c r="O166" i="51"/>
  <c r="O150" i="51"/>
  <c r="O152" i="51" s="1"/>
  <c r="O140" i="51"/>
  <c r="O131" i="51"/>
  <c r="O130" i="51"/>
  <c r="O127" i="51"/>
  <c r="P123" i="51" s="1"/>
  <c r="P126" i="51" s="1"/>
  <c r="O125" i="51"/>
  <c r="O133" i="51" s="1"/>
  <c r="O154" i="51" s="1"/>
  <c r="O155" i="51" s="1"/>
  <c r="O124" i="51"/>
  <c r="O85" i="51"/>
  <c r="O80" i="51"/>
  <c r="O65" i="51"/>
  <c r="O62" i="51" s="1"/>
  <c r="O60" i="51"/>
  <c r="O57" i="51"/>
  <c r="O56" i="51"/>
  <c r="O55" i="51"/>
  <c r="O52" i="51"/>
  <c r="O51" i="51"/>
  <c r="O26" i="51"/>
  <c r="O24" i="51"/>
  <c r="O23" i="51"/>
  <c r="O20" i="51"/>
  <c r="O18" i="51"/>
  <c r="O17" i="51"/>
  <c r="O44" i="6"/>
  <c r="O39" i="6"/>
  <c r="O36" i="6"/>
  <c r="O30" i="6"/>
  <c r="O26" i="6"/>
  <c r="O19" i="6"/>
  <c r="O15" i="6"/>
  <c r="O9" i="6"/>
  <c r="O13" i="6" s="1"/>
  <c r="N7" i="4"/>
  <c r="N10" i="4" s="1"/>
  <c r="N42" i="4"/>
  <c r="N37" i="4"/>
  <c r="N35" i="4"/>
  <c r="N28" i="4"/>
  <c r="N21" i="4"/>
  <c r="N19" i="4"/>
  <c r="O82" i="51" l="1"/>
  <c r="P83" i="51" s="1"/>
  <c r="O194" i="51"/>
  <c r="O103" i="51"/>
  <c r="P103" i="51" s="1"/>
  <c r="Q103" i="51" s="1"/>
  <c r="R103" i="51" s="1"/>
  <c r="O141" i="51"/>
  <c r="O161" i="51"/>
  <c r="O109" i="51"/>
  <c r="O113" i="51" s="1"/>
  <c r="O42" i="6"/>
  <c r="O91" i="51"/>
  <c r="O170" i="51"/>
  <c r="P170" i="51"/>
  <c r="O135" i="51"/>
  <c r="N39" i="4"/>
  <c r="N46" i="4" s="1"/>
  <c r="O93" i="51" l="1"/>
  <c r="P92" i="51"/>
  <c r="O97" i="51"/>
  <c r="O96" i="51" s="1"/>
  <c r="S103" i="51" l="1"/>
  <c r="O99" i="51"/>
  <c r="U42" i="23"/>
  <c r="J36" i="23"/>
  <c r="X5" i="4"/>
  <c r="X51" i="4" s="1"/>
  <c r="Y30" i="6"/>
  <c r="Y5" i="6"/>
  <c r="Y49" i="6" s="1"/>
  <c r="X4" i="56"/>
  <c r="X52" i="56" s="1"/>
  <c r="T103" i="51" l="1"/>
  <c r="F22" i="23"/>
  <c r="F21" i="23"/>
  <c r="U103" i="51" l="1"/>
  <c r="BE4" i="56"/>
  <c r="BD4" i="56"/>
  <c r="BB4" i="56"/>
  <c r="BA4" i="56"/>
  <c r="V103" i="51" l="1"/>
  <c r="W103" i="51" l="1"/>
  <c r="V50" i="51"/>
  <c r="W50" i="51" s="1"/>
  <c r="X50" i="51" s="1"/>
  <c r="Y50" i="51" s="1"/>
  <c r="X103" i="51" l="1"/>
  <c r="Y52" i="51"/>
  <c r="Y51" i="51"/>
  <c r="Y103" i="51" l="1"/>
  <c r="Q198" i="51"/>
  <c r="R198" i="51" s="1"/>
  <c r="S198" i="51" s="1"/>
  <c r="T198" i="51" s="1"/>
  <c r="U198" i="51" s="1"/>
  <c r="V198" i="51" s="1"/>
  <c r="W198" i="51" s="1"/>
  <c r="X198" i="51" s="1"/>
  <c r="Y198" i="51" s="1"/>
  <c r="Q196" i="51"/>
  <c r="R196" i="51" s="1"/>
  <c r="S196" i="51" s="1"/>
  <c r="T196" i="51" s="1"/>
  <c r="U196" i="51" s="1"/>
  <c r="V196" i="51" s="1"/>
  <c r="W196" i="51" s="1"/>
  <c r="X196" i="51" s="1"/>
  <c r="Y196" i="51" s="1"/>
  <c r="AL28" i="56"/>
  <c r="AL23" i="56"/>
  <c r="AL8" i="56"/>
  <c r="AL9" i="56" l="1"/>
  <c r="AL31" i="56"/>
  <c r="AL36" i="56" l="1"/>
  <c r="AL38" i="56" s="1"/>
  <c r="AL14" i="56"/>
  <c r="AL24" i="56"/>
  <c r="AL33" i="56"/>
  <c r="AO15" i="56" l="1"/>
  <c r="AL16" i="56"/>
  <c r="AL18" i="56"/>
  <c r="AL20" i="56" l="1"/>
  <c r="AL41" i="56"/>
  <c r="D36" i="23" l="1"/>
  <c r="E36" i="23"/>
  <c r="F36" i="23"/>
  <c r="G36" i="23"/>
  <c r="I36" i="23"/>
  <c r="M60" i="51" l="1"/>
  <c r="N60" i="51"/>
  <c r="N170" i="51"/>
  <c r="N166" i="51"/>
  <c r="O167" i="51" s="1"/>
  <c r="O168" i="51" s="1"/>
  <c r="N187" i="51"/>
  <c r="N178" i="51"/>
  <c r="N198" i="51"/>
  <c r="N197" i="51"/>
  <c r="N196" i="51"/>
  <c r="N193" i="51"/>
  <c r="N192" i="51"/>
  <c r="N191" i="51"/>
  <c r="N150" i="51"/>
  <c r="N131" i="51"/>
  <c r="N130" i="51"/>
  <c r="N127" i="51"/>
  <c r="N125" i="51"/>
  <c r="N133" i="51" s="1"/>
  <c r="N124" i="51"/>
  <c r="N102" i="51"/>
  <c r="N65" i="51"/>
  <c r="N57" i="51"/>
  <c r="J56" i="23" s="1"/>
  <c r="N56" i="51"/>
  <c r="N55" i="51"/>
  <c r="N52" i="51"/>
  <c r="N51" i="51"/>
  <c r="N24" i="51"/>
  <c r="N23" i="51"/>
  <c r="N20" i="51"/>
  <c r="N18" i="51"/>
  <c r="N17" i="51"/>
  <c r="N13" i="51"/>
  <c r="N44" i="6"/>
  <c r="N39" i="6"/>
  <c r="N36" i="6"/>
  <c r="N30" i="6"/>
  <c r="N26" i="6"/>
  <c r="N19" i="6"/>
  <c r="N15" i="6"/>
  <c r="N9" i="6"/>
  <c r="N13" i="6" s="1"/>
  <c r="N5" i="6"/>
  <c r="N49" i="6" s="1"/>
  <c r="M7" i="4"/>
  <c r="M57" i="4" s="1"/>
  <c r="M58" i="4" s="1"/>
  <c r="M69" i="4"/>
  <c r="M53" i="4"/>
  <c r="M42" i="4"/>
  <c r="M37" i="4"/>
  <c r="M35" i="4"/>
  <c r="M28" i="4"/>
  <c r="M21" i="4"/>
  <c r="M59" i="4" s="1"/>
  <c r="M19" i="4"/>
  <c r="M5" i="4"/>
  <c r="M51" i="4" s="1"/>
  <c r="O66" i="51" l="1"/>
  <c r="N62" i="51"/>
  <c r="O123" i="51"/>
  <c r="O126" i="51" s="1"/>
  <c r="N25" i="51"/>
  <c r="O19" i="51"/>
  <c r="N135" i="51"/>
  <c r="O134" i="51"/>
  <c r="N152" i="51"/>
  <c r="O151" i="51"/>
  <c r="N103" i="51"/>
  <c r="N194" i="51"/>
  <c r="M10" i="4"/>
  <c r="N42" i="6"/>
  <c r="O40" i="6" s="1"/>
  <c r="O41" i="6" s="1"/>
  <c r="N91" i="51"/>
  <c r="N161" i="51"/>
  <c r="O162" i="51" s="1"/>
  <c r="O163" i="51" s="1"/>
  <c r="N154" i="51"/>
  <c r="N155" i="51" s="1"/>
  <c r="N51" i="6"/>
  <c r="M39" i="4"/>
  <c r="M46" i="4" s="1"/>
  <c r="O63" i="51" l="1"/>
  <c r="P63" i="51" s="1"/>
  <c r="N93" i="51"/>
  <c r="O92" i="51"/>
  <c r="O148" i="51" s="1"/>
  <c r="N97" i="51"/>
  <c r="X52" i="51"/>
  <c r="X51" i="51"/>
  <c r="W5" i="4"/>
  <c r="W51" i="4" s="1"/>
  <c r="X30" i="6"/>
  <c r="X5" i="6"/>
  <c r="X49" i="6" s="1"/>
  <c r="W4" i="56"/>
  <c r="W52" i="56" s="1"/>
  <c r="P62" i="51" l="1"/>
  <c r="R63" i="51"/>
  <c r="S63" i="51" s="1"/>
  <c r="T63" i="51" s="1"/>
  <c r="U63" i="51" s="1"/>
  <c r="V63" i="51" s="1"/>
  <c r="W63" i="51" s="1"/>
  <c r="X63" i="51" s="1"/>
  <c r="Y63" i="51" s="1"/>
  <c r="N96" i="51"/>
  <c r="O98" i="51"/>
  <c r="N99" i="51"/>
  <c r="F53" i="23" l="1"/>
  <c r="G54" i="23"/>
  <c r="G57" i="23"/>
  <c r="P111" i="51" l="1"/>
  <c r="AI28" i="56"/>
  <c r="AI23" i="56"/>
  <c r="AI8" i="56"/>
  <c r="AL29" i="56" l="1"/>
  <c r="AI9" i="56"/>
  <c r="AI14" i="56" l="1"/>
  <c r="AI16" i="56" s="1"/>
  <c r="AL10" i="56"/>
  <c r="AI24" i="56"/>
  <c r="AI18" i="56" l="1"/>
  <c r="AL15" i="56"/>
  <c r="AI20" i="56"/>
  <c r="AL19" i="56"/>
  <c r="Q35" i="6" l="1"/>
  <c r="R35" i="6" l="1"/>
  <c r="S35" i="6" l="1"/>
  <c r="T35" i="6" l="1"/>
  <c r="U35" i="6" s="1"/>
  <c r="V35" i="6" s="1"/>
  <c r="W35" i="6" s="1"/>
  <c r="X35" i="6" s="1"/>
  <c r="Y35" i="6" s="1"/>
  <c r="M198" i="51" l="1"/>
  <c r="M197" i="51"/>
  <c r="M196" i="51"/>
  <c r="M193" i="51"/>
  <c r="M192" i="51"/>
  <c r="M191" i="51"/>
  <c r="M187" i="51"/>
  <c r="M178" i="51"/>
  <c r="M170" i="51"/>
  <c r="M166" i="51"/>
  <c r="N167" i="51" s="1"/>
  <c r="N168" i="51" s="1"/>
  <c r="M144" i="51"/>
  <c r="M142" i="51"/>
  <c r="M140" i="51"/>
  <c r="M131" i="51"/>
  <c r="M127" i="51"/>
  <c r="M125" i="51"/>
  <c r="M102" i="51"/>
  <c r="M65" i="51"/>
  <c r="M62" i="51" s="1"/>
  <c r="N63" i="51" s="1"/>
  <c r="M57" i="51"/>
  <c r="Q80" i="51" s="1"/>
  <c r="M56" i="51"/>
  <c r="M55" i="51"/>
  <c r="M52" i="51"/>
  <c r="M51" i="51"/>
  <c r="M13" i="51"/>
  <c r="M40" i="6"/>
  <c r="M25" i="6"/>
  <c r="M44" i="6" s="1"/>
  <c r="M36" i="6"/>
  <c r="M30" i="6"/>
  <c r="M39" i="6"/>
  <c r="M19" i="6"/>
  <c r="M15" i="6"/>
  <c r="M9" i="6"/>
  <c r="M13" i="6" s="1"/>
  <c r="M5" i="6"/>
  <c r="M49" i="6" s="1"/>
  <c r="L7" i="4"/>
  <c r="L10" i="4" s="1"/>
  <c r="L69" i="4"/>
  <c r="L53" i="4"/>
  <c r="L42" i="4"/>
  <c r="L37" i="4"/>
  <c r="L35" i="4"/>
  <c r="L28" i="4"/>
  <c r="L21" i="4"/>
  <c r="L59" i="4" s="1"/>
  <c r="L19" i="4"/>
  <c r="L5" i="4"/>
  <c r="L51" i="4" s="1"/>
  <c r="N123" i="51" l="1"/>
  <c r="N126" i="51" s="1"/>
  <c r="M103" i="51"/>
  <c r="N66" i="51"/>
  <c r="M55" i="4"/>
  <c r="M54" i="4"/>
  <c r="N200" i="51" s="1"/>
  <c r="I56" i="23"/>
  <c r="L57" i="4"/>
  <c r="L58" i="4" s="1"/>
  <c r="N19" i="51"/>
  <c r="M150" i="51"/>
  <c r="M194" i="51"/>
  <c r="M42" i="6"/>
  <c r="M41" i="6" s="1"/>
  <c r="M161" i="51"/>
  <c r="N162" i="51" s="1"/>
  <c r="N163" i="51" s="1"/>
  <c r="M124" i="51"/>
  <c r="M133" i="51"/>
  <c r="N134" i="51" s="1"/>
  <c r="M91" i="51"/>
  <c r="N92" i="51" s="1"/>
  <c r="N148" i="51" s="1"/>
  <c r="M51" i="6"/>
  <c r="M26" i="6"/>
  <c r="L39" i="4"/>
  <c r="L46" i="4" s="1"/>
  <c r="M152" i="51" l="1"/>
  <c r="N151" i="51"/>
  <c r="M141" i="51"/>
  <c r="M154" i="51"/>
  <c r="M155" i="51" s="1"/>
  <c r="M135" i="51"/>
  <c r="M93" i="51"/>
  <c r="S93" i="51" s="1"/>
  <c r="T93" i="51" s="1"/>
  <c r="U93" i="51" s="1"/>
  <c r="V93" i="51" s="1"/>
  <c r="W93" i="51" s="1"/>
  <c r="X93" i="51" s="1"/>
  <c r="Y93" i="51" s="1"/>
  <c r="M97" i="51"/>
  <c r="N98" i="51" s="1"/>
  <c r="M99" i="51" l="1"/>
  <c r="M96" i="51"/>
  <c r="S42" i="23" l="1"/>
  <c r="V5" i="4" l="1"/>
  <c r="V51" i="4" s="1"/>
  <c r="W30" i="6"/>
  <c r="W5" i="6"/>
  <c r="W49" i="6" s="1"/>
  <c r="V4" i="56"/>
  <c r="V52" i="56" s="1"/>
  <c r="W52" i="51"/>
  <c r="W51" i="51"/>
  <c r="R56" i="51" l="1"/>
  <c r="S56" i="51" l="1"/>
  <c r="T56" i="51" s="1"/>
  <c r="U56" i="51" s="1"/>
  <c r="V56" i="51" s="1"/>
  <c r="W56" i="51" s="1"/>
  <c r="X56" i="51" s="1"/>
  <c r="Y56" i="51" s="1"/>
  <c r="J49" i="23"/>
  <c r="I49" i="23"/>
  <c r="AF28" i="56"/>
  <c r="AF8" i="56"/>
  <c r="AF6" i="56" s="1"/>
  <c r="AF29" i="56" l="1"/>
  <c r="AI29" i="56"/>
  <c r="AY4" i="56" l="1"/>
  <c r="AX4" i="56"/>
  <c r="M6" i="23" l="1"/>
  <c r="M37" i="23" s="1"/>
  <c r="B60" i="23" s="1"/>
  <c r="B54" i="23" l="1"/>
  <c r="B55" i="23"/>
  <c r="B56" i="23"/>
  <c r="J91" i="51" l="1"/>
  <c r="I91" i="51"/>
  <c r="H91" i="51"/>
  <c r="B7" i="56"/>
  <c r="G7" i="56"/>
  <c r="H7" i="56"/>
  <c r="I7" i="56"/>
  <c r="J7" i="56"/>
  <c r="K7" i="56"/>
  <c r="L7" i="56"/>
  <c r="L40" i="51"/>
  <c r="C18" i="51"/>
  <c r="H18" i="51"/>
  <c r="I18" i="51"/>
  <c r="J18" i="51"/>
  <c r="K18" i="51"/>
  <c r="L18" i="51"/>
  <c r="AA7" i="56" l="1"/>
  <c r="AW7" i="56"/>
  <c r="H32" i="51"/>
  <c r="I32" i="51"/>
  <c r="M18" i="51"/>
  <c r="J32" i="51"/>
  <c r="C24" i="51"/>
  <c r="M7" i="56"/>
  <c r="F8" i="23" s="1"/>
  <c r="E8" i="23"/>
  <c r="D8" i="23"/>
  <c r="B8" i="23"/>
  <c r="U72" i="51" l="1"/>
  <c r="V72" i="51" l="1"/>
  <c r="S75" i="51"/>
  <c r="R75" i="51"/>
  <c r="Q75" i="51"/>
  <c r="P75" i="51"/>
  <c r="O75" i="51"/>
  <c r="N75" i="51"/>
  <c r="M75" i="51"/>
  <c r="L75" i="51"/>
  <c r="K75" i="51"/>
  <c r="J75" i="51"/>
  <c r="I75" i="51"/>
  <c r="H75" i="51"/>
  <c r="G75" i="51"/>
  <c r="S74" i="51"/>
  <c r="R74" i="51"/>
  <c r="Q74" i="51"/>
  <c r="P74" i="51"/>
  <c r="O74" i="51"/>
  <c r="N74" i="51"/>
  <c r="M74" i="51"/>
  <c r="L74" i="51"/>
  <c r="K74" i="51"/>
  <c r="J74" i="51"/>
  <c r="I74" i="51"/>
  <c r="H74" i="51"/>
  <c r="W72" i="51" l="1"/>
  <c r="X72" i="51" s="1"/>
  <c r="Y72" i="51" s="1"/>
  <c r="T74" i="51"/>
  <c r="T73" i="51" l="1"/>
  <c r="U74" i="51"/>
  <c r="V74" i="51" s="1"/>
  <c r="T75" i="51" l="1"/>
  <c r="U73" i="51"/>
  <c r="W74" i="51"/>
  <c r="X74" i="51" s="1"/>
  <c r="Y74" i="51" s="1"/>
  <c r="V73" i="51" l="1"/>
  <c r="V75" i="51" s="1"/>
  <c r="U75" i="51"/>
  <c r="W73" i="51" l="1"/>
  <c r="X73" i="51" s="1"/>
  <c r="I57" i="23"/>
  <c r="Q111" i="51"/>
  <c r="X75" i="51" l="1"/>
  <c r="Y73" i="51"/>
  <c r="Y75" i="51" s="1"/>
  <c r="R111" i="51"/>
  <c r="J57" i="23"/>
  <c r="W75" i="51"/>
  <c r="W83" i="51"/>
  <c r="X83" i="51" s="1"/>
  <c r="Y83" i="51" s="1"/>
  <c r="S82" i="51"/>
  <c r="S111" i="51" s="1"/>
  <c r="T82" i="51" l="1"/>
  <c r="T111" i="51" s="1"/>
  <c r="U82" i="51" l="1"/>
  <c r="U111" i="51" s="1"/>
  <c r="V82" i="51" l="1"/>
  <c r="V111" i="51" s="1"/>
  <c r="W82" i="51" l="1"/>
  <c r="W111" i="51" s="1"/>
  <c r="K57" i="51"/>
  <c r="X82" i="51" l="1"/>
  <c r="X111" i="51" s="1"/>
  <c r="G56" i="23"/>
  <c r="D60" i="23"/>
  <c r="O53" i="23"/>
  <c r="D51" i="23"/>
  <c r="M48" i="23"/>
  <c r="C50" i="23"/>
  <c r="B50" i="23"/>
  <c r="F49" i="23"/>
  <c r="E49" i="23"/>
  <c r="C49" i="23"/>
  <c r="B49" i="23"/>
  <c r="C48" i="23"/>
  <c r="B48" i="23"/>
  <c r="D47" i="23"/>
  <c r="C47" i="23"/>
  <c r="D46" i="23"/>
  <c r="O42" i="23"/>
  <c r="O34" i="23"/>
  <c r="O29" i="23"/>
  <c r="O27" i="23"/>
  <c r="O24" i="23"/>
  <c r="O22" i="23"/>
  <c r="O21" i="23"/>
  <c r="O17" i="23"/>
  <c r="O15" i="23"/>
  <c r="O14" i="23"/>
  <c r="O11" i="23"/>
  <c r="O9" i="23"/>
  <c r="O6" i="23"/>
  <c r="O37" i="23" s="1"/>
  <c r="D53" i="6"/>
  <c r="D49" i="6"/>
  <c r="L37" i="6"/>
  <c r="K37" i="6"/>
  <c r="J36" i="6"/>
  <c r="I36" i="6"/>
  <c r="H36" i="6"/>
  <c r="L35" i="6"/>
  <c r="K35" i="6"/>
  <c r="L33" i="6"/>
  <c r="V30" i="6"/>
  <c r="U30" i="6"/>
  <c r="T30" i="6"/>
  <c r="S30" i="6"/>
  <c r="R30" i="6"/>
  <c r="Q30" i="6"/>
  <c r="P30" i="6"/>
  <c r="L30" i="6"/>
  <c r="K30" i="6"/>
  <c r="J30" i="6"/>
  <c r="I30" i="6"/>
  <c r="H30" i="6"/>
  <c r="L27" i="6"/>
  <c r="K27" i="6"/>
  <c r="D27" i="6"/>
  <c r="J26" i="6"/>
  <c r="I26" i="6"/>
  <c r="H26" i="6"/>
  <c r="L25" i="6"/>
  <c r="K25" i="6"/>
  <c r="L23" i="6"/>
  <c r="K23" i="6"/>
  <c r="L20" i="6"/>
  <c r="L16" i="6"/>
  <c r="K15" i="6"/>
  <c r="J15" i="6"/>
  <c r="I15" i="6"/>
  <c r="H15" i="6"/>
  <c r="D15" i="6"/>
  <c r="D13" i="6"/>
  <c r="J9" i="6"/>
  <c r="J13" i="6" s="1"/>
  <c r="I9" i="6"/>
  <c r="I13" i="6" s="1"/>
  <c r="H9" i="6"/>
  <c r="H13" i="6" s="1"/>
  <c r="D9" i="6"/>
  <c r="C8" i="6"/>
  <c r="L8" i="6"/>
  <c r="K8" i="6"/>
  <c r="L7" i="6"/>
  <c r="K7" i="6"/>
  <c r="V5" i="6"/>
  <c r="U5" i="6"/>
  <c r="T5" i="6"/>
  <c r="S5" i="6"/>
  <c r="R5" i="6"/>
  <c r="Q5" i="6"/>
  <c r="P5" i="6"/>
  <c r="O5" i="6"/>
  <c r="L5" i="6"/>
  <c r="K5" i="6"/>
  <c r="J5" i="6"/>
  <c r="I5" i="6"/>
  <c r="H5" i="6"/>
  <c r="G5" i="6"/>
  <c r="F5" i="6"/>
  <c r="E5" i="6"/>
  <c r="B2" i="6"/>
  <c r="K69" i="4"/>
  <c r="J57" i="4"/>
  <c r="J57" i="56" s="1"/>
  <c r="C53" i="4"/>
  <c r="K53" i="4"/>
  <c r="J53" i="4"/>
  <c r="K42" i="4"/>
  <c r="J42" i="4"/>
  <c r="K37" i="4"/>
  <c r="J37" i="4"/>
  <c r="K35" i="4"/>
  <c r="J35" i="4"/>
  <c r="K28" i="4"/>
  <c r="J28" i="4"/>
  <c r="K21" i="4"/>
  <c r="J21" i="4"/>
  <c r="K19" i="4"/>
  <c r="J19" i="4"/>
  <c r="P15" i="23"/>
  <c r="J10" i="4"/>
  <c r="K7" i="4"/>
  <c r="U5" i="4"/>
  <c r="T5" i="4"/>
  <c r="S5" i="4"/>
  <c r="R5" i="4"/>
  <c r="Q5" i="4"/>
  <c r="P5" i="4"/>
  <c r="O5" i="4"/>
  <c r="N5" i="4"/>
  <c r="K5" i="4"/>
  <c r="J5" i="4"/>
  <c r="I5" i="4"/>
  <c r="H5" i="4"/>
  <c r="G5" i="4"/>
  <c r="F5" i="4"/>
  <c r="E5" i="4"/>
  <c r="D5" i="4"/>
  <c r="AB46" i="56"/>
  <c r="AB45" i="56"/>
  <c r="AB44" i="56"/>
  <c r="AB42" i="56"/>
  <c r="I37" i="56"/>
  <c r="H37" i="56"/>
  <c r="G37" i="56"/>
  <c r="AB33" i="56"/>
  <c r="AB32" i="56"/>
  <c r="C31" i="56"/>
  <c r="AB28" i="56"/>
  <c r="AB27" i="56"/>
  <c r="AB26" i="56"/>
  <c r="I27" i="56"/>
  <c r="H27" i="56"/>
  <c r="G27" i="56"/>
  <c r="I26" i="56"/>
  <c r="H26" i="56"/>
  <c r="G26" i="56"/>
  <c r="AB24" i="56"/>
  <c r="AB23" i="56"/>
  <c r="AB22" i="56"/>
  <c r="AB20" i="56"/>
  <c r="AB19" i="56"/>
  <c r="AB18" i="56"/>
  <c r="AB16" i="56"/>
  <c r="AB15" i="56"/>
  <c r="AB14" i="56"/>
  <c r="C12" i="56"/>
  <c r="B12" i="56"/>
  <c r="AB10" i="56"/>
  <c r="AB9" i="56"/>
  <c r="AB8" i="56"/>
  <c r="AB6" i="56"/>
  <c r="AB7" i="56" s="1"/>
  <c r="B9" i="56"/>
  <c r="B8" i="56"/>
  <c r="AW8" i="56" s="1"/>
  <c r="B6" i="56"/>
  <c r="AW6" i="56" s="1"/>
  <c r="I8" i="56"/>
  <c r="H8" i="56"/>
  <c r="G8" i="56"/>
  <c r="J6" i="56"/>
  <c r="I6" i="56"/>
  <c r="H6" i="56"/>
  <c r="G6" i="56"/>
  <c r="Y4" i="56"/>
  <c r="U4" i="56"/>
  <c r="T4" i="56"/>
  <c r="S4" i="56"/>
  <c r="R4" i="56"/>
  <c r="Q4" i="56"/>
  <c r="AU4" i="56" s="1"/>
  <c r="BK4" i="56" s="1"/>
  <c r="P4" i="56"/>
  <c r="O4" i="56"/>
  <c r="H6" i="23" s="1"/>
  <c r="N4" i="56"/>
  <c r="G6" i="23" s="1"/>
  <c r="G60" i="23" s="1"/>
  <c r="M4" i="56"/>
  <c r="F6" i="23" s="1"/>
  <c r="F46" i="23" s="1"/>
  <c r="L4" i="56"/>
  <c r="K4" i="56"/>
  <c r="J4" i="56"/>
  <c r="I4" i="56"/>
  <c r="H4" i="56"/>
  <c r="G4" i="56"/>
  <c r="F4" i="56"/>
  <c r="E4" i="56"/>
  <c r="D4" i="56"/>
  <c r="Y3" i="56"/>
  <c r="B1" i="56"/>
  <c r="B1" i="6" s="1"/>
  <c r="B1" i="4" s="1"/>
  <c r="L193" i="51"/>
  <c r="K193" i="51"/>
  <c r="L192" i="51"/>
  <c r="K192" i="51"/>
  <c r="L191" i="51"/>
  <c r="K191" i="51"/>
  <c r="L187" i="51"/>
  <c r="K186" i="51"/>
  <c r="H182" i="51"/>
  <c r="L178" i="51"/>
  <c r="K178" i="51"/>
  <c r="J178" i="51"/>
  <c r="I178" i="51"/>
  <c r="H178" i="51"/>
  <c r="K172" i="51"/>
  <c r="K170" i="51"/>
  <c r="J170" i="51"/>
  <c r="I170" i="51"/>
  <c r="H170" i="51"/>
  <c r="L166" i="51"/>
  <c r="K166" i="51"/>
  <c r="J166" i="51"/>
  <c r="I166" i="51"/>
  <c r="H166" i="51"/>
  <c r="L165" i="51"/>
  <c r="K161" i="51"/>
  <c r="J161" i="51"/>
  <c r="I161" i="51"/>
  <c r="H161" i="51"/>
  <c r="L159" i="51"/>
  <c r="J150" i="51"/>
  <c r="I150" i="51"/>
  <c r="H150" i="51"/>
  <c r="L146" i="51"/>
  <c r="K146" i="51"/>
  <c r="L144" i="51"/>
  <c r="K144" i="51"/>
  <c r="J144" i="51"/>
  <c r="I144" i="51"/>
  <c r="H144" i="51"/>
  <c r="L142" i="51"/>
  <c r="K142" i="51"/>
  <c r="J142" i="51"/>
  <c r="I142" i="51"/>
  <c r="H142" i="51"/>
  <c r="N141" i="51"/>
  <c r="J140" i="51"/>
  <c r="I140" i="51"/>
  <c r="H140" i="51"/>
  <c r="H139" i="51"/>
  <c r="J130" i="51"/>
  <c r="I130" i="51"/>
  <c r="L129" i="51"/>
  <c r="M130" i="51" s="1"/>
  <c r="K129" i="51"/>
  <c r="L127" i="51"/>
  <c r="K127" i="51"/>
  <c r="J127" i="51"/>
  <c r="I127" i="51"/>
  <c r="H127" i="51"/>
  <c r="J125" i="51"/>
  <c r="I125" i="51"/>
  <c r="H125" i="51"/>
  <c r="J124" i="51"/>
  <c r="I124" i="51"/>
  <c r="H124" i="51"/>
  <c r="H123" i="51"/>
  <c r="L57" i="51"/>
  <c r="P80" i="51" s="1"/>
  <c r="L55" i="51"/>
  <c r="V52" i="51"/>
  <c r="U52" i="51"/>
  <c r="T52" i="51"/>
  <c r="S52" i="51"/>
  <c r="R52" i="51"/>
  <c r="Q52" i="51"/>
  <c r="P52" i="51"/>
  <c r="L52" i="51"/>
  <c r="K52" i="51"/>
  <c r="J52" i="51"/>
  <c r="I52" i="51"/>
  <c r="H52" i="51"/>
  <c r="G52" i="51"/>
  <c r="V51" i="51"/>
  <c r="U51" i="51"/>
  <c r="T51" i="51"/>
  <c r="S51" i="51"/>
  <c r="R51" i="51"/>
  <c r="Q51" i="51"/>
  <c r="P51" i="51"/>
  <c r="L51" i="51"/>
  <c r="K51" i="51"/>
  <c r="J51" i="51"/>
  <c r="I51" i="51"/>
  <c r="H51" i="51"/>
  <c r="C45" i="51"/>
  <c r="J97" i="51"/>
  <c r="I97" i="51"/>
  <c r="H97" i="51"/>
  <c r="C20" i="51"/>
  <c r="C19" i="51"/>
  <c r="C17" i="51"/>
  <c r="J19" i="51"/>
  <c r="I19" i="51"/>
  <c r="H19" i="51"/>
  <c r="K17" i="51"/>
  <c r="J17" i="51"/>
  <c r="I17" i="51"/>
  <c r="H17" i="51"/>
  <c r="L14" i="51"/>
  <c r="J14" i="51"/>
  <c r="I14" i="51"/>
  <c r="H14" i="51"/>
  <c r="K13" i="51"/>
  <c r="H46" i="23" l="1"/>
  <c r="H60" i="23"/>
  <c r="AQ60" i="56"/>
  <c r="AP60" i="56"/>
  <c r="AT4" i="56"/>
  <c r="BJ4" i="56" s="1"/>
  <c r="S6" i="23"/>
  <c r="S37" i="23" s="1"/>
  <c r="AQ4" i="56"/>
  <c r="BI4" i="56" s="1"/>
  <c r="Y82" i="51"/>
  <c r="Y111" i="51" s="1"/>
  <c r="U54" i="23"/>
  <c r="J6" i="23"/>
  <c r="D20" i="6"/>
  <c r="D51" i="6" s="1"/>
  <c r="G46" i="23"/>
  <c r="T54" i="23"/>
  <c r="Q6" i="23"/>
  <c r="Q37" i="23" s="1"/>
  <c r="R6" i="23"/>
  <c r="R37" i="23" s="1"/>
  <c r="F60" i="23"/>
  <c r="K150" i="51"/>
  <c r="I6" i="23"/>
  <c r="E6" i="23"/>
  <c r="L54" i="4"/>
  <c r="M200" i="51" s="1"/>
  <c r="L55" i="4"/>
  <c r="L44" i="6"/>
  <c r="S54" i="23"/>
  <c r="O56" i="23"/>
  <c r="M123" i="51"/>
  <c r="M126" i="51" s="1"/>
  <c r="O79" i="51"/>
  <c r="G55" i="23" s="1"/>
  <c r="G53" i="23"/>
  <c r="AN4" i="56"/>
  <c r="BF4" i="56" s="1"/>
  <c r="AK4" i="56"/>
  <c r="BC4" i="56" s="1"/>
  <c r="L194" i="51"/>
  <c r="K194" i="51"/>
  <c r="M139" i="51"/>
  <c r="M143" i="51" s="1"/>
  <c r="M167" i="51"/>
  <c r="M168" i="51" s="1"/>
  <c r="H31" i="51"/>
  <c r="H34" i="51"/>
  <c r="S51" i="4"/>
  <c r="I31" i="51"/>
  <c r="I34" i="51"/>
  <c r="C26" i="51"/>
  <c r="J133" i="51"/>
  <c r="H51" i="4"/>
  <c r="T51" i="4"/>
  <c r="J59" i="4"/>
  <c r="C11" i="6"/>
  <c r="L125" i="51"/>
  <c r="I139" i="51"/>
  <c r="J51" i="6"/>
  <c r="L123" i="51"/>
  <c r="J139" i="51"/>
  <c r="H141" i="51"/>
  <c r="G35" i="56"/>
  <c r="N51" i="4"/>
  <c r="J34" i="51"/>
  <c r="J31" i="51"/>
  <c r="K125" i="51"/>
  <c r="K139" i="51"/>
  <c r="I141" i="51"/>
  <c r="H167" i="51"/>
  <c r="H35" i="56"/>
  <c r="I51" i="4"/>
  <c r="O51" i="4"/>
  <c r="U51" i="4"/>
  <c r="K39" i="4"/>
  <c r="K55" i="4"/>
  <c r="E49" i="6"/>
  <c r="L15" i="6"/>
  <c r="P22" i="23"/>
  <c r="O54" i="23"/>
  <c r="I133" i="51"/>
  <c r="J141" i="51"/>
  <c r="I35" i="56"/>
  <c r="J51" i="4"/>
  <c r="F49" i="6"/>
  <c r="L26" i="6"/>
  <c r="K26" i="6"/>
  <c r="P54" i="23"/>
  <c r="K123" i="51"/>
  <c r="K27" i="56"/>
  <c r="K130" i="51"/>
  <c r="J47" i="56"/>
  <c r="P51" i="4"/>
  <c r="K57" i="4"/>
  <c r="D61" i="23" s="1"/>
  <c r="C54" i="4"/>
  <c r="L9" i="6"/>
  <c r="L13" i="6" s="1"/>
  <c r="J99" i="51"/>
  <c r="I123" i="51"/>
  <c r="K26" i="56"/>
  <c r="K141" i="51"/>
  <c r="J35" i="56"/>
  <c r="K47" i="56"/>
  <c r="D42" i="23" s="1"/>
  <c r="E51" i="4"/>
  <c r="K51" i="4"/>
  <c r="Q51" i="4"/>
  <c r="J58" i="4"/>
  <c r="G49" i="6"/>
  <c r="K9" i="6"/>
  <c r="K13" i="6" s="1"/>
  <c r="P48" i="23"/>
  <c r="L36" i="6"/>
  <c r="O47" i="23"/>
  <c r="Q54" i="23"/>
  <c r="C25" i="51"/>
  <c r="G51" i="4"/>
  <c r="O50" i="23"/>
  <c r="L42" i="51"/>
  <c r="H162" i="51"/>
  <c r="D51" i="4"/>
  <c r="K19" i="51"/>
  <c r="C23" i="51"/>
  <c r="H133" i="51"/>
  <c r="K140" i="51"/>
  <c r="J37" i="56"/>
  <c r="I182" i="51"/>
  <c r="F51" i="4"/>
  <c r="R51" i="4"/>
  <c r="K59" i="4"/>
  <c r="H20" i="6"/>
  <c r="L19" i="6"/>
  <c r="K36" i="6"/>
  <c r="O18" i="23"/>
  <c r="O44" i="23"/>
  <c r="O48" i="23"/>
  <c r="R54" i="23"/>
  <c r="C35" i="56"/>
  <c r="C36" i="56" s="1"/>
  <c r="AB12" i="56"/>
  <c r="B7" i="23"/>
  <c r="AA8" i="56"/>
  <c r="U52" i="56"/>
  <c r="J52" i="56"/>
  <c r="B10" i="23"/>
  <c r="O30" i="23"/>
  <c r="O23" i="23"/>
  <c r="O16" i="23"/>
  <c r="AB31" i="56"/>
  <c r="H26" i="51"/>
  <c r="I33" i="51"/>
  <c r="J33" i="51"/>
  <c r="H98" i="51"/>
  <c r="H99" i="51"/>
  <c r="L24" i="51"/>
  <c r="J98" i="51"/>
  <c r="I99" i="51"/>
  <c r="K124" i="51"/>
  <c r="L170" i="51"/>
  <c r="K14" i="51"/>
  <c r="K95" i="51" s="1"/>
  <c r="D49" i="23"/>
  <c r="J8" i="56"/>
  <c r="J26" i="56"/>
  <c r="H24" i="51"/>
  <c r="K187" i="51"/>
  <c r="K44" i="56"/>
  <c r="D43" i="23" s="1"/>
  <c r="I24" i="51"/>
  <c r="J24" i="51"/>
  <c r="I9" i="56"/>
  <c r="H9" i="56"/>
  <c r="J27" i="56"/>
  <c r="L95" i="51"/>
  <c r="J64" i="56"/>
  <c r="D48" i="23"/>
  <c r="I98" i="51"/>
  <c r="K64" i="56"/>
  <c r="E51" i="23"/>
  <c r="H23" i="51"/>
  <c r="H20" i="51"/>
  <c r="H25" i="51"/>
  <c r="E47" i="23"/>
  <c r="D50" i="23"/>
  <c r="L167" i="51"/>
  <c r="G9" i="56"/>
  <c r="L161" i="51"/>
  <c r="M162" i="51" s="1"/>
  <c r="M163" i="51" s="1"/>
  <c r="H126" i="51"/>
  <c r="K167" i="51"/>
  <c r="Q48" i="23"/>
  <c r="I162" i="51"/>
  <c r="B1" i="23"/>
  <c r="L52" i="56"/>
  <c r="M52" i="56"/>
  <c r="S52" i="56"/>
  <c r="I28" i="56"/>
  <c r="N52" i="56"/>
  <c r="T52" i="56"/>
  <c r="P47" i="23"/>
  <c r="R52" i="56"/>
  <c r="O52" i="56"/>
  <c r="AA6" i="56"/>
  <c r="L42" i="6"/>
  <c r="K10" i="4"/>
  <c r="O8" i="23"/>
  <c r="O10" i="23" s="1"/>
  <c r="B9" i="23"/>
  <c r="J162" i="51"/>
  <c r="P52" i="56"/>
  <c r="AA9" i="56"/>
  <c r="I167" i="51"/>
  <c r="Q52" i="56"/>
  <c r="G28" i="56"/>
  <c r="J49" i="6"/>
  <c r="P49" i="6"/>
  <c r="V49" i="6"/>
  <c r="K49" i="6"/>
  <c r="Q49" i="6"/>
  <c r="I49" i="6"/>
  <c r="L49" i="6"/>
  <c r="R49" i="6"/>
  <c r="O49" i="6"/>
  <c r="S49" i="6"/>
  <c r="U49" i="6"/>
  <c r="H49" i="6"/>
  <c r="T49" i="6"/>
  <c r="G49" i="23"/>
  <c r="B2" i="4"/>
  <c r="B3" i="23" s="1"/>
  <c r="O28" i="23"/>
  <c r="I51" i="6"/>
  <c r="I20" i="6"/>
  <c r="L39" i="6"/>
  <c r="H51" i="6"/>
  <c r="J20" i="6"/>
  <c r="L150" i="51"/>
  <c r="M151" i="51" s="1"/>
  <c r="J39" i="4"/>
  <c r="J54" i="4"/>
  <c r="K54" i="4"/>
  <c r="H28" i="56"/>
  <c r="AH4" i="56"/>
  <c r="AZ4" i="56" s="1"/>
  <c r="K52" i="56"/>
  <c r="AE4" i="56"/>
  <c r="J123" i="51"/>
  <c r="L26" i="56"/>
  <c r="L124" i="51"/>
  <c r="L131" i="51"/>
  <c r="I93" i="51"/>
  <c r="I20" i="51"/>
  <c r="I26" i="51"/>
  <c r="J26" i="51"/>
  <c r="J23" i="51"/>
  <c r="J20" i="51"/>
  <c r="J93" i="51"/>
  <c r="J25" i="51"/>
  <c r="L139" i="51"/>
  <c r="I25" i="51"/>
  <c r="I23" i="51"/>
  <c r="L130" i="51"/>
  <c r="L27" i="56"/>
  <c r="L140" i="51"/>
  <c r="K162" i="51"/>
  <c r="L90" i="51"/>
  <c r="L198" i="51"/>
  <c r="L197" i="51"/>
  <c r="L196" i="51"/>
  <c r="L11" i="51"/>
  <c r="L26" i="51"/>
  <c r="P151" i="51"/>
  <c r="J167" i="51"/>
  <c r="Q150" i="51" l="1"/>
  <c r="R150" i="51" s="1"/>
  <c r="AQ52" i="56"/>
  <c r="AE52" i="56"/>
  <c r="AU52" i="56"/>
  <c r="AT52" i="56"/>
  <c r="AN52" i="56"/>
  <c r="AH52" i="56"/>
  <c r="AK52" i="56"/>
  <c r="H29" i="56"/>
  <c r="G29" i="56"/>
  <c r="I29" i="56"/>
  <c r="K28" i="56"/>
  <c r="D27" i="23" s="1"/>
  <c r="J60" i="23"/>
  <c r="U6" i="23"/>
  <c r="U37" i="23" s="1"/>
  <c r="J46" i="23"/>
  <c r="K20" i="6"/>
  <c r="J134" i="51"/>
  <c r="O55" i="23"/>
  <c r="J154" i="51"/>
  <c r="I143" i="51"/>
  <c r="I154" i="51"/>
  <c r="L51" i="6"/>
  <c r="I134" i="51"/>
  <c r="K51" i="6"/>
  <c r="C57" i="4"/>
  <c r="C59" i="4"/>
  <c r="C61" i="4"/>
  <c r="J182" i="51"/>
  <c r="P6" i="23"/>
  <c r="P37" i="23" s="1"/>
  <c r="E46" i="23"/>
  <c r="E60" i="23"/>
  <c r="I60" i="23"/>
  <c r="T6" i="23"/>
  <c r="T37" i="23" s="1"/>
  <c r="I46" i="23"/>
  <c r="K58" i="4"/>
  <c r="H154" i="51"/>
  <c r="AE26" i="56"/>
  <c r="K70" i="4"/>
  <c r="AE27" i="56"/>
  <c r="J9" i="56"/>
  <c r="I126" i="51"/>
  <c r="L70" i="4"/>
  <c r="H143" i="51"/>
  <c r="K143" i="51"/>
  <c r="O49" i="23"/>
  <c r="O59" i="23"/>
  <c r="J143" i="51"/>
  <c r="K126" i="51"/>
  <c r="J48" i="56"/>
  <c r="K48" i="56"/>
  <c r="K133" i="51"/>
  <c r="P27" i="23"/>
  <c r="I168" i="51"/>
  <c r="L162" i="51"/>
  <c r="L44" i="56"/>
  <c r="I12" i="56"/>
  <c r="I14" i="56" s="1"/>
  <c r="R15" i="23"/>
  <c r="I163" i="51"/>
  <c r="J46" i="4"/>
  <c r="K20" i="51"/>
  <c r="O41" i="23"/>
  <c r="L133" i="51"/>
  <c r="M134" i="51" s="1"/>
  <c r="J126" i="51"/>
  <c r="O57" i="23"/>
  <c r="J163" i="51"/>
  <c r="K35" i="56"/>
  <c r="D32" i="23" s="1"/>
  <c r="H163" i="51"/>
  <c r="C12" i="6"/>
  <c r="Q22" i="23"/>
  <c r="H12" i="56"/>
  <c r="H14" i="56" s="1"/>
  <c r="L141" i="51"/>
  <c r="K200" i="51"/>
  <c r="H39" i="6"/>
  <c r="K168" i="51"/>
  <c r="L168" i="51"/>
  <c r="K46" i="4"/>
  <c r="O32" i="23"/>
  <c r="Q15" i="23"/>
  <c r="G12" i="56"/>
  <c r="G14" i="56" s="1"/>
  <c r="K163" i="51"/>
  <c r="L200" i="51"/>
  <c r="O40" i="23"/>
  <c r="J168" i="51"/>
  <c r="Q25" i="6"/>
  <c r="K6" i="56"/>
  <c r="D7" i="23" s="1"/>
  <c r="L126" i="51"/>
  <c r="H19" i="6"/>
  <c r="M44" i="56"/>
  <c r="K57" i="56"/>
  <c r="H168" i="51"/>
  <c r="L35" i="56"/>
  <c r="M17" i="51"/>
  <c r="M40" i="51"/>
  <c r="M32" i="51"/>
  <c r="AB35" i="56"/>
  <c r="K67" i="56"/>
  <c r="J67" i="56"/>
  <c r="AE44" i="56"/>
  <c r="AB36" i="56"/>
  <c r="C37" i="56"/>
  <c r="K197" i="51"/>
  <c r="K198" i="51"/>
  <c r="K26" i="51"/>
  <c r="K25" i="51"/>
  <c r="K96" i="51"/>
  <c r="K90" i="51"/>
  <c r="K23" i="51"/>
  <c r="H33" i="51"/>
  <c r="K196" i="51"/>
  <c r="R48" i="23"/>
  <c r="H101" i="51"/>
  <c r="H93" i="51"/>
  <c r="L20" i="51"/>
  <c r="J28" i="56"/>
  <c r="J29" i="56" s="1"/>
  <c r="J70" i="4"/>
  <c r="I10" i="56"/>
  <c r="J44" i="56"/>
  <c r="K24" i="51"/>
  <c r="L13" i="51"/>
  <c r="L19" i="51" s="1"/>
  <c r="F51" i="23"/>
  <c r="E48" i="23"/>
  <c r="H92" i="51"/>
  <c r="E50" i="23"/>
  <c r="H10" i="56"/>
  <c r="G10" i="56"/>
  <c r="L28" i="56"/>
  <c r="L29" i="56" s="1"/>
  <c r="AH29" i="56" s="1"/>
  <c r="AH27" i="56"/>
  <c r="AG27" i="56" s="1"/>
  <c r="AH26" i="56"/>
  <c r="AG26" i="56" s="1"/>
  <c r="P50" i="23"/>
  <c r="P49" i="23" s="1"/>
  <c r="AE28" i="56"/>
  <c r="L40" i="6"/>
  <c r="F47" i="23"/>
  <c r="L151" i="51"/>
  <c r="J39" i="6"/>
  <c r="J19" i="6"/>
  <c r="K19" i="6"/>
  <c r="L152" i="51"/>
  <c r="I19" i="6"/>
  <c r="I39" i="6"/>
  <c r="Q141" i="51"/>
  <c r="Q151" i="51"/>
  <c r="L8" i="56"/>
  <c r="J92" i="51"/>
  <c r="J101" i="51"/>
  <c r="L65" i="51"/>
  <c r="L17" i="51"/>
  <c r="L23" i="51"/>
  <c r="I92" i="51"/>
  <c r="I101" i="51"/>
  <c r="K39" i="6" l="1"/>
  <c r="L25" i="51"/>
  <c r="K29" i="56"/>
  <c r="AE29" i="56" s="1"/>
  <c r="G22" i="23"/>
  <c r="J67" i="4"/>
  <c r="J68" i="4"/>
  <c r="J10" i="56"/>
  <c r="J66" i="4"/>
  <c r="K182" i="51"/>
  <c r="M66" i="51"/>
  <c r="L154" i="51"/>
  <c r="T48" i="23"/>
  <c r="O110" i="51"/>
  <c r="AK44" i="56"/>
  <c r="S48" i="23"/>
  <c r="E32" i="23"/>
  <c r="S15" i="23"/>
  <c r="L143" i="51"/>
  <c r="K59" i="56"/>
  <c r="P41" i="23"/>
  <c r="AE35" i="56"/>
  <c r="F43" i="23"/>
  <c r="AH35" i="56"/>
  <c r="AX35" i="56" s="1"/>
  <c r="AY35" i="56" s="1"/>
  <c r="AE6" i="56"/>
  <c r="R25" i="6"/>
  <c r="K8" i="56"/>
  <c r="K9" i="56" s="1"/>
  <c r="L91" i="51"/>
  <c r="M92" i="51" s="1"/>
  <c r="M148" i="51" s="1"/>
  <c r="Q27" i="23"/>
  <c r="P29" i="23"/>
  <c r="P28" i="23" s="1"/>
  <c r="C13" i="6"/>
  <c r="Q29" i="23"/>
  <c r="K97" i="51"/>
  <c r="K98" i="51" s="1"/>
  <c r="R22" i="23"/>
  <c r="O27" i="4"/>
  <c r="O28" i="4" s="1"/>
  <c r="P34" i="4"/>
  <c r="L135" i="51"/>
  <c r="L134" i="51"/>
  <c r="AH44" i="56"/>
  <c r="E43" i="23"/>
  <c r="R27" i="23"/>
  <c r="K42" i="6"/>
  <c r="K154" i="51"/>
  <c r="K134" i="51"/>
  <c r="K91" i="51"/>
  <c r="K92" i="51" s="1"/>
  <c r="H42" i="6"/>
  <c r="I42" i="6"/>
  <c r="J42" i="6"/>
  <c r="L163" i="51"/>
  <c r="P15" i="4"/>
  <c r="M35" i="56"/>
  <c r="Q77" i="51"/>
  <c r="AT60" i="56" s="1"/>
  <c r="AS60" i="56" s="1"/>
  <c r="L6" i="56"/>
  <c r="H16" i="56"/>
  <c r="E27" i="23"/>
  <c r="J40" i="51"/>
  <c r="I40" i="51"/>
  <c r="H102" i="51"/>
  <c r="H40" i="51"/>
  <c r="AB37" i="56"/>
  <c r="C38" i="56"/>
  <c r="I16" i="56"/>
  <c r="I15" i="56"/>
  <c r="L103" i="51"/>
  <c r="H15" i="56"/>
  <c r="N44" i="56"/>
  <c r="G15" i="56"/>
  <c r="G16" i="56"/>
  <c r="G51" i="23"/>
  <c r="E9" i="23"/>
  <c r="AH8" i="56"/>
  <c r="AH28" i="56"/>
  <c r="G47" i="23"/>
  <c r="F48" i="23"/>
  <c r="F50" i="23"/>
  <c r="P17" i="4"/>
  <c r="O32" i="4"/>
  <c r="P41" i="4"/>
  <c r="N139" i="51"/>
  <c r="M19" i="51"/>
  <c r="I102" i="51"/>
  <c r="J102" i="51"/>
  <c r="R151" i="51"/>
  <c r="S150" i="51"/>
  <c r="R141" i="51"/>
  <c r="AQ56" i="56" l="1"/>
  <c r="AQ55" i="56"/>
  <c r="U48" i="23"/>
  <c r="O115" i="51"/>
  <c r="O114" i="51"/>
  <c r="L155" i="51"/>
  <c r="L182" i="51"/>
  <c r="J65" i="56"/>
  <c r="L93" i="51"/>
  <c r="T15" i="23"/>
  <c r="AN44" i="56"/>
  <c r="I53" i="23"/>
  <c r="AE8" i="56"/>
  <c r="K93" i="51"/>
  <c r="I41" i="51"/>
  <c r="AJ44" i="56"/>
  <c r="AI44" i="56"/>
  <c r="D9" i="23"/>
  <c r="F32" i="23"/>
  <c r="AK35" i="56"/>
  <c r="L55" i="6"/>
  <c r="AG35" i="56"/>
  <c r="S27" i="23"/>
  <c r="S22" i="23"/>
  <c r="Q28" i="23"/>
  <c r="K62" i="56"/>
  <c r="K68" i="4"/>
  <c r="K66" i="4"/>
  <c r="AE9" i="56"/>
  <c r="AE10" i="56" s="1"/>
  <c r="D10" i="23"/>
  <c r="K10" i="56"/>
  <c r="K67" i="4"/>
  <c r="K32" i="51"/>
  <c r="Q34" i="4"/>
  <c r="P27" i="4"/>
  <c r="C15" i="6"/>
  <c r="L32" i="51"/>
  <c r="L97" i="51"/>
  <c r="M98" i="51" s="1"/>
  <c r="Q186" i="51"/>
  <c r="L92" i="51"/>
  <c r="K101" i="51"/>
  <c r="Q15" i="4"/>
  <c r="P25" i="4"/>
  <c r="P18" i="4"/>
  <c r="S25" i="6"/>
  <c r="N7" i="56"/>
  <c r="AN7" i="56" s="1"/>
  <c r="I36" i="51"/>
  <c r="AF44" i="56"/>
  <c r="AG44" i="56"/>
  <c r="K99" i="51"/>
  <c r="P33" i="4"/>
  <c r="P26" i="4"/>
  <c r="N35" i="56"/>
  <c r="R77" i="51"/>
  <c r="AU60" i="56" s="1"/>
  <c r="M27" i="56"/>
  <c r="M8" i="56"/>
  <c r="L9" i="56"/>
  <c r="E7" i="23"/>
  <c r="AH6" i="56"/>
  <c r="M42" i="51"/>
  <c r="N40" i="51"/>
  <c r="J59" i="56"/>
  <c r="J62" i="56" s="1"/>
  <c r="AG28" i="56"/>
  <c r="AG29" i="56" s="1"/>
  <c r="AX28" i="56"/>
  <c r="AY28" i="56" s="1"/>
  <c r="J36" i="51"/>
  <c r="J41" i="51"/>
  <c r="H36" i="51"/>
  <c r="H41" i="51"/>
  <c r="C39" i="56"/>
  <c r="AB38" i="56"/>
  <c r="M25" i="51"/>
  <c r="M24" i="51"/>
  <c r="G43" i="23"/>
  <c r="Q187" i="51"/>
  <c r="O44" i="56"/>
  <c r="AQ44" i="56" s="1"/>
  <c r="M23" i="51"/>
  <c r="M26" i="51"/>
  <c r="M20" i="51"/>
  <c r="P14" i="23"/>
  <c r="G48" i="23"/>
  <c r="G50" i="23"/>
  <c r="M6" i="56"/>
  <c r="Q17" i="4"/>
  <c r="Q41" i="4"/>
  <c r="P32" i="4"/>
  <c r="P166" i="51"/>
  <c r="S151" i="51"/>
  <c r="S141" i="51"/>
  <c r="T150" i="51"/>
  <c r="Q59" i="51"/>
  <c r="Q165" i="51"/>
  <c r="Q54" i="51"/>
  <c r="P55" i="51"/>
  <c r="P57" i="51"/>
  <c r="N140" i="51"/>
  <c r="K65" i="56" l="1"/>
  <c r="AT56" i="56"/>
  <c r="AM7" i="56"/>
  <c r="AN62" i="56"/>
  <c r="AP55" i="56"/>
  <c r="Q57" i="51"/>
  <c r="AT55" i="56"/>
  <c r="AS55" i="56" s="1"/>
  <c r="AP44" i="56"/>
  <c r="AO44" i="56"/>
  <c r="J53" i="23"/>
  <c r="U15" i="23"/>
  <c r="M182" i="51"/>
  <c r="N182" i="51" s="1"/>
  <c r="O182" i="51" s="1"/>
  <c r="AJ35" i="56"/>
  <c r="BA35" i="56"/>
  <c r="BB35" i="56" s="1"/>
  <c r="H18" i="56"/>
  <c r="H20" i="56" s="1"/>
  <c r="AM44" i="56"/>
  <c r="AL44" i="56"/>
  <c r="AL45" i="56" s="1"/>
  <c r="I38" i="51"/>
  <c r="D11" i="23"/>
  <c r="K40" i="51"/>
  <c r="K41" i="51" s="1"/>
  <c r="Q170" i="51"/>
  <c r="T27" i="23"/>
  <c r="T22" i="23"/>
  <c r="I47" i="23"/>
  <c r="I51" i="23"/>
  <c r="BP18" i="56"/>
  <c r="AN35" i="56"/>
  <c r="AK27" i="56"/>
  <c r="F9" i="23"/>
  <c r="AK8" i="56"/>
  <c r="BA8" i="56" s="1"/>
  <c r="BB8" i="56" s="1"/>
  <c r="AK6" i="56"/>
  <c r="L10" i="56"/>
  <c r="E11" i="23" s="1"/>
  <c r="L68" i="4"/>
  <c r="AH9" i="56"/>
  <c r="L67" i="4"/>
  <c r="L66" i="4"/>
  <c r="Q41" i="23"/>
  <c r="Q26" i="4"/>
  <c r="Q197" i="51"/>
  <c r="Q25" i="4"/>
  <c r="P19" i="4"/>
  <c r="R29" i="23"/>
  <c r="R28" i="23" s="1"/>
  <c r="R186" i="51"/>
  <c r="R34" i="4"/>
  <c r="R15" i="4"/>
  <c r="C16" i="6"/>
  <c r="C17" i="6"/>
  <c r="T25" i="6"/>
  <c r="Q33" i="4"/>
  <c r="G32" i="23"/>
  <c r="Q18" i="4"/>
  <c r="P42" i="4"/>
  <c r="K102" i="51"/>
  <c r="L102" i="51"/>
  <c r="G8" i="23"/>
  <c r="L148" i="51"/>
  <c r="L99" i="51"/>
  <c r="L96" i="51"/>
  <c r="L98" i="51"/>
  <c r="P28" i="4"/>
  <c r="P167" i="51"/>
  <c r="L36" i="51"/>
  <c r="L34" i="51"/>
  <c r="L31" i="51"/>
  <c r="L33" i="51"/>
  <c r="Q27" i="4"/>
  <c r="K31" i="51"/>
  <c r="K34" i="51"/>
  <c r="K33" i="51"/>
  <c r="O35" i="56"/>
  <c r="S77" i="51"/>
  <c r="N144" i="51"/>
  <c r="E10" i="23"/>
  <c r="M26" i="56"/>
  <c r="N32" i="51"/>
  <c r="M41" i="51"/>
  <c r="AX6" i="56"/>
  <c r="AY6" i="56" s="1"/>
  <c r="AG6" i="56"/>
  <c r="AF9" i="56"/>
  <c r="AI10" i="56" s="1"/>
  <c r="AX8" i="56"/>
  <c r="J38" i="51"/>
  <c r="J37" i="51"/>
  <c r="I18" i="56"/>
  <c r="G18" i="56"/>
  <c r="H38" i="51"/>
  <c r="H37" i="51"/>
  <c r="I37" i="51"/>
  <c r="AB39" i="56"/>
  <c r="C40" i="56"/>
  <c r="R187" i="51"/>
  <c r="P44" i="56"/>
  <c r="AT44" i="56" s="1"/>
  <c r="AG8" i="56"/>
  <c r="P9" i="23"/>
  <c r="P21" i="23"/>
  <c r="N8" i="56"/>
  <c r="AN8" i="56" s="1"/>
  <c r="P17" i="23"/>
  <c r="P16" i="23" s="1"/>
  <c r="N6" i="56"/>
  <c r="M9" i="56"/>
  <c r="F7" i="23"/>
  <c r="Q32" i="4"/>
  <c r="Q166" i="51"/>
  <c r="R41" i="4"/>
  <c r="R17" i="4"/>
  <c r="N26" i="51"/>
  <c r="Q55" i="51"/>
  <c r="R54" i="51"/>
  <c r="AU55" i="56" s="1"/>
  <c r="R165" i="51"/>
  <c r="R59" i="51"/>
  <c r="U150" i="51"/>
  <c r="T141" i="51"/>
  <c r="T151" i="51"/>
  <c r="AS44" i="56" l="1"/>
  <c r="AR44" i="56"/>
  <c r="L65" i="56"/>
  <c r="O139" i="51"/>
  <c r="O144" i="51" s="1"/>
  <c r="AU56" i="56"/>
  <c r="AY8" i="56"/>
  <c r="P15" i="6"/>
  <c r="AQ35" i="56"/>
  <c r="BG35" i="56" s="1"/>
  <c r="J51" i="23"/>
  <c r="J47" i="23"/>
  <c r="G21" i="23"/>
  <c r="O40" i="51"/>
  <c r="U27" i="23"/>
  <c r="U22" i="23"/>
  <c r="H22" i="56"/>
  <c r="AJ6" i="56"/>
  <c r="BA6" i="56"/>
  <c r="BB6" i="56" s="1"/>
  <c r="AM35" i="56"/>
  <c r="BD35" i="56"/>
  <c r="BE35" i="56" s="1"/>
  <c r="AM8" i="56"/>
  <c r="BD8" i="56"/>
  <c r="BE8" i="56" s="1"/>
  <c r="S54" i="51"/>
  <c r="N27" i="56"/>
  <c r="I43" i="23"/>
  <c r="K36" i="51"/>
  <c r="K38" i="51" s="1"/>
  <c r="L41" i="51"/>
  <c r="R170" i="51"/>
  <c r="AK26" i="56"/>
  <c r="AJ26" i="56" s="1"/>
  <c r="M70" i="4"/>
  <c r="M68" i="4"/>
  <c r="M67" i="4"/>
  <c r="AK9" i="56"/>
  <c r="M66" i="4"/>
  <c r="I50" i="23"/>
  <c r="I48" i="23"/>
  <c r="BQ18" i="56"/>
  <c r="AH10" i="56"/>
  <c r="AN6" i="56"/>
  <c r="AN57" i="56" s="1"/>
  <c r="AJ27" i="56"/>
  <c r="K12" i="56"/>
  <c r="S186" i="51"/>
  <c r="R33" i="4"/>
  <c r="R25" i="4"/>
  <c r="J12" i="56"/>
  <c r="P168" i="51"/>
  <c r="S15" i="4"/>
  <c r="R27" i="4"/>
  <c r="K18" i="56"/>
  <c r="L38" i="51"/>
  <c r="Q42" i="4"/>
  <c r="R197" i="51"/>
  <c r="Q28" i="4"/>
  <c r="C19" i="6"/>
  <c r="S34" i="4"/>
  <c r="U25" i="6"/>
  <c r="Q167" i="51"/>
  <c r="P10" i="4"/>
  <c r="R18" i="4"/>
  <c r="C18" i="6"/>
  <c r="Q19" i="4"/>
  <c r="R26" i="4"/>
  <c r="P35" i="56"/>
  <c r="R41" i="23"/>
  <c r="T77" i="51"/>
  <c r="M28" i="56"/>
  <c r="O32" i="51"/>
  <c r="P19" i="51"/>
  <c r="O8" i="56"/>
  <c r="AQ8" i="56" s="1"/>
  <c r="BG8" i="56" s="1"/>
  <c r="BJ8" i="56" s="1"/>
  <c r="Q13" i="51"/>
  <c r="AF24" i="56"/>
  <c r="AF14" i="56"/>
  <c r="N41" i="51"/>
  <c r="AX9" i="56"/>
  <c r="AG9" i="56"/>
  <c r="AI65" i="56" s="1"/>
  <c r="G9" i="23"/>
  <c r="I20" i="56"/>
  <c r="I19" i="56"/>
  <c r="I22" i="56"/>
  <c r="G19" i="56"/>
  <c r="H19" i="56"/>
  <c r="G20" i="56"/>
  <c r="G22" i="56"/>
  <c r="N42" i="51"/>
  <c r="AB40" i="56"/>
  <c r="C41" i="56"/>
  <c r="S187" i="51"/>
  <c r="Q44" i="56"/>
  <c r="AU44" i="56" s="1"/>
  <c r="P24" i="23"/>
  <c r="M65" i="56"/>
  <c r="F10" i="23"/>
  <c r="M10" i="56"/>
  <c r="N9" i="56"/>
  <c r="G7" i="23"/>
  <c r="Q21" i="23"/>
  <c r="Q9" i="23"/>
  <c r="S17" i="4"/>
  <c r="R32" i="4"/>
  <c r="R166" i="51"/>
  <c r="S41" i="4"/>
  <c r="R55" i="51"/>
  <c r="R57" i="51"/>
  <c r="V150" i="51"/>
  <c r="W150" i="51" s="1"/>
  <c r="X150" i="51" s="1"/>
  <c r="Y150" i="51" s="1"/>
  <c r="U151" i="51"/>
  <c r="U141" i="51"/>
  <c r="S165" i="51"/>
  <c r="S59" i="51"/>
  <c r="P146" i="51" l="1"/>
  <c r="P140" i="51" s="1"/>
  <c r="P139" i="51"/>
  <c r="I11" i="6"/>
  <c r="AP8" i="56"/>
  <c r="BH8" i="56"/>
  <c r="AP35" i="56"/>
  <c r="BH35" i="56"/>
  <c r="I32" i="23"/>
  <c r="AT35" i="56"/>
  <c r="AR35" i="56" s="1"/>
  <c r="AK28" i="56"/>
  <c r="M29" i="56"/>
  <c r="J50" i="23"/>
  <c r="J48" i="23"/>
  <c r="O33" i="51"/>
  <c r="O36" i="51"/>
  <c r="O31" i="51"/>
  <c r="O34" i="51"/>
  <c r="O42" i="51"/>
  <c r="O41" i="51"/>
  <c r="Y151" i="51"/>
  <c r="Y141" i="51"/>
  <c r="Y25" i="6"/>
  <c r="J43" i="23"/>
  <c r="H31" i="56"/>
  <c r="H24" i="56"/>
  <c r="AM6" i="56"/>
  <c r="AM57" i="56" s="1"/>
  <c r="BD6" i="56"/>
  <c r="BE6" i="56" s="1"/>
  <c r="BA9" i="56"/>
  <c r="BR18" i="56"/>
  <c r="L37" i="51"/>
  <c r="J18" i="56"/>
  <c r="K19" i="56" s="1"/>
  <c r="K37" i="51"/>
  <c r="S170" i="51"/>
  <c r="X151" i="51"/>
  <c r="X25" i="6"/>
  <c r="X141" i="51"/>
  <c r="Q15" i="6"/>
  <c r="AI15" i="56"/>
  <c r="AN9" i="56"/>
  <c r="BD9" i="56" s="1"/>
  <c r="AN27" i="56"/>
  <c r="AM27" i="56" s="1"/>
  <c r="AJ8" i="56"/>
  <c r="AK10" i="56"/>
  <c r="AJ9" i="56"/>
  <c r="AF16" i="56"/>
  <c r="AI31" i="56"/>
  <c r="W25" i="6"/>
  <c r="W141" i="51"/>
  <c r="W151" i="51"/>
  <c r="S41" i="23"/>
  <c r="R19" i="4"/>
  <c r="Q10" i="4"/>
  <c r="T34" i="4"/>
  <c r="S197" i="51"/>
  <c r="S27" i="4"/>
  <c r="T15" i="4"/>
  <c r="T186" i="51"/>
  <c r="R42" i="4"/>
  <c r="J14" i="56"/>
  <c r="S25" i="4"/>
  <c r="AE12" i="56"/>
  <c r="K14" i="56"/>
  <c r="Q168" i="51"/>
  <c r="V25" i="6"/>
  <c r="R167" i="51"/>
  <c r="C20" i="6"/>
  <c r="C23" i="6"/>
  <c r="S26" i="4"/>
  <c r="S18" i="4"/>
  <c r="R28" i="4"/>
  <c r="AE18" i="56"/>
  <c r="K20" i="56"/>
  <c r="D17" i="23"/>
  <c r="S33" i="4"/>
  <c r="Q35" i="56"/>
  <c r="U77" i="51"/>
  <c r="F27" i="23"/>
  <c r="Q19" i="51"/>
  <c r="R13" i="51"/>
  <c r="P8" i="56"/>
  <c r="AT8" i="56" s="1"/>
  <c r="AR8" i="56" s="1"/>
  <c r="AF18" i="56"/>
  <c r="AI19" i="56" s="1"/>
  <c r="AY9" i="56"/>
  <c r="AB41" i="56"/>
  <c r="I52" i="6"/>
  <c r="I53" i="6" s="1"/>
  <c r="I12" i="6"/>
  <c r="J11" i="6"/>
  <c r="I31" i="56"/>
  <c r="I24" i="56"/>
  <c r="I23" i="56"/>
  <c r="H11" i="6"/>
  <c r="G31" i="56"/>
  <c r="G23" i="56"/>
  <c r="G24" i="56"/>
  <c r="H23" i="56"/>
  <c r="T187" i="51"/>
  <c r="R44" i="56"/>
  <c r="P40" i="23"/>
  <c r="P23" i="23"/>
  <c r="P30" i="23"/>
  <c r="P182" i="51"/>
  <c r="N65" i="56"/>
  <c r="Q24" i="23"/>
  <c r="R21" i="23"/>
  <c r="N68" i="4"/>
  <c r="R9" i="23"/>
  <c r="N53" i="4"/>
  <c r="N67" i="4"/>
  <c r="F11" i="23"/>
  <c r="G10" i="23"/>
  <c r="N10" i="56"/>
  <c r="Q47" i="23"/>
  <c r="T41" i="4"/>
  <c r="T17" i="4"/>
  <c r="S32" i="4"/>
  <c r="S166" i="51"/>
  <c r="T59" i="51"/>
  <c r="T165" i="51"/>
  <c r="S57" i="51"/>
  <c r="S55" i="51"/>
  <c r="T54" i="51"/>
  <c r="P154" i="51"/>
  <c r="P134" i="51"/>
  <c r="V151" i="51"/>
  <c r="V141" i="51"/>
  <c r="P144" i="51" l="1"/>
  <c r="BK8" i="56"/>
  <c r="AS8" i="56"/>
  <c r="BK35" i="56"/>
  <c r="AS35" i="56"/>
  <c r="N18" i="56"/>
  <c r="N20" i="56" s="1"/>
  <c r="BS18" i="56"/>
  <c r="BB9" i="56"/>
  <c r="AJ65" i="56"/>
  <c r="AL65" i="56"/>
  <c r="AO57" i="56"/>
  <c r="J32" i="23"/>
  <c r="AU35" i="56"/>
  <c r="BA28" i="56"/>
  <c r="AK29" i="56"/>
  <c r="O38" i="51"/>
  <c r="H33" i="56"/>
  <c r="H36" i="56"/>
  <c r="AI36" i="56"/>
  <c r="AL32" i="56"/>
  <c r="AM9" i="56"/>
  <c r="J19" i="56"/>
  <c r="J20" i="56"/>
  <c r="T170" i="51"/>
  <c r="T41" i="23"/>
  <c r="S13" i="51"/>
  <c r="R47" i="23"/>
  <c r="I9" i="23"/>
  <c r="R15" i="6"/>
  <c r="AJ10" i="56"/>
  <c r="AN10" i="56"/>
  <c r="AI33" i="56"/>
  <c r="AJ28" i="56"/>
  <c r="AJ29" i="56" s="1"/>
  <c r="Q8" i="56"/>
  <c r="AU8" i="56" s="1"/>
  <c r="R19" i="51"/>
  <c r="W77" i="51"/>
  <c r="Q14" i="23"/>
  <c r="O27" i="56"/>
  <c r="AQ27" i="56" s="1"/>
  <c r="T33" i="4"/>
  <c r="AE19" i="56"/>
  <c r="AE20" i="56"/>
  <c r="C24" i="6"/>
  <c r="S42" i="4"/>
  <c r="U15" i="4"/>
  <c r="U34" i="4"/>
  <c r="T25" i="4"/>
  <c r="T27" i="4"/>
  <c r="D18" i="23"/>
  <c r="T26" i="4"/>
  <c r="R10" i="4"/>
  <c r="S167" i="51"/>
  <c r="R168" i="51"/>
  <c r="J15" i="56"/>
  <c r="J16" i="56"/>
  <c r="J22" i="56"/>
  <c r="T18" i="4"/>
  <c r="D19" i="23"/>
  <c r="S28" i="4"/>
  <c r="D13" i="23"/>
  <c r="K16" i="56"/>
  <c r="K15" i="56"/>
  <c r="AE14" i="56"/>
  <c r="K22" i="56"/>
  <c r="U186" i="51"/>
  <c r="T197" i="51"/>
  <c r="S19" i="4"/>
  <c r="R35" i="56"/>
  <c r="V77" i="51"/>
  <c r="N26" i="56"/>
  <c r="N28" i="56" s="1"/>
  <c r="N29" i="56" s="1"/>
  <c r="G11" i="23"/>
  <c r="I36" i="56"/>
  <c r="I32" i="56"/>
  <c r="I33" i="56"/>
  <c r="J52" i="6"/>
  <c r="J53" i="6" s="1"/>
  <c r="J12" i="6"/>
  <c r="G32" i="56"/>
  <c r="H32" i="56"/>
  <c r="G36" i="56"/>
  <c r="G33" i="56"/>
  <c r="H52" i="6"/>
  <c r="H53" i="6" s="1"/>
  <c r="H12" i="6"/>
  <c r="U187" i="51"/>
  <c r="S44" i="56"/>
  <c r="Q182" i="51"/>
  <c r="O65" i="56"/>
  <c r="N55" i="4"/>
  <c r="N54" i="4"/>
  <c r="N66" i="4"/>
  <c r="R24" i="23"/>
  <c r="Q40" i="23"/>
  <c r="Q30" i="23"/>
  <c r="Q23" i="23"/>
  <c r="Q50" i="23"/>
  <c r="Q49" i="23" s="1"/>
  <c r="R50" i="23"/>
  <c r="U17" i="4"/>
  <c r="T32" i="4"/>
  <c r="T166" i="51"/>
  <c r="U41" i="4"/>
  <c r="U165" i="51"/>
  <c r="T57" i="51"/>
  <c r="T55" i="51"/>
  <c r="U54" i="51"/>
  <c r="U59" i="51"/>
  <c r="O200" i="51" l="1"/>
  <c r="AO65" i="56"/>
  <c r="AO10" i="56"/>
  <c r="H38" i="56"/>
  <c r="BE9" i="56"/>
  <c r="AM65" i="56"/>
  <c r="BB28" i="56"/>
  <c r="U41" i="23"/>
  <c r="J9" i="23"/>
  <c r="AI38" i="56"/>
  <c r="R49" i="23"/>
  <c r="AM10" i="56"/>
  <c r="U170" i="51"/>
  <c r="R8" i="56"/>
  <c r="S19" i="51"/>
  <c r="T13" i="51"/>
  <c r="X77" i="51"/>
  <c r="S15" i="6"/>
  <c r="AN26" i="56"/>
  <c r="AM26" i="56" s="1"/>
  <c r="S50" i="23"/>
  <c r="S47" i="23"/>
  <c r="P147" i="51"/>
  <c r="Q17" i="23"/>
  <c r="Q16" i="23" s="1"/>
  <c r="V41" i="4"/>
  <c r="W41" i="4" s="1"/>
  <c r="X41" i="4" s="1"/>
  <c r="V17" i="4"/>
  <c r="W17" i="4" s="1"/>
  <c r="X17" i="4" s="1"/>
  <c r="V15" i="4"/>
  <c r="W15" i="4" s="1"/>
  <c r="X15" i="4" s="1"/>
  <c r="V34" i="4"/>
  <c r="W34" i="4" s="1"/>
  <c r="X34" i="4" s="1"/>
  <c r="W85" i="51"/>
  <c r="W78" i="51"/>
  <c r="W79" i="51"/>
  <c r="D14" i="23"/>
  <c r="C25" i="6"/>
  <c r="U197" i="51"/>
  <c r="J31" i="56"/>
  <c r="J72" i="56"/>
  <c r="J70" i="56"/>
  <c r="K11" i="6"/>
  <c r="J58" i="56"/>
  <c r="J60" i="56"/>
  <c r="J24" i="56"/>
  <c r="J23" i="56"/>
  <c r="D15" i="23"/>
  <c r="T28" i="4"/>
  <c r="S168" i="51"/>
  <c r="U25" i="4"/>
  <c r="V186" i="51"/>
  <c r="U27" i="4"/>
  <c r="T167" i="51"/>
  <c r="K70" i="56"/>
  <c r="K24" i="56"/>
  <c r="AE22" i="56"/>
  <c r="AD22" i="56" s="1"/>
  <c r="AD23" i="56" s="1"/>
  <c r="K60" i="56"/>
  <c r="K72" i="56"/>
  <c r="K58" i="56"/>
  <c r="O39" i="23"/>
  <c r="D23" i="23"/>
  <c r="K31" i="56"/>
  <c r="K23" i="56"/>
  <c r="L11" i="6"/>
  <c r="S10" i="4"/>
  <c r="U33" i="4"/>
  <c r="T19" i="4"/>
  <c r="AE15" i="56"/>
  <c r="AE16" i="56"/>
  <c r="T42" i="4"/>
  <c r="U18" i="4"/>
  <c r="U26" i="4"/>
  <c r="S35" i="56"/>
  <c r="G27" i="23"/>
  <c r="AF20" i="56"/>
  <c r="G38" i="56"/>
  <c r="I38" i="56"/>
  <c r="V187" i="51"/>
  <c r="W187" i="51" s="1"/>
  <c r="T44" i="56"/>
  <c r="R182" i="51"/>
  <c r="P65" i="56"/>
  <c r="R23" i="23"/>
  <c r="R30" i="23"/>
  <c r="R40" i="23"/>
  <c r="U32" i="4"/>
  <c r="U166" i="51"/>
  <c r="V59" i="51"/>
  <c r="H173" i="51"/>
  <c r="V54" i="51"/>
  <c r="U57" i="51"/>
  <c r="U55" i="51"/>
  <c r="V165" i="51"/>
  <c r="V170" i="51" s="1"/>
  <c r="I173" i="51"/>
  <c r="J173" i="51"/>
  <c r="H40" i="56" l="1"/>
  <c r="W59" i="51"/>
  <c r="Y77" i="51"/>
  <c r="Y85" i="51" s="1"/>
  <c r="X85" i="51"/>
  <c r="X86" i="51" s="1"/>
  <c r="U13" i="51"/>
  <c r="V13" i="51" s="1"/>
  <c r="V19" i="51" s="1"/>
  <c r="S8" i="56"/>
  <c r="Q146" i="51"/>
  <c r="T19" i="51"/>
  <c r="X79" i="51"/>
  <c r="X78" i="51"/>
  <c r="V44" i="56"/>
  <c r="X187" i="51"/>
  <c r="T15" i="6"/>
  <c r="AN28" i="56"/>
  <c r="AN29" i="56" s="1"/>
  <c r="S49" i="23"/>
  <c r="W186" i="51"/>
  <c r="X186" i="51" s="1"/>
  <c r="Y186" i="51" s="1"/>
  <c r="W165" i="51"/>
  <c r="W170" i="51" s="1"/>
  <c r="V27" i="4"/>
  <c r="W27" i="4" s="1"/>
  <c r="X27" i="4" s="1"/>
  <c r="V18" i="4"/>
  <c r="W18" i="4" s="1"/>
  <c r="X18" i="4" s="1"/>
  <c r="V25" i="4"/>
  <c r="W25" i="4" s="1"/>
  <c r="X25" i="4" s="1"/>
  <c r="V26" i="4"/>
  <c r="W26" i="4" s="1"/>
  <c r="X26" i="4" s="1"/>
  <c r="V33" i="4"/>
  <c r="W33" i="4" s="1"/>
  <c r="X33" i="4" s="1"/>
  <c r="V32" i="4"/>
  <c r="W54" i="51"/>
  <c r="X54" i="51" s="1"/>
  <c r="W12" i="51"/>
  <c r="AE24" i="56"/>
  <c r="D25" i="23"/>
  <c r="U28" i="4"/>
  <c r="J32" i="56"/>
  <c r="J71" i="56"/>
  <c r="J71" i="4"/>
  <c r="J61" i="4"/>
  <c r="J36" i="56"/>
  <c r="J61" i="56"/>
  <c r="J33" i="56"/>
  <c r="D62" i="23"/>
  <c r="O43" i="23"/>
  <c r="C26" i="6"/>
  <c r="K33" i="56"/>
  <c r="D28" i="23"/>
  <c r="K61" i="56"/>
  <c r="AE31" i="56"/>
  <c r="K71" i="4"/>
  <c r="K32" i="56"/>
  <c r="K61" i="4"/>
  <c r="K71" i="56"/>
  <c r="K36" i="56"/>
  <c r="L173" i="51" s="1"/>
  <c r="K12" i="6"/>
  <c r="K52" i="6"/>
  <c r="K53" i="6" s="1"/>
  <c r="T168" i="51"/>
  <c r="V197" i="51"/>
  <c r="W197" i="51" s="1"/>
  <c r="X197" i="51" s="1"/>
  <c r="Y197" i="51" s="1"/>
  <c r="U167" i="51"/>
  <c r="AE23" i="56"/>
  <c r="D24" i="23"/>
  <c r="U42" i="4"/>
  <c r="U19" i="4"/>
  <c r="T10" i="4"/>
  <c r="U44" i="56"/>
  <c r="L52" i="6"/>
  <c r="L53" i="6" s="1"/>
  <c r="L12" i="6"/>
  <c r="T35" i="56"/>
  <c r="AF31" i="56"/>
  <c r="J174" i="51"/>
  <c r="I174" i="51"/>
  <c r="H174" i="51"/>
  <c r="G40" i="56"/>
  <c r="I40" i="56"/>
  <c r="S182" i="51"/>
  <c r="Q65" i="56"/>
  <c r="V166" i="51"/>
  <c r="V57" i="51"/>
  <c r="V55" i="51"/>
  <c r="X59" i="51" l="1"/>
  <c r="Q140" i="51"/>
  <c r="X108" i="51"/>
  <c r="W44" i="56"/>
  <c r="Y187" i="51"/>
  <c r="X44" i="56" s="1"/>
  <c r="Y108" i="51"/>
  <c r="Y86" i="51"/>
  <c r="Y12" i="51"/>
  <c r="X12" i="51"/>
  <c r="X18" i="51" s="1"/>
  <c r="X55" i="51"/>
  <c r="Y54" i="51"/>
  <c r="X118" i="51"/>
  <c r="Y79" i="51"/>
  <c r="Y78" i="51"/>
  <c r="W108" i="51"/>
  <c r="W113" i="51"/>
  <c r="AM28" i="56"/>
  <c r="BD28" i="56"/>
  <c r="U8" i="56"/>
  <c r="P27" i="56"/>
  <c r="T8" i="56"/>
  <c r="W13" i="51"/>
  <c r="U19" i="51"/>
  <c r="Q139" i="51"/>
  <c r="V35" i="56"/>
  <c r="W15" i="6" s="1"/>
  <c r="X165" i="51"/>
  <c r="W166" i="51"/>
  <c r="W167" i="51" s="1"/>
  <c r="W168" i="51" s="1"/>
  <c r="W32" i="4"/>
  <c r="X32" i="4" s="1"/>
  <c r="X57" i="51"/>
  <c r="U15" i="6"/>
  <c r="AF36" i="56"/>
  <c r="AI32" i="56"/>
  <c r="L172" i="51"/>
  <c r="P130" i="51"/>
  <c r="O26" i="56"/>
  <c r="V28" i="4"/>
  <c r="W28" i="4" s="1"/>
  <c r="X28" i="4" s="1"/>
  <c r="V19" i="4"/>
  <c r="W19" i="4" s="1"/>
  <c r="X19" i="4" s="1"/>
  <c r="V42" i="4"/>
  <c r="W42" i="4" s="1"/>
  <c r="X42" i="4" s="1"/>
  <c r="V7" i="56"/>
  <c r="W55" i="51"/>
  <c r="W57" i="51"/>
  <c r="AE36" i="56"/>
  <c r="D33" i="23"/>
  <c r="J38" i="56"/>
  <c r="K173" i="51"/>
  <c r="J73" i="56"/>
  <c r="C27" i="6"/>
  <c r="J62" i="4"/>
  <c r="K62" i="4"/>
  <c r="V167" i="51"/>
  <c r="U10" i="4"/>
  <c r="U168" i="51"/>
  <c r="D29" i="23"/>
  <c r="AE32" i="56"/>
  <c r="AE33" i="56"/>
  <c r="D30" i="23"/>
  <c r="U35" i="56"/>
  <c r="N70" i="4"/>
  <c r="N69" i="4"/>
  <c r="R14" i="23"/>
  <c r="AF33" i="56"/>
  <c r="H41" i="56"/>
  <c r="G41" i="56"/>
  <c r="I41" i="56"/>
  <c r="T182" i="51"/>
  <c r="R65" i="56"/>
  <c r="AM29" i="56" l="1"/>
  <c r="AV28" i="56"/>
  <c r="AV29" i="56" s="1"/>
  <c r="AV30" i="56" s="1"/>
  <c r="Y59" i="51"/>
  <c r="BE28" i="56"/>
  <c r="X110" i="51"/>
  <c r="AT27" i="56"/>
  <c r="AS27" i="56" s="1"/>
  <c r="AQ26" i="56"/>
  <c r="Q147" i="51"/>
  <c r="W7" i="56"/>
  <c r="X113" i="51"/>
  <c r="X170" i="51"/>
  <c r="W35" i="56" s="1"/>
  <c r="X15" i="6" s="1"/>
  <c r="Y165" i="51"/>
  <c r="Y170" i="51" s="1"/>
  <c r="X35" i="56" s="1"/>
  <c r="Y15" i="6" s="1"/>
  <c r="Y118" i="51"/>
  <c r="Y55" i="51"/>
  <c r="Y57" i="51"/>
  <c r="Y18" i="51"/>
  <c r="X7" i="56"/>
  <c r="Y110" i="51"/>
  <c r="Y113" i="51"/>
  <c r="X13" i="51"/>
  <c r="X19" i="51" s="1"/>
  <c r="Y166" i="51"/>
  <c r="Y167" i="51" s="1"/>
  <c r="W19" i="51"/>
  <c r="V8" i="56"/>
  <c r="Q144" i="51"/>
  <c r="X166" i="51"/>
  <c r="X167" i="51" s="1"/>
  <c r="X168" i="51" s="1"/>
  <c r="V15" i="6"/>
  <c r="K37" i="56"/>
  <c r="L174" i="51"/>
  <c r="O28" i="56"/>
  <c r="AQ28" i="56" s="1"/>
  <c r="BG28" i="56" s="1"/>
  <c r="S14" i="23"/>
  <c r="V10" i="4"/>
  <c r="W10" i="4" s="1"/>
  <c r="X10" i="4" s="1"/>
  <c r="Q129" i="51"/>
  <c r="Q124" i="51" s="1"/>
  <c r="C30" i="6"/>
  <c r="J40" i="56"/>
  <c r="V168" i="51"/>
  <c r="K174" i="51"/>
  <c r="R17" i="23"/>
  <c r="R16" i="23" s="1"/>
  <c r="Q123" i="51"/>
  <c r="H42" i="56"/>
  <c r="I42" i="56"/>
  <c r="G42" i="56"/>
  <c r="O69" i="4"/>
  <c r="O70" i="4"/>
  <c r="U182" i="51"/>
  <c r="S65" i="56"/>
  <c r="BH28" i="56" l="1"/>
  <c r="BJ28" i="56"/>
  <c r="R139" i="51"/>
  <c r="R146" i="51"/>
  <c r="AO29" i="56"/>
  <c r="AP26" i="56"/>
  <c r="AP28" i="56"/>
  <c r="AP29" i="56" s="1"/>
  <c r="X114" i="51"/>
  <c r="O29" i="56"/>
  <c r="AQ29" i="56" s="1"/>
  <c r="Y168" i="51"/>
  <c r="Y114" i="51"/>
  <c r="W8" i="56"/>
  <c r="Y13" i="51"/>
  <c r="P16" i="4"/>
  <c r="K38" i="56"/>
  <c r="D35" i="23" s="1"/>
  <c r="D34" i="23"/>
  <c r="AE37" i="56"/>
  <c r="K73" i="56"/>
  <c r="S17" i="23"/>
  <c r="S16" i="23" s="1"/>
  <c r="P26" i="56"/>
  <c r="AT26" i="56" s="1"/>
  <c r="AS26" i="56" s="1"/>
  <c r="Q130" i="51"/>
  <c r="J41" i="56"/>
  <c r="C31" i="6"/>
  <c r="V182" i="51"/>
  <c r="W182" i="51" s="1"/>
  <c r="T65" i="56"/>
  <c r="AP27" i="56" l="1"/>
  <c r="X8" i="56"/>
  <c r="Y19" i="51"/>
  <c r="Q27" i="56"/>
  <c r="AU27" i="56" s="1"/>
  <c r="R140" i="51"/>
  <c r="R147" i="51"/>
  <c r="P28" i="56"/>
  <c r="V65" i="56"/>
  <c r="X182" i="51"/>
  <c r="K40" i="56"/>
  <c r="AE38" i="56"/>
  <c r="J65" i="4"/>
  <c r="J42" i="56"/>
  <c r="J64" i="4"/>
  <c r="J45" i="56"/>
  <c r="U65" i="56"/>
  <c r="C32" i="6"/>
  <c r="P29" i="56" l="1"/>
  <c r="AT29" i="56" s="1"/>
  <c r="AT28" i="56"/>
  <c r="AR28" i="56" s="1"/>
  <c r="AR29" i="56" s="1"/>
  <c r="R144" i="51"/>
  <c r="W65" i="56"/>
  <c r="Y182" i="51"/>
  <c r="X65" i="56" s="1"/>
  <c r="D37" i="23"/>
  <c r="K41" i="56"/>
  <c r="I27" i="23"/>
  <c r="J46" i="56"/>
  <c r="J66" i="56"/>
  <c r="C33" i="6"/>
  <c r="BK28" i="56" l="1"/>
  <c r="AS28" i="56"/>
  <c r="AS29" i="56" s="1"/>
  <c r="Q16" i="4"/>
  <c r="S146" i="51"/>
  <c r="S140" i="51" s="1"/>
  <c r="S139" i="51"/>
  <c r="AE41" i="56"/>
  <c r="AD41" i="56" s="1"/>
  <c r="K42" i="56"/>
  <c r="K64" i="4"/>
  <c r="D64" i="23" s="1"/>
  <c r="K65" i="4"/>
  <c r="D65" i="23" s="1"/>
  <c r="K45" i="56"/>
  <c r="D38" i="23"/>
  <c r="C34" i="6"/>
  <c r="R27" i="56" l="1"/>
  <c r="S147" i="51"/>
  <c r="D39" i="23"/>
  <c r="AE42" i="56"/>
  <c r="D40" i="23"/>
  <c r="AE45" i="56"/>
  <c r="K46" i="56"/>
  <c r="D41" i="23" s="1"/>
  <c r="K66" i="56"/>
  <c r="C35" i="6"/>
  <c r="S144" i="51"/>
  <c r="AE46" i="56" l="1"/>
  <c r="C36" i="6"/>
  <c r="R16" i="4"/>
  <c r="T139" i="51"/>
  <c r="T146" i="51"/>
  <c r="L184" i="51"/>
  <c r="C37" i="6" l="1"/>
  <c r="S27" i="56"/>
  <c r="T140" i="51"/>
  <c r="T147" i="51"/>
  <c r="L176" i="51"/>
  <c r="C39" i="6" l="1"/>
  <c r="T144" i="51"/>
  <c r="C40" i="6" l="1"/>
  <c r="U139" i="51"/>
  <c r="S16" i="4"/>
  <c r="U146" i="51"/>
  <c r="C41" i="6" l="1"/>
  <c r="T27" i="56"/>
  <c r="U140" i="51"/>
  <c r="U147" i="51"/>
  <c r="C42" i="6" l="1"/>
  <c r="C44" i="6" s="1"/>
  <c r="C51" i="6"/>
  <c r="C52" i="6" s="1"/>
  <c r="U144" i="51"/>
  <c r="T16" i="4" l="1"/>
  <c r="V139" i="51"/>
  <c r="V146" i="51"/>
  <c r="U27" i="56" l="1"/>
  <c r="V147" i="51"/>
  <c r="V140" i="51"/>
  <c r="V144" i="51" l="1"/>
  <c r="W139" i="51" l="1"/>
  <c r="W146" i="51"/>
  <c r="U16" i="4"/>
  <c r="V27" i="56" l="1"/>
  <c r="W140" i="51"/>
  <c r="W144" i="51" s="1"/>
  <c r="W147" i="51"/>
  <c r="V16" i="4" l="1"/>
  <c r="X139" i="51"/>
  <c r="X146" i="51"/>
  <c r="Q78" i="51"/>
  <c r="R78" i="51"/>
  <c r="S78" i="51"/>
  <c r="T78" i="51"/>
  <c r="U78" i="51"/>
  <c r="V78" i="51"/>
  <c r="P79" i="51"/>
  <c r="Q79" i="51"/>
  <c r="R79" i="51"/>
  <c r="S79" i="51"/>
  <c r="T79" i="51"/>
  <c r="U79" i="51"/>
  <c r="V79" i="51"/>
  <c r="Q85" i="51"/>
  <c r="R85" i="51"/>
  <c r="S85" i="51"/>
  <c r="T85" i="51"/>
  <c r="U85" i="51"/>
  <c r="V85" i="51"/>
  <c r="P118" i="51" l="1"/>
  <c r="J55" i="23"/>
  <c r="J54" i="23"/>
  <c r="I54" i="23"/>
  <c r="I55" i="23"/>
  <c r="X140" i="51"/>
  <c r="X144" i="51" s="1"/>
  <c r="Y139" i="51" s="1"/>
  <c r="X147" i="51"/>
  <c r="W27" i="56"/>
  <c r="W86" i="51"/>
  <c r="S86" i="51"/>
  <c r="W118" i="51"/>
  <c r="S12" i="51"/>
  <c r="R12" i="51"/>
  <c r="J22" i="23"/>
  <c r="Q86" i="51"/>
  <c r="Q12" i="51"/>
  <c r="V86" i="51"/>
  <c r="V12" i="51"/>
  <c r="W18" i="51" s="1"/>
  <c r="U86" i="51"/>
  <c r="U12" i="51"/>
  <c r="T86" i="51"/>
  <c r="T12" i="51"/>
  <c r="R86" i="51"/>
  <c r="V113" i="51" l="1"/>
  <c r="Z12" i="51"/>
  <c r="Y146" i="51"/>
  <c r="X27" i="56" s="1"/>
  <c r="W16" i="4"/>
  <c r="I22" i="23"/>
  <c r="P113" i="51"/>
  <c r="S113" i="51"/>
  <c r="U113" i="51"/>
  <c r="Q113" i="51"/>
  <c r="R113" i="51"/>
  <c r="T113" i="51"/>
  <c r="W110" i="51"/>
  <c r="O7" i="56"/>
  <c r="T7" i="56"/>
  <c r="S7" i="56"/>
  <c r="U7" i="56"/>
  <c r="Q7" i="56"/>
  <c r="AU7" i="56" s="1"/>
  <c r="AU62" i="56" s="1"/>
  <c r="R7" i="56"/>
  <c r="R108" i="51"/>
  <c r="R18" i="51"/>
  <c r="P7" i="56"/>
  <c r="Q118" i="51"/>
  <c r="P108" i="51"/>
  <c r="Q108" i="51"/>
  <c r="V108" i="51"/>
  <c r="S118" i="51"/>
  <c r="S108" i="51"/>
  <c r="U108" i="51"/>
  <c r="T108" i="51"/>
  <c r="U118" i="51"/>
  <c r="Q110" i="51"/>
  <c r="S18" i="51"/>
  <c r="T110" i="51"/>
  <c r="T118" i="51"/>
  <c r="P110" i="51"/>
  <c r="V110" i="51"/>
  <c r="R110" i="51"/>
  <c r="U110" i="51"/>
  <c r="R118" i="51"/>
  <c r="S110" i="51"/>
  <c r="V118" i="51"/>
  <c r="P18" i="51"/>
  <c r="T18" i="51"/>
  <c r="V18" i="51"/>
  <c r="U18" i="51"/>
  <c r="Q18" i="51"/>
  <c r="V114" i="51" l="1"/>
  <c r="W114" i="51"/>
  <c r="I8" i="23"/>
  <c r="AT7" i="56"/>
  <c r="BJ7" i="56" s="1"/>
  <c r="BK7" i="56" s="1"/>
  <c r="AQ7" i="56"/>
  <c r="BG7" i="56" s="1"/>
  <c r="BH7" i="56" s="1"/>
  <c r="Y147" i="51"/>
  <c r="Y140" i="51"/>
  <c r="Y144" i="51" s="1"/>
  <c r="X16" i="4" s="1"/>
  <c r="J8" i="23"/>
  <c r="Q114" i="51"/>
  <c r="T114" i="51"/>
  <c r="U114" i="51"/>
  <c r="P114" i="51"/>
  <c r="R114" i="51"/>
  <c r="S114" i="51"/>
  <c r="AT62" i="56" l="1"/>
  <c r="AS7" i="56"/>
  <c r="AS62" i="56" s="1"/>
  <c r="AP7" i="56"/>
  <c r="AP62" i="56" s="1"/>
  <c r="AQ62" i="56"/>
  <c r="S21" i="23"/>
  <c r="S9" i="23"/>
  <c r="O53" i="4"/>
  <c r="S24" i="23" l="1"/>
  <c r="O54" i="4"/>
  <c r="P200" i="51" s="1"/>
  <c r="O55" i="4"/>
  <c r="S40" i="23" l="1"/>
  <c r="S23" i="23"/>
  <c r="M34" i="51" l="1"/>
  <c r="M31" i="51"/>
  <c r="M36" i="51"/>
  <c r="M33" i="51"/>
  <c r="M37" i="51" l="1"/>
  <c r="L12" i="56"/>
  <c r="M38" i="51"/>
  <c r="L18" i="56"/>
  <c r="L14" i="56" l="1"/>
  <c r="AH12" i="56"/>
  <c r="L20" i="56"/>
  <c r="L19" i="56"/>
  <c r="E17" i="23"/>
  <c r="AH14" i="56" l="1"/>
  <c r="L16" i="56"/>
  <c r="E13" i="23"/>
  <c r="L15" i="56"/>
  <c r="AX12" i="56"/>
  <c r="AY12" i="56" s="1"/>
  <c r="AG12" i="56"/>
  <c r="L22" i="56"/>
  <c r="E18" i="23"/>
  <c r="E19" i="23"/>
  <c r="AH22" i="56" l="1"/>
  <c r="M11" i="6"/>
  <c r="E15" i="23"/>
  <c r="AX14" i="56"/>
  <c r="AY14" i="56" s="1"/>
  <c r="AG14" i="56"/>
  <c r="AH16" i="56"/>
  <c r="E14" i="23"/>
  <c r="L23" i="56"/>
  <c r="P39" i="23"/>
  <c r="E23" i="23"/>
  <c r="L24" i="56"/>
  <c r="L70" i="56"/>
  <c r="L31" i="56"/>
  <c r="AH18" i="56" l="1"/>
  <c r="AX18" i="56" s="1"/>
  <c r="AY18" i="56" s="1"/>
  <c r="AG16" i="56"/>
  <c r="L71" i="4"/>
  <c r="L61" i="4"/>
  <c r="L62" i="4" s="1"/>
  <c r="M52" i="6"/>
  <c r="M53" i="6" s="1"/>
  <c r="M201" i="51" s="1"/>
  <c r="M12" i="6"/>
  <c r="AH24" i="56"/>
  <c r="E25" i="23"/>
  <c r="AH23" i="56"/>
  <c r="E24" i="23"/>
  <c r="AG22" i="56"/>
  <c r="AI66" i="56" s="1"/>
  <c r="AX22" i="56"/>
  <c r="L32" i="56"/>
  <c r="L33" i="56"/>
  <c r="L36" i="56"/>
  <c r="AH31" i="56"/>
  <c r="E28" i="23"/>
  <c r="L71" i="56"/>
  <c r="AH20" i="56" l="1"/>
  <c r="AG18" i="56"/>
  <c r="AG20" i="56" s="1"/>
  <c r="M173" i="51"/>
  <c r="M174" i="51" s="1"/>
  <c r="AH36" i="56"/>
  <c r="E33" i="23"/>
  <c r="AY22" i="56"/>
  <c r="AG24" i="56"/>
  <c r="AH33" i="56"/>
  <c r="E30" i="23"/>
  <c r="AH32" i="56"/>
  <c r="E29" i="23"/>
  <c r="AX31" i="56"/>
  <c r="AY31" i="56" s="1"/>
  <c r="AG31" i="56"/>
  <c r="AG33" i="56" s="1"/>
  <c r="P42" i="23"/>
  <c r="AG36" i="56" l="1"/>
  <c r="AX36" i="56"/>
  <c r="AY36" i="56" s="1"/>
  <c r="P44" i="23"/>
  <c r="L37" i="56" l="1"/>
  <c r="AF38" i="56"/>
  <c r="AF41" i="56" s="1"/>
  <c r="P59" i="23"/>
  <c r="P43" i="23"/>
  <c r="E34" i="23" l="1"/>
  <c r="AH37" i="56"/>
  <c r="L38" i="56"/>
  <c r="E35" i="23" s="1"/>
  <c r="L73" i="56"/>
  <c r="AF45" i="56"/>
  <c r="AG37" i="56" l="1"/>
  <c r="AX37" i="56"/>
  <c r="AY37" i="56" s="1"/>
  <c r="AH38" i="56"/>
  <c r="AG38" i="56" s="1"/>
  <c r="L40" i="56"/>
  <c r="E37" i="23" s="1"/>
  <c r="L41" i="56" l="1"/>
  <c r="L64" i="4" l="1"/>
  <c r="L65" i="4"/>
  <c r="E38" i="23"/>
  <c r="L45" i="56"/>
  <c r="M184" i="51" s="1"/>
  <c r="M176" i="51" s="1"/>
  <c r="AH41" i="56"/>
  <c r="L42" i="56"/>
  <c r="AH42" i="56" l="1"/>
  <c r="E39" i="23"/>
  <c r="AX41" i="56"/>
  <c r="AG41" i="56"/>
  <c r="AY41" i="56" s="1"/>
  <c r="E40" i="23"/>
  <c r="L46" i="56"/>
  <c r="AH45" i="56"/>
  <c r="L47" i="56" l="1"/>
  <c r="L64" i="56"/>
  <c r="E41" i="23"/>
  <c r="AH46" i="56"/>
  <c r="AX45" i="56"/>
  <c r="AG45" i="56"/>
  <c r="AY45" i="56" s="1"/>
  <c r="P53" i="23" l="1"/>
  <c r="L66" i="56"/>
  <c r="L67" i="56"/>
  <c r="L48" i="56"/>
  <c r="E42" i="23"/>
  <c r="P56" i="23" l="1"/>
  <c r="P55" i="23" s="1"/>
  <c r="P34" i="23" l="1"/>
  <c r="P57" i="23"/>
  <c r="N31" i="51" l="1"/>
  <c r="E65" i="23"/>
  <c r="N34" i="51"/>
  <c r="N36" i="51"/>
  <c r="N33" i="51"/>
  <c r="O37" i="51" l="1"/>
  <c r="M12" i="56"/>
  <c r="AK12" i="56" s="1"/>
  <c r="BA12" i="56" s="1"/>
  <c r="BB12" i="56" s="1"/>
  <c r="P8" i="23"/>
  <c r="N38" i="51"/>
  <c r="M18" i="56"/>
  <c r="N19" i="56" s="1"/>
  <c r="N37" i="51"/>
  <c r="N12" i="56"/>
  <c r="AN12" i="56" l="1"/>
  <c r="L57" i="56"/>
  <c r="E61" i="23"/>
  <c r="E62" i="23" s="1"/>
  <c r="L72" i="56"/>
  <c r="P11" i="23"/>
  <c r="P10" i="23" s="1"/>
  <c r="M14" i="56"/>
  <c r="N14" i="56"/>
  <c r="M20" i="56"/>
  <c r="M19" i="56"/>
  <c r="F17" i="23"/>
  <c r="G17" i="23"/>
  <c r="AN14" i="56" l="1"/>
  <c r="BD14" i="56" s="1"/>
  <c r="BE14" i="56" s="1"/>
  <c r="N22" i="56"/>
  <c r="AM12" i="56"/>
  <c r="BD12" i="56"/>
  <c r="BE12" i="56" s="1"/>
  <c r="M22" i="56"/>
  <c r="AK14" i="56"/>
  <c r="P18" i="23"/>
  <c r="L58" i="56"/>
  <c r="L59" i="56"/>
  <c r="M55" i="6" s="1"/>
  <c r="M15" i="56"/>
  <c r="F13" i="23"/>
  <c r="M16" i="56"/>
  <c r="F19" i="23"/>
  <c r="F18" i="23"/>
  <c r="G19" i="23"/>
  <c r="G18" i="23"/>
  <c r="N16" i="56"/>
  <c r="N15" i="56"/>
  <c r="G13" i="23"/>
  <c r="AN16" i="56" l="1"/>
  <c r="O11" i="6"/>
  <c r="O12" i="6" s="1"/>
  <c r="AM14" i="56"/>
  <c r="N24" i="56"/>
  <c r="N23" i="56"/>
  <c r="AN22" i="56"/>
  <c r="BD22" i="56" s="1"/>
  <c r="BA14" i="56"/>
  <c r="BB14" i="56" s="1"/>
  <c r="F23" i="23"/>
  <c r="N11" i="6"/>
  <c r="AK22" i="56"/>
  <c r="AC23" i="56"/>
  <c r="AN15" i="56"/>
  <c r="BP11" i="56"/>
  <c r="BP13" i="56" s="1"/>
  <c r="M24" i="56"/>
  <c r="AK15" i="56"/>
  <c r="M31" i="56"/>
  <c r="Q39" i="23"/>
  <c r="M70" i="56"/>
  <c r="AK16" i="56"/>
  <c r="M23" i="56"/>
  <c r="P32" i="23"/>
  <c r="F15" i="23"/>
  <c r="E64" i="23"/>
  <c r="F14" i="23"/>
  <c r="L60" i="56"/>
  <c r="L61" i="56"/>
  <c r="L62" i="56"/>
  <c r="G14" i="23"/>
  <c r="N31" i="56"/>
  <c r="N70" i="56"/>
  <c r="R39" i="23"/>
  <c r="G23" i="23"/>
  <c r="G15" i="23"/>
  <c r="AN24" i="56" l="1"/>
  <c r="AM16" i="56"/>
  <c r="AK24" i="56"/>
  <c r="BA22" i="56"/>
  <c r="M71" i="56"/>
  <c r="AM22" i="56"/>
  <c r="AM66" i="56" s="1"/>
  <c r="F28" i="23"/>
  <c r="M61" i="4"/>
  <c r="M62" i="4" s="1"/>
  <c r="M71" i="4"/>
  <c r="N52" i="6"/>
  <c r="N53" i="6" s="1"/>
  <c r="N201" i="51" s="1"/>
  <c r="N12" i="6"/>
  <c r="M36" i="56"/>
  <c r="AJ22" i="56"/>
  <c r="AK23" i="56"/>
  <c r="F25" i="23"/>
  <c r="AN31" i="56"/>
  <c r="AN23" i="56"/>
  <c r="AN18" i="56"/>
  <c r="BD18" i="56" s="1"/>
  <c r="BE18" i="56" s="1"/>
  <c r="AK18" i="56"/>
  <c r="BP14" i="56"/>
  <c r="BP15" i="56" s="1"/>
  <c r="BP16" i="56" s="1"/>
  <c r="BP19" i="56" s="1"/>
  <c r="M32" i="56"/>
  <c r="AK31" i="56"/>
  <c r="BA31" i="56" s="1"/>
  <c r="BB31" i="56" s="1"/>
  <c r="M33" i="56"/>
  <c r="AK33" i="56" s="1"/>
  <c r="F24" i="23"/>
  <c r="P51" i="6"/>
  <c r="G24" i="23"/>
  <c r="G25" i="23"/>
  <c r="O52" i="6"/>
  <c r="N32" i="56"/>
  <c r="N36" i="56"/>
  <c r="O173" i="51" s="1"/>
  <c r="O174" i="51" s="1"/>
  <c r="N33" i="56"/>
  <c r="AN33" i="56" s="1"/>
  <c r="N61" i="4"/>
  <c r="N71" i="56"/>
  <c r="G28" i="23"/>
  <c r="AL66" i="56" l="1"/>
  <c r="AJ66" i="56"/>
  <c r="BE22" i="56"/>
  <c r="BB22" i="56"/>
  <c r="BA18" i="56"/>
  <c r="BB18" i="56" s="1"/>
  <c r="AM31" i="56"/>
  <c r="BD31" i="56"/>
  <c r="BE31" i="56" s="1"/>
  <c r="AM18" i="56"/>
  <c r="AM23" i="56"/>
  <c r="AM24" i="56"/>
  <c r="N173" i="51"/>
  <c r="N174" i="51" s="1"/>
  <c r="AK36" i="56"/>
  <c r="F33" i="23"/>
  <c r="AJ24" i="56"/>
  <c r="AK19" i="56"/>
  <c r="AJ23" i="56"/>
  <c r="F29" i="23"/>
  <c r="AK20" i="56"/>
  <c r="AN32" i="56"/>
  <c r="AN36" i="56"/>
  <c r="AN19" i="56"/>
  <c r="AN20" i="56"/>
  <c r="AK32" i="56"/>
  <c r="AJ31" i="56"/>
  <c r="F30" i="23"/>
  <c r="G30" i="23"/>
  <c r="G29" i="23"/>
  <c r="G33" i="23"/>
  <c r="O51" i="6"/>
  <c r="O53" i="6" s="1"/>
  <c r="O201" i="51" s="1"/>
  <c r="AM33" i="56" l="1"/>
  <c r="AM32" i="56"/>
  <c r="AJ36" i="56"/>
  <c r="BA36" i="56"/>
  <c r="BB36" i="56" s="1"/>
  <c r="AM36" i="56"/>
  <c r="BD36" i="56"/>
  <c r="BE36" i="56" s="1"/>
  <c r="AM20" i="56"/>
  <c r="AJ14" i="56"/>
  <c r="AM15" i="56" s="1"/>
  <c r="AJ32" i="56"/>
  <c r="AJ33" i="56"/>
  <c r="M37" i="56"/>
  <c r="AK37" i="56" s="1"/>
  <c r="BA37" i="56" s="1"/>
  <c r="BB37" i="56" s="1"/>
  <c r="Q42" i="23"/>
  <c r="P44" i="6" l="1"/>
  <c r="AJ18" i="56"/>
  <c r="AM19" i="56" s="1"/>
  <c r="AJ16" i="56"/>
  <c r="AJ15" i="56"/>
  <c r="AJ37" i="56"/>
  <c r="AI41" i="56"/>
  <c r="S44" i="23"/>
  <c r="M38" i="56"/>
  <c r="F34" i="23"/>
  <c r="M73" i="56"/>
  <c r="N37" i="56"/>
  <c r="AN37" i="56" s="1"/>
  <c r="Q44" i="23"/>
  <c r="R42" i="23"/>
  <c r="AO19" i="56" l="1"/>
  <c r="AM37" i="56"/>
  <c r="AL42" i="56"/>
  <c r="AK38" i="56"/>
  <c r="AJ38" i="56" s="1"/>
  <c r="F35" i="23"/>
  <c r="AJ20" i="56"/>
  <c r="AJ19" i="56"/>
  <c r="AI42" i="56"/>
  <c r="AI45" i="56"/>
  <c r="S59" i="23"/>
  <c r="M40" i="56"/>
  <c r="F37" i="23" s="1"/>
  <c r="N38" i="56"/>
  <c r="G34" i="23"/>
  <c r="N73" i="56"/>
  <c r="Q43" i="23"/>
  <c r="Q59" i="23"/>
  <c r="R44" i="23"/>
  <c r="AO66" i="56" l="1"/>
  <c r="AO24" i="56"/>
  <c r="AO23" i="56"/>
  <c r="AO31" i="56"/>
  <c r="AL46" i="56"/>
  <c r="AN38" i="56"/>
  <c r="AM38" i="56" s="1"/>
  <c r="G35" i="23"/>
  <c r="AI46" i="56"/>
  <c r="M41" i="56"/>
  <c r="N40" i="56"/>
  <c r="R59" i="23"/>
  <c r="R43" i="23"/>
  <c r="AO32" i="56" l="1"/>
  <c r="AO36" i="56"/>
  <c r="AO33" i="56"/>
  <c r="G37" i="23"/>
  <c r="M65" i="4"/>
  <c r="M64" i="4"/>
  <c r="AK41" i="56"/>
  <c r="BA41" i="56" s="1"/>
  <c r="N41" i="56"/>
  <c r="M45" i="56"/>
  <c r="N184" i="51" s="1"/>
  <c r="N176" i="51" s="1"/>
  <c r="F38" i="23"/>
  <c r="M42" i="56"/>
  <c r="AO38" i="56" l="1"/>
  <c r="AO41" i="56" s="1"/>
  <c r="AO42" i="56"/>
  <c r="AO45" i="56"/>
  <c r="T174" i="51"/>
  <c r="AN41" i="56"/>
  <c r="BD41" i="56" s="1"/>
  <c r="AK42" i="56"/>
  <c r="AJ41" i="56"/>
  <c r="AK45" i="56"/>
  <c r="BA45" i="56" s="1"/>
  <c r="G38" i="23"/>
  <c r="N42" i="56"/>
  <c r="N45" i="56"/>
  <c r="O184" i="51" s="1"/>
  <c r="F39" i="23"/>
  <c r="M46" i="56"/>
  <c r="F40" i="23"/>
  <c r="AO46" i="56" l="1"/>
  <c r="AJ42" i="56"/>
  <c r="BB41" i="56"/>
  <c r="AN42" i="56"/>
  <c r="AM41" i="56"/>
  <c r="T42" i="23"/>
  <c r="U174" i="51"/>
  <c r="AN45" i="56"/>
  <c r="BD45" i="56" s="1"/>
  <c r="AK46" i="56"/>
  <c r="AJ45" i="56"/>
  <c r="M47" i="56"/>
  <c r="M64" i="56"/>
  <c r="G40" i="23"/>
  <c r="N46" i="56"/>
  <c r="G39" i="23"/>
  <c r="F41" i="23"/>
  <c r="AJ46" i="56" l="1"/>
  <c r="BB45" i="56"/>
  <c r="AM42" i="56"/>
  <c r="BE41" i="56"/>
  <c r="AN46" i="56"/>
  <c r="AM45" i="56"/>
  <c r="V174" i="51"/>
  <c r="W174" i="51" s="1"/>
  <c r="M67" i="56"/>
  <c r="M66" i="56"/>
  <c r="M48" i="56"/>
  <c r="F42" i="23"/>
  <c r="Q53" i="23"/>
  <c r="G41" i="23"/>
  <c r="AM46" i="56" l="1"/>
  <c r="BE45" i="56"/>
  <c r="X174" i="51"/>
  <c r="Q56" i="23"/>
  <c r="Q55" i="23" s="1"/>
  <c r="R53" i="23"/>
  <c r="Y174" i="51" l="1"/>
  <c r="Q57" i="23"/>
  <c r="Q34" i="23"/>
  <c r="R56" i="23"/>
  <c r="R55" i="23" s="1"/>
  <c r="F65" i="23" l="1"/>
  <c r="R34" i="23"/>
  <c r="N65" i="4"/>
  <c r="R57" i="23"/>
  <c r="G65" i="23" l="1"/>
  <c r="Q8" i="23"/>
  <c r="Q11" i="23" l="1"/>
  <c r="Q10" i="23" s="1"/>
  <c r="F61" i="23"/>
  <c r="F62" i="23" s="1"/>
  <c r="M72" i="56"/>
  <c r="M57" i="56"/>
  <c r="P40" i="6"/>
  <c r="Q18" i="23" l="1"/>
  <c r="M58" i="56"/>
  <c r="M59" i="56"/>
  <c r="N55" i="6" s="1"/>
  <c r="N57" i="4"/>
  <c r="R8" i="23"/>
  <c r="F64" i="23" l="1"/>
  <c r="N57" i="56"/>
  <c r="BP21" i="56" s="1"/>
  <c r="BP22" i="56" s="1"/>
  <c r="G61" i="23"/>
  <c r="G62" i="23" s="1"/>
  <c r="N72" i="56"/>
  <c r="N58" i="4"/>
  <c r="M62" i="56"/>
  <c r="M61" i="56"/>
  <c r="M60" i="56"/>
  <c r="Q32" i="23"/>
  <c r="R11" i="23"/>
  <c r="R10" i="23" s="1"/>
  <c r="N59" i="56" l="1"/>
  <c r="O55" i="6" s="1"/>
  <c r="N58" i="56"/>
  <c r="N64" i="4"/>
  <c r="N59" i="4"/>
  <c r="R18" i="23"/>
  <c r="N71" i="4"/>
  <c r="G64" i="23" l="1"/>
  <c r="R32" i="23"/>
  <c r="N60" i="56"/>
  <c r="N62" i="56"/>
  <c r="N61" i="56"/>
  <c r="N62" i="4"/>
  <c r="AG46" i="56" l="1"/>
  <c r="AG23" i="56"/>
  <c r="AF46" i="56"/>
  <c r="AF42" i="56"/>
  <c r="AG32" i="56"/>
  <c r="AF23" i="56"/>
  <c r="AF32" i="56"/>
  <c r="AG42" i="56"/>
  <c r="AC24" i="56" l="1"/>
  <c r="AC10" i="56"/>
  <c r="AD9" i="56"/>
  <c r="AF10" i="56"/>
  <c r="AD10" i="56" l="1"/>
  <c r="AD24" i="56"/>
  <c r="AG10" i="56"/>
  <c r="AH15" i="56"/>
  <c r="AF15" i="56"/>
  <c r="AH19" i="56" l="1"/>
  <c r="AF19" i="56"/>
  <c r="AG15" i="56"/>
  <c r="AG19" i="56" l="1"/>
  <c r="AJ12" i="56" l="1"/>
  <c r="O176" i="51" l="1"/>
  <c r="P176" i="51" s="1"/>
  <c r="N47" i="56"/>
  <c r="N48" i="56" s="1"/>
  <c r="N64" i="56"/>
  <c r="N66" i="56" s="1"/>
  <c r="G42" i="23" l="1"/>
  <c r="N67" i="56"/>
  <c r="Q176" i="51"/>
  <c r="R176" i="51" l="1"/>
  <c r="S176" i="51" l="1"/>
  <c r="P39" i="6" l="1"/>
  <c r="S56" i="23"/>
  <c r="T176" i="51"/>
  <c r="U176" i="51" l="1"/>
  <c r="S34" i="23"/>
  <c r="S57" i="23"/>
  <c r="V176" i="51" l="1"/>
  <c r="O57" i="4" l="1"/>
  <c r="P161" i="51"/>
  <c r="S8" i="23"/>
  <c r="W176" i="51"/>
  <c r="O21" i="4" l="1"/>
  <c r="S11" i="23"/>
  <c r="S10" i="23" s="1"/>
  <c r="P162" i="51"/>
  <c r="P163" i="51" s="1"/>
  <c r="X176" i="51"/>
  <c r="O57" i="56"/>
  <c r="O58" i="4"/>
  <c r="Q163" i="51" l="1"/>
  <c r="O59" i="56"/>
  <c r="BQ21" i="56"/>
  <c r="O59" i="4"/>
  <c r="S18" i="23"/>
  <c r="Y176" i="51"/>
  <c r="R163" i="51" l="1"/>
  <c r="P55" i="6"/>
  <c r="S163" i="51" l="1"/>
  <c r="Q62" i="51"/>
  <c r="R62" i="51" s="1"/>
  <c r="T163" i="51" l="1"/>
  <c r="S62" i="51"/>
  <c r="R65" i="51"/>
  <c r="Q65" i="51"/>
  <c r="U163" i="51" l="1"/>
  <c r="R11" i="51"/>
  <c r="R91" i="51"/>
  <c r="R66" i="51"/>
  <c r="R115" i="51"/>
  <c r="Q11" i="51"/>
  <c r="Q91" i="51"/>
  <c r="Q115" i="51"/>
  <c r="T62" i="51"/>
  <c r="S65" i="51"/>
  <c r="V163" i="51" l="1"/>
  <c r="U62" i="51"/>
  <c r="T65" i="51"/>
  <c r="Q32" i="51"/>
  <c r="Q14" i="51"/>
  <c r="P6" i="56"/>
  <c r="R32" i="51"/>
  <c r="R92" i="51"/>
  <c r="S66" i="51"/>
  <c r="S115" i="51"/>
  <c r="S11" i="51"/>
  <c r="S91" i="51"/>
  <c r="Z11" i="51"/>
  <c r="R17" i="51"/>
  <c r="R14" i="51"/>
  <c r="R101" i="51" s="1"/>
  <c r="Q6" i="56"/>
  <c r="W163" i="51" l="1"/>
  <c r="X163" i="51" s="1"/>
  <c r="Y163" i="51" s="1"/>
  <c r="R40" i="51"/>
  <c r="R97" i="51"/>
  <c r="R99" i="51" s="1"/>
  <c r="Z101" i="51"/>
  <c r="R23" i="51"/>
  <c r="J21" i="23"/>
  <c r="Q90" i="51"/>
  <c r="Q101" i="51"/>
  <c r="Q97" i="51" s="1"/>
  <c r="R90" i="51"/>
  <c r="Z90" i="51" s="1"/>
  <c r="R42" i="51"/>
  <c r="Z40" i="51"/>
  <c r="AU6" i="56"/>
  <c r="AU57" i="56" s="1"/>
  <c r="Q9" i="56"/>
  <c r="J7" i="23"/>
  <c r="S14" i="51"/>
  <c r="S17" i="51"/>
  <c r="R6" i="56"/>
  <c r="Q25" i="51"/>
  <c r="Q26" i="51"/>
  <c r="Q131" i="51"/>
  <c r="Q31" i="51"/>
  <c r="Q133" i="51"/>
  <c r="Q24" i="51"/>
  <c r="Q152" i="51"/>
  <c r="P8" i="4"/>
  <c r="P24" i="4"/>
  <c r="P9" i="4"/>
  <c r="R148" i="51"/>
  <c r="AT6" i="56"/>
  <c r="P9" i="56"/>
  <c r="I7" i="23"/>
  <c r="Q34" i="51"/>
  <c r="T91" i="51"/>
  <c r="T66" i="51"/>
  <c r="T115" i="51"/>
  <c r="T11" i="51"/>
  <c r="R24" i="51"/>
  <c r="R25" i="51"/>
  <c r="R20" i="51"/>
  <c r="R26" i="51"/>
  <c r="Z14" i="51"/>
  <c r="R31" i="51"/>
  <c r="R133" i="51"/>
  <c r="R152" i="51"/>
  <c r="Q24" i="4"/>
  <c r="Q9" i="4"/>
  <c r="Q8" i="4"/>
  <c r="R34" i="51"/>
  <c r="Z32" i="51"/>
  <c r="R36" i="51"/>
  <c r="R33" i="51"/>
  <c r="S92" i="51"/>
  <c r="S32" i="51"/>
  <c r="Q23" i="51"/>
  <c r="V62" i="51"/>
  <c r="U65" i="51"/>
  <c r="Z97" i="51" l="1"/>
  <c r="Y9" i="56"/>
  <c r="AT57" i="56"/>
  <c r="S23" i="51"/>
  <c r="S101" i="51"/>
  <c r="S90" i="51"/>
  <c r="I21" i="23"/>
  <c r="Q40" i="51"/>
  <c r="R102" i="51"/>
  <c r="S33" i="51"/>
  <c r="S34" i="51"/>
  <c r="Q193" i="51"/>
  <c r="P29" i="4"/>
  <c r="P68" i="4"/>
  <c r="T21" i="23"/>
  <c r="Q125" i="51"/>
  <c r="Q154" i="51"/>
  <c r="Q134" i="51"/>
  <c r="U11" i="51"/>
  <c r="U91" i="51"/>
  <c r="U66" i="51"/>
  <c r="U115" i="51"/>
  <c r="R191" i="51"/>
  <c r="Q53" i="4"/>
  <c r="Q67" i="4"/>
  <c r="U9" i="23"/>
  <c r="T14" i="51"/>
  <c r="T17" i="51"/>
  <c r="S6" i="56"/>
  <c r="AT9" i="56"/>
  <c r="I10" i="23"/>
  <c r="Q191" i="51"/>
  <c r="P53" i="4"/>
  <c r="P67" i="4"/>
  <c r="T9" i="23"/>
  <c r="W62" i="51"/>
  <c r="V65" i="51"/>
  <c r="Z31" i="51"/>
  <c r="Q12" i="56"/>
  <c r="Q14" i="56" s="1"/>
  <c r="AU9" i="56"/>
  <c r="Q10" i="56"/>
  <c r="J10" i="23"/>
  <c r="R38" i="51"/>
  <c r="Z36" i="51"/>
  <c r="Q18" i="56"/>
  <c r="R134" i="51"/>
  <c r="R125" i="51"/>
  <c r="R154" i="51"/>
  <c r="T92" i="51"/>
  <c r="T32" i="51"/>
  <c r="P12" i="56"/>
  <c r="S148" i="51"/>
  <c r="R192" i="51"/>
  <c r="R193" i="51"/>
  <c r="Q29" i="4"/>
  <c r="Q68" i="4"/>
  <c r="U21" i="23"/>
  <c r="Q192" i="51"/>
  <c r="R9" i="56"/>
  <c r="S31" i="51"/>
  <c r="S24" i="51"/>
  <c r="S25" i="51"/>
  <c r="S20" i="51"/>
  <c r="S26" i="51"/>
  <c r="S133" i="51"/>
  <c r="S152" i="51"/>
  <c r="R9" i="4"/>
  <c r="R24" i="4"/>
  <c r="R8" i="4"/>
  <c r="T23" i="51" l="1"/>
  <c r="T101" i="51"/>
  <c r="T90" i="51"/>
  <c r="S97" i="51"/>
  <c r="S102" i="51"/>
  <c r="S40" i="51"/>
  <c r="Q42" i="51"/>
  <c r="R41" i="51"/>
  <c r="Q36" i="51"/>
  <c r="Q99" i="51"/>
  <c r="R98" i="51"/>
  <c r="Q16" i="56"/>
  <c r="Y14" i="56"/>
  <c r="AU14" i="56"/>
  <c r="Q22" i="56"/>
  <c r="J13" i="23"/>
  <c r="S125" i="51"/>
  <c r="S154" i="51"/>
  <c r="S134" i="51"/>
  <c r="R12" i="56"/>
  <c r="AT12" i="56"/>
  <c r="AR12" i="56" s="1"/>
  <c r="S192" i="51"/>
  <c r="U24" i="23"/>
  <c r="Q194" i="51"/>
  <c r="R194" i="51"/>
  <c r="U32" i="51"/>
  <c r="U92" i="51"/>
  <c r="Q155" i="51"/>
  <c r="S191" i="51"/>
  <c r="R53" i="4"/>
  <c r="R67" i="4"/>
  <c r="R10" i="56"/>
  <c r="T33" i="51"/>
  <c r="T34" i="51"/>
  <c r="R155" i="51"/>
  <c r="Y18" i="56"/>
  <c r="Q20" i="56"/>
  <c r="J17" i="23"/>
  <c r="V11" i="51"/>
  <c r="V91" i="51"/>
  <c r="V66" i="51"/>
  <c r="V115" i="51"/>
  <c r="U17" i="51"/>
  <c r="U14" i="51"/>
  <c r="U101" i="51" s="1"/>
  <c r="T6" i="56"/>
  <c r="Q127" i="51"/>
  <c r="Q23" i="6"/>
  <c r="R23" i="6"/>
  <c r="AU10" i="56"/>
  <c r="J11" i="23"/>
  <c r="X62" i="51"/>
  <c r="W65" i="51"/>
  <c r="S9" i="56"/>
  <c r="T20" i="51"/>
  <c r="T26" i="51"/>
  <c r="T31" i="51"/>
  <c r="T24" i="51"/>
  <c r="T25" i="51"/>
  <c r="T152" i="51"/>
  <c r="T133" i="51"/>
  <c r="S8" i="4"/>
  <c r="S9" i="4"/>
  <c r="S24" i="4"/>
  <c r="T24" i="23"/>
  <c r="S193" i="51"/>
  <c r="R29" i="4"/>
  <c r="R68" i="4"/>
  <c r="T148" i="51"/>
  <c r="AU12" i="56"/>
  <c r="P55" i="4"/>
  <c r="P54" i="4"/>
  <c r="P66" i="4"/>
  <c r="P14" i="56"/>
  <c r="Q54" i="4"/>
  <c r="Q55" i="4"/>
  <c r="Q66" i="4"/>
  <c r="U102" i="51" l="1"/>
  <c r="U40" i="51"/>
  <c r="U42" i="51" s="1"/>
  <c r="Q15" i="56"/>
  <c r="J14" i="23" s="1"/>
  <c r="AS12" i="56"/>
  <c r="U90" i="51"/>
  <c r="U97" i="51"/>
  <c r="T97" i="51"/>
  <c r="T102" i="51"/>
  <c r="T40" i="51"/>
  <c r="T41" i="51" s="1"/>
  <c r="S42" i="51"/>
  <c r="S36" i="51"/>
  <c r="S41" i="51"/>
  <c r="S98" i="51"/>
  <c r="S99" i="51"/>
  <c r="R37" i="51"/>
  <c r="Q38" i="51"/>
  <c r="P18" i="56"/>
  <c r="R14" i="56"/>
  <c r="T9" i="56"/>
  <c r="T191" i="51"/>
  <c r="S53" i="4"/>
  <c r="S67" i="4"/>
  <c r="Y62" i="51"/>
  <c r="Y65" i="51" s="1"/>
  <c r="X65" i="51"/>
  <c r="R200" i="51"/>
  <c r="R12" i="6"/>
  <c r="U40" i="23"/>
  <c r="Q200" i="51"/>
  <c r="Q12" i="6"/>
  <c r="T40" i="23"/>
  <c r="T23" i="23"/>
  <c r="T193" i="51"/>
  <c r="S29" i="4"/>
  <c r="S68" i="4"/>
  <c r="U25" i="51"/>
  <c r="U20" i="51"/>
  <c r="U26" i="51"/>
  <c r="U31" i="51"/>
  <c r="U24" i="51"/>
  <c r="U152" i="51"/>
  <c r="U133" i="51"/>
  <c r="T8" i="4"/>
  <c r="T24" i="4"/>
  <c r="T9" i="4"/>
  <c r="U148" i="51"/>
  <c r="AU16" i="56"/>
  <c r="AT14" i="56"/>
  <c r="P16" i="56"/>
  <c r="I13" i="23"/>
  <c r="T192" i="51"/>
  <c r="W66" i="51"/>
  <c r="W115" i="51"/>
  <c r="W11" i="51"/>
  <c r="W91" i="51"/>
  <c r="R27" i="6"/>
  <c r="U47" i="23"/>
  <c r="U33" i="51"/>
  <c r="U34" i="51"/>
  <c r="Q27" i="6"/>
  <c r="T47" i="23"/>
  <c r="V32" i="51"/>
  <c r="V92" i="51"/>
  <c r="J19" i="23"/>
  <c r="R54" i="4"/>
  <c r="R55" i="4"/>
  <c r="R66" i="4"/>
  <c r="S155" i="51"/>
  <c r="T125" i="51"/>
  <c r="T154" i="51"/>
  <c r="T134" i="51"/>
  <c r="S12" i="56"/>
  <c r="S10" i="56"/>
  <c r="R129" i="51"/>
  <c r="R123" i="51"/>
  <c r="P14" i="4"/>
  <c r="U23" i="51"/>
  <c r="V17" i="51"/>
  <c r="V14" i="51"/>
  <c r="U6" i="56"/>
  <c r="S194" i="51"/>
  <c r="U23" i="23"/>
  <c r="S23" i="6"/>
  <c r="AU22" i="56"/>
  <c r="BS11" i="56"/>
  <c r="BS13" i="56" s="1"/>
  <c r="Y22" i="56"/>
  <c r="Q70" i="56"/>
  <c r="R11" i="6"/>
  <c r="Q24" i="56"/>
  <c r="J23" i="23"/>
  <c r="U39" i="23"/>
  <c r="J15" i="23"/>
  <c r="U36" i="51" l="1"/>
  <c r="AU15" i="56"/>
  <c r="AU18" i="56"/>
  <c r="AU20" i="56" s="1"/>
  <c r="U98" i="51"/>
  <c r="V23" i="51"/>
  <c r="V101" i="51"/>
  <c r="V90" i="51"/>
  <c r="U99" i="51"/>
  <c r="T36" i="51"/>
  <c r="U37" i="51" s="1"/>
  <c r="T42" i="51"/>
  <c r="U41" i="51"/>
  <c r="T98" i="51"/>
  <c r="T99" i="51"/>
  <c r="S37" i="51"/>
  <c r="S38" i="51"/>
  <c r="R18" i="56"/>
  <c r="P20" i="56"/>
  <c r="Q19" i="56"/>
  <c r="I17" i="23"/>
  <c r="P22" i="56"/>
  <c r="R15" i="56"/>
  <c r="R16" i="56"/>
  <c r="R130" i="51"/>
  <c r="R131" i="51"/>
  <c r="R124" i="51"/>
  <c r="Q26" i="56"/>
  <c r="U50" i="23"/>
  <c r="U49" i="23" s="1"/>
  <c r="U192" i="51"/>
  <c r="W92" i="51"/>
  <c r="W148" i="51" s="1"/>
  <c r="W32" i="51"/>
  <c r="X91" i="51"/>
  <c r="X66" i="51"/>
  <c r="X115" i="51"/>
  <c r="X11" i="51"/>
  <c r="S55" i="4"/>
  <c r="S66" i="4"/>
  <c r="S54" i="4"/>
  <c r="R13" i="6"/>
  <c r="R52" i="6"/>
  <c r="S27" i="6"/>
  <c r="AT16" i="56"/>
  <c r="U191" i="51"/>
  <c r="T67" i="4"/>
  <c r="T53" i="4"/>
  <c r="T12" i="56"/>
  <c r="Y11" i="51"/>
  <c r="Y91" i="51"/>
  <c r="Y66" i="51"/>
  <c r="Y115" i="51"/>
  <c r="T194" i="51"/>
  <c r="T10" i="56"/>
  <c r="S200" i="51"/>
  <c r="S12" i="6"/>
  <c r="AU24" i="56"/>
  <c r="J25" i="23"/>
  <c r="V24" i="51"/>
  <c r="V25" i="51"/>
  <c r="V20" i="51"/>
  <c r="V26" i="51"/>
  <c r="V31" i="51"/>
  <c r="V152" i="51"/>
  <c r="V133" i="51"/>
  <c r="U24" i="4"/>
  <c r="U9" i="4"/>
  <c r="U8" i="4"/>
  <c r="T155" i="51"/>
  <c r="U193" i="51"/>
  <c r="T29" i="4"/>
  <c r="T68" i="4"/>
  <c r="BS14" i="56"/>
  <c r="BS15" i="56" s="1"/>
  <c r="BS16" i="56" s="1"/>
  <c r="BS19" i="56" s="1"/>
  <c r="P20" i="4"/>
  <c r="P69" i="4"/>
  <c r="P70" i="4"/>
  <c r="T14" i="23"/>
  <c r="T23" i="6"/>
  <c r="V148" i="51"/>
  <c r="T50" i="23"/>
  <c r="T49" i="23" s="1"/>
  <c r="U38" i="51"/>
  <c r="T18" i="56"/>
  <c r="W14" i="51"/>
  <c r="W17" i="51"/>
  <c r="V6" i="56"/>
  <c r="V9" i="56" s="1"/>
  <c r="U9" i="56"/>
  <c r="S14" i="56"/>
  <c r="V34" i="51"/>
  <c r="V33" i="51"/>
  <c r="I15" i="23"/>
  <c r="U125" i="51"/>
  <c r="U154" i="51"/>
  <c r="U134" i="51"/>
  <c r="P31" i="56" l="1"/>
  <c r="P24" i="56"/>
  <c r="W23" i="51"/>
  <c r="W101" i="51"/>
  <c r="W90" i="51"/>
  <c r="V97" i="51"/>
  <c r="V102" i="51"/>
  <c r="V40" i="51"/>
  <c r="S18" i="56"/>
  <c r="T19" i="56" s="1"/>
  <c r="T37" i="51"/>
  <c r="T38" i="51"/>
  <c r="R19" i="56"/>
  <c r="R20" i="56"/>
  <c r="R22" i="56"/>
  <c r="BR11" i="56"/>
  <c r="BR13" i="56" s="1"/>
  <c r="BR14" i="56" s="1"/>
  <c r="BR15" i="56" s="1"/>
  <c r="BR16" i="56" s="1"/>
  <c r="BR19" i="56" s="1"/>
  <c r="T39" i="23"/>
  <c r="AT22" i="56"/>
  <c r="Q11" i="6"/>
  <c r="Q52" i="6" s="1"/>
  <c r="I23" i="23"/>
  <c r="P70" i="56"/>
  <c r="Q23" i="56"/>
  <c r="AU23" i="56" s="1"/>
  <c r="AU19" i="56"/>
  <c r="J18" i="23"/>
  <c r="I19" i="23"/>
  <c r="R127" i="51"/>
  <c r="S129" i="51" s="1"/>
  <c r="S130" i="51" s="1"/>
  <c r="U194" i="51"/>
  <c r="R51" i="6"/>
  <c r="R53" i="6" s="1"/>
  <c r="R201" i="51" s="1"/>
  <c r="R20" i="6"/>
  <c r="S15" i="56"/>
  <c r="S16" i="56"/>
  <c r="U10" i="56"/>
  <c r="V10" i="56"/>
  <c r="W31" i="51"/>
  <c r="V12" i="56" s="1"/>
  <c r="V14" i="56" s="1"/>
  <c r="W24" i="51"/>
  <c r="W25" i="51"/>
  <c r="W20" i="51"/>
  <c r="W26" i="51"/>
  <c r="W133" i="51"/>
  <c r="W152" i="51"/>
  <c r="V9" i="4"/>
  <c r="W192" i="51" s="1"/>
  <c r="V24" i="4"/>
  <c r="V8" i="4"/>
  <c r="V193" i="51"/>
  <c r="U29" i="4"/>
  <c r="U68" i="4"/>
  <c r="Y32" i="51"/>
  <c r="Y92" i="51"/>
  <c r="Y148" i="51" s="1"/>
  <c r="X14" i="51"/>
  <c r="X17" i="51"/>
  <c r="W6" i="56"/>
  <c r="W9" i="56" s="1"/>
  <c r="X92" i="51"/>
  <c r="X148" i="51" s="1"/>
  <c r="X32" i="51"/>
  <c r="AU26" i="56"/>
  <c r="Q28" i="56"/>
  <c r="U155" i="51"/>
  <c r="V134" i="51"/>
  <c r="V125" i="51"/>
  <c r="V154" i="51"/>
  <c r="Y17" i="51"/>
  <c r="Y14" i="51"/>
  <c r="Y90" i="51" s="1"/>
  <c r="X6" i="56"/>
  <c r="X9" i="56" s="1"/>
  <c r="T55" i="4"/>
  <c r="T54" i="4"/>
  <c r="T66" i="4"/>
  <c r="T200" i="51"/>
  <c r="T12" i="6"/>
  <c r="W33" i="51"/>
  <c r="W34" i="51"/>
  <c r="T27" i="6"/>
  <c r="V192" i="51"/>
  <c r="U12" i="56"/>
  <c r="T17" i="23"/>
  <c r="T16" i="23" s="1"/>
  <c r="U23" i="6"/>
  <c r="T20" i="56"/>
  <c r="V191" i="51"/>
  <c r="U53" i="4"/>
  <c r="U67" i="4"/>
  <c r="T14" i="56"/>
  <c r="P33" i="56" l="1"/>
  <c r="AT18" i="56"/>
  <c r="AT31" i="56"/>
  <c r="P36" i="56"/>
  <c r="I33" i="23" s="1"/>
  <c r="P61" i="4"/>
  <c r="AT24" i="56"/>
  <c r="I28" i="23"/>
  <c r="I25" i="23"/>
  <c r="P71" i="56"/>
  <c r="J24" i="23"/>
  <c r="Q13" i="6"/>
  <c r="Q51" i="6" s="1"/>
  <c r="Q53" i="6" s="1"/>
  <c r="Q201" i="51" s="1"/>
  <c r="S19" i="56"/>
  <c r="S22" i="56"/>
  <c r="X23" i="51"/>
  <c r="X101" i="51"/>
  <c r="Y23" i="51"/>
  <c r="Y101" i="51"/>
  <c r="X90" i="51"/>
  <c r="W40" i="51"/>
  <c r="W102" i="51"/>
  <c r="W97" i="51"/>
  <c r="V36" i="51"/>
  <c r="V42" i="51"/>
  <c r="V41" i="51"/>
  <c r="V99" i="51"/>
  <c r="V98" i="51"/>
  <c r="S20" i="56"/>
  <c r="R23" i="56"/>
  <c r="R24" i="56"/>
  <c r="R70" i="56"/>
  <c r="S11" i="6"/>
  <c r="R26" i="56"/>
  <c r="Q14" i="4"/>
  <c r="Q20" i="4" s="1"/>
  <c r="S123" i="51"/>
  <c r="S131" i="51"/>
  <c r="S124" i="51"/>
  <c r="U14" i="56"/>
  <c r="V15" i="56" s="1"/>
  <c r="V16" i="56"/>
  <c r="U54" i="4"/>
  <c r="U55" i="4"/>
  <c r="U66" i="4"/>
  <c r="Y25" i="51"/>
  <c r="Y20" i="51"/>
  <c r="Y26" i="51"/>
  <c r="Y31" i="51"/>
  <c r="X12" i="56" s="1"/>
  <c r="X14" i="56" s="1"/>
  <c r="X16" i="56" s="1"/>
  <c r="Y24" i="51"/>
  <c r="Y152" i="51"/>
  <c r="Y133" i="51"/>
  <c r="X8" i="4"/>
  <c r="X24" i="4"/>
  <c r="X9" i="4"/>
  <c r="Y192" i="51" s="1"/>
  <c r="V23" i="6"/>
  <c r="AT33" i="56"/>
  <c r="I30" i="23"/>
  <c r="W10" i="56"/>
  <c r="X20" i="51"/>
  <c r="X26" i="51"/>
  <c r="X31" i="51"/>
  <c r="W12" i="56" s="1"/>
  <c r="W14" i="56" s="1"/>
  <c r="X24" i="51"/>
  <c r="X25" i="51"/>
  <c r="X152" i="51"/>
  <c r="X133" i="51"/>
  <c r="W8" i="4"/>
  <c r="W9" i="4"/>
  <c r="X192" i="51" s="1"/>
  <c r="W24" i="4"/>
  <c r="W191" i="51"/>
  <c r="V53" i="4"/>
  <c r="V67" i="4"/>
  <c r="W125" i="51"/>
  <c r="W23" i="6" s="1"/>
  <c r="W154" i="51"/>
  <c r="W155" i="51" s="1"/>
  <c r="W134" i="51"/>
  <c r="AU28" i="56"/>
  <c r="Q29" i="56"/>
  <c r="AU29" i="56" s="1"/>
  <c r="J27" i="23"/>
  <c r="Q31" i="56"/>
  <c r="T15" i="56"/>
  <c r="T22" i="56"/>
  <c r="T16" i="56"/>
  <c r="V194" i="51"/>
  <c r="U27" i="6"/>
  <c r="X10" i="56"/>
  <c r="X33" i="51"/>
  <c r="X34" i="51"/>
  <c r="W193" i="51"/>
  <c r="V29" i="4"/>
  <c r="V68" i="4"/>
  <c r="U200" i="51"/>
  <c r="U12" i="6"/>
  <c r="V155" i="51"/>
  <c r="Y33" i="51"/>
  <c r="Y34" i="51"/>
  <c r="R44" i="6"/>
  <c r="U44" i="23"/>
  <c r="AR18" i="56" l="1"/>
  <c r="AR19" i="56" s="1"/>
  <c r="AT36" i="56"/>
  <c r="Q173" i="51"/>
  <c r="R28" i="56"/>
  <c r="AT20" i="56"/>
  <c r="S23" i="56"/>
  <c r="Q20" i="6"/>
  <c r="S24" i="56"/>
  <c r="T11" i="6"/>
  <c r="T13" i="6" s="1"/>
  <c r="S70" i="56"/>
  <c r="Y40" i="51"/>
  <c r="Y102" i="51"/>
  <c r="Y97" i="51"/>
  <c r="X97" i="51"/>
  <c r="X102" i="51"/>
  <c r="X40" i="51"/>
  <c r="U16" i="56"/>
  <c r="U15" i="56"/>
  <c r="W99" i="51"/>
  <c r="W98" i="51"/>
  <c r="W36" i="51"/>
  <c r="W42" i="51"/>
  <c r="W41" i="51"/>
  <c r="U18" i="56"/>
  <c r="V38" i="51"/>
  <c r="V37" i="51"/>
  <c r="S13" i="6"/>
  <c r="S52" i="6"/>
  <c r="S127" i="51"/>
  <c r="T129" i="51" s="1"/>
  <c r="U14" i="23"/>
  <c r="Q69" i="4"/>
  <c r="Q70" i="4"/>
  <c r="X193" i="51"/>
  <c r="W29" i="4"/>
  <c r="W68" i="4"/>
  <c r="Y193" i="51"/>
  <c r="X29" i="4"/>
  <c r="X68" i="4"/>
  <c r="U17" i="23"/>
  <c r="V200" i="51"/>
  <c r="V12" i="6"/>
  <c r="R29" i="56"/>
  <c r="R31" i="56"/>
  <c r="Y191" i="51"/>
  <c r="X67" i="4"/>
  <c r="X53" i="4"/>
  <c r="AU31" i="56"/>
  <c r="AU32" i="56" s="1"/>
  <c r="Q36" i="56"/>
  <c r="Q61" i="4"/>
  <c r="Q33" i="56"/>
  <c r="Q71" i="56"/>
  <c r="Q32" i="56"/>
  <c r="J28" i="23"/>
  <c r="V54" i="4"/>
  <c r="V66" i="4"/>
  <c r="V55" i="4"/>
  <c r="X191" i="51"/>
  <c r="W53" i="4"/>
  <c r="W67" i="4"/>
  <c r="W15" i="56"/>
  <c r="W16" i="56"/>
  <c r="V27" i="6"/>
  <c r="Y125" i="51"/>
  <c r="Y23" i="6" s="1"/>
  <c r="Y154" i="51"/>
  <c r="Y155" i="51" s="1"/>
  <c r="Y134" i="51"/>
  <c r="W27" i="6"/>
  <c r="U43" i="23"/>
  <c r="U59" i="23"/>
  <c r="X15" i="56"/>
  <c r="T23" i="56"/>
  <c r="T70" i="56"/>
  <c r="U11" i="6"/>
  <c r="T24" i="56"/>
  <c r="W194" i="51"/>
  <c r="X125" i="51"/>
  <c r="X23" i="6" s="1"/>
  <c r="X154" i="51"/>
  <c r="X155" i="51" s="1"/>
  <c r="X134" i="51"/>
  <c r="AS18" i="56" l="1"/>
  <c r="Q172" i="51"/>
  <c r="T123" i="51"/>
  <c r="R14" i="4"/>
  <c r="R70" i="4" s="1"/>
  <c r="T52" i="6"/>
  <c r="Q44" i="6"/>
  <c r="T44" i="23"/>
  <c r="T43" i="23" s="1"/>
  <c r="X42" i="51"/>
  <c r="X36" i="51"/>
  <c r="X41" i="51"/>
  <c r="X98" i="51"/>
  <c r="X99" i="51"/>
  <c r="Y99" i="51"/>
  <c r="Y98" i="51"/>
  <c r="Y36" i="51"/>
  <c r="Y41" i="51"/>
  <c r="Y42" i="51"/>
  <c r="W37" i="51"/>
  <c r="W38" i="51"/>
  <c r="V18" i="56"/>
  <c r="U19" i="56"/>
  <c r="U22" i="56"/>
  <c r="U20" i="56"/>
  <c r="U16" i="23"/>
  <c r="S20" i="6"/>
  <c r="S51" i="6"/>
  <c r="S53" i="6" s="1"/>
  <c r="S201" i="51" s="1"/>
  <c r="X194" i="51"/>
  <c r="Y194" i="51"/>
  <c r="X27" i="6"/>
  <c r="P37" i="56"/>
  <c r="Y27" i="6"/>
  <c r="AU33" i="56"/>
  <c r="J30" i="23"/>
  <c r="X55" i="4"/>
  <c r="X54" i="4"/>
  <c r="X66" i="4"/>
  <c r="U52" i="6"/>
  <c r="U13" i="6"/>
  <c r="T51" i="6"/>
  <c r="W55" i="4"/>
  <c r="W54" i="4"/>
  <c r="W66" i="4"/>
  <c r="W200" i="51"/>
  <c r="W12" i="6"/>
  <c r="J29" i="23"/>
  <c r="R173" i="51"/>
  <c r="AU36" i="56"/>
  <c r="J33" i="23"/>
  <c r="R32" i="56"/>
  <c r="R36" i="56"/>
  <c r="R33" i="56"/>
  <c r="R71" i="56"/>
  <c r="R61" i="4"/>
  <c r="T124" i="51"/>
  <c r="T130" i="51"/>
  <c r="T131" i="51"/>
  <c r="S26" i="56"/>
  <c r="R20" i="4" l="1"/>
  <c r="T53" i="6"/>
  <c r="T201" i="51" s="1"/>
  <c r="T59" i="23"/>
  <c r="R69" i="4"/>
  <c r="X37" i="51"/>
  <c r="X38" i="51"/>
  <c r="W18" i="56"/>
  <c r="Y37" i="51"/>
  <c r="Y38" i="51"/>
  <c r="X18" i="56"/>
  <c r="V22" i="56"/>
  <c r="V23" i="56" s="1"/>
  <c r="V20" i="56"/>
  <c r="V19" i="56"/>
  <c r="V11" i="6"/>
  <c r="U24" i="56"/>
  <c r="U70" i="56"/>
  <c r="U23" i="56"/>
  <c r="S44" i="6"/>
  <c r="S61" i="6" s="1"/>
  <c r="R172" i="51"/>
  <c r="T127" i="51"/>
  <c r="Y200" i="51"/>
  <c r="Y12" i="6"/>
  <c r="S173" i="51"/>
  <c r="S28" i="56"/>
  <c r="U51" i="6"/>
  <c r="U53" i="6" s="1"/>
  <c r="U201" i="51" s="1"/>
  <c r="X200" i="51"/>
  <c r="X12" i="6"/>
  <c r="AT37" i="56"/>
  <c r="AS37" i="56" s="1"/>
  <c r="P73" i="56"/>
  <c r="I34" i="23"/>
  <c r="P38" i="56"/>
  <c r="X22" i="56" l="1"/>
  <c r="X19" i="56"/>
  <c r="X20" i="56"/>
  <c r="W22" i="56"/>
  <c r="W20" i="56"/>
  <c r="W19" i="56"/>
  <c r="V70" i="56"/>
  <c r="W11" i="6"/>
  <c r="V24" i="56"/>
  <c r="V13" i="6"/>
  <c r="V52" i="6"/>
  <c r="P40" i="56"/>
  <c r="AT38" i="56"/>
  <c r="I35" i="23"/>
  <c r="U123" i="51"/>
  <c r="S14" i="4"/>
  <c r="U129" i="51"/>
  <c r="Q37" i="56"/>
  <c r="S29" i="56"/>
  <c r="S31" i="56"/>
  <c r="S172" i="51"/>
  <c r="X11" i="6" l="1"/>
  <c r="W24" i="56"/>
  <c r="W70" i="56"/>
  <c r="W23" i="56"/>
  <c r="Y11" i="6"/>
  <c r="X24" i="56"/>
  <c r="X23" i="56"/>
  <c r="X70" i="56"/>
  <c r="W13" i="6"/>
  <c r="W51" i="6" s="1"/>
  <c r="W52" i="6"/>
  <c r="V51" i="6"/>
  <c r="V53" i="6" s="1"/>
  <c r="V201" i="51" s="1"/>
  <c r="R37" i="56"/>
  <c r="U131" i="51"/>
  <c r="U124" i="51"/>
  <c r="U130" i="51"/>
  <c r="T26" i="56"/>
  <c r="S20" i="4"/>
  <c r="S69" i="4"/>
  <c r="S70" i="4"/>
  <c r="S33" i="56"/>
  <c r="S71" i="56"/>
  <c r="S32" i="56"/>
  <c r="S36" i="56"/>
  <c r="S61" i="4"/>
  <c r="Q73" i="56"/>
  <c r="AU37" i="56"/>
  <c r="J34" i="23"/>
  <c r="Q38" i="56"/>
  <c r="P41" i="56"/>
  <c r="I37" i="23"/>
  <c r="Y52" i="6" l="1"/>
  <c r="Y13" i="6"/>
  <c r="Y51" i="6" s="1"/>
  <c r="X52" i="6"/>
  <c r="X13" i="6"/>
  <c r="X51" i="6" s="1"/>
  <c r="W53" i="6"/>
  <c r="W201" i="51" s="1"/>
  <c r="U127" i="51"/>
  <c r="V123" i="51" s="1"/>
  <c r="T173" i="51"/>
  <c r="AU38" i="56"/>
  <c r="Q40" i="56"/>
  <c r="J35" i="23"/>
  <c r="T28" i="56"/>
  <c r="P45" i="56"/>
  <c r="AT41" i="56"/>
  <c r="I38" i="23"/>
  <c r="R73" i="56"/>
  <c r="R38" i="56"/>
  <c r="Y53" i="6" l="1"/>
  <c r="Y201" i="51" s="1"/>
  <c r="X53" i="6"/>
  <c r="X201" i="51" s="1"/>
  <c r="V129" i="51"/>
  <c r="V131" i="51" s="1"/>
  <c r="T14" i="4"/>
  <c r="T70" i="4" s="1"/>
  <c r="Q41" i="56"/>
  <c r="J37" i="23"/>
  <c r="Q184" i="51"/>
  <c r="Q178" i="51"/>
  <c r="AT45" i="56"/>
  <c r="I40" i="23"/>
  <c r="T29" i="56"/>
  <c r="T31" i="56"/>
  <c r="T172" i="51"/>
  <c r="R40" i="56"/>
  <c r="T20" i="4" l="1"/>
  <c r="U26" i="56"/>
  <c r="T69" i="4"/>
  <c r="V124" i="51"/>
  <c r="V130" i="51"/>
  <c r="V127" i="51"/>
  <c r="W129" i="51" s="1"/>
  <c r="W130" i="51" s="1"/>
  <c r="AU41" i="56"/>
  <c r="Q45" i="56"/>
  <c r="Q42" i="56"/>
  <c r="J38" i="23"/>
  <c r="R41" i="56"/>
  <c r="S37" i="56"/>
  <c r="Q179" i="51"/>
  <c r="Q34" i="6"/>
  <c r="P43" i="4" s="1"/>
  <c r="P64" i="56"/>
  <c r="P47" i="56"/>
  <c r="T36" i="56"/>
  <c r="T61" i="4"/>
  <c r="T33" i="56"/>
  <c r="T71" i="56"/>
  <c r="T32" i="56"/>
  <c r="U28" i="56" l="1"/>
  <c r="U14" i="4"/>
  <c r="U69" i="4" s="1"/>
  <c r="V26" i="56"/>
  <c r="W123" i="51"/>
  <c r="W131" i="51"/>
  <c r="Q180" i="51"/>
  <c r="W124" i="51"/>
  <c r="Q37" i="6"/>
  <c r="T53" i="23"/>
  <c r="I42" i="23"/>
  <c r="R45" i="56"/>
  <c r="R42" i="56"/>
  <c r="P66" i="56"/>
  <c r="P67" i="56"/>
  <c r="AU42" i="56"/>
  <c r="J39" i="23"/>
  <c r="S73" i="56"/>
  <c r="T18" i="6"/>
  <c r="S38" i="56"/>
  <c r="R184" i="51"/>
  <c r="R178" i="51"/>
  <c r="Q46" i="56"/>
  <c r="AU45" i="56"/>
  <c r="J40" i="23"/>
  <c r="U173" i="51"/>
  <c r="V28" i="56"/>
  <c r="U31" i="56" l="1"/>
  <c r="U70" i="4"/>
  <c r="U29" i="56"/>
  <c r="U20" i="4"/>
  <c r="W127" i="51"/>
  <c r="V14" i="4"/>
  <c r="V70" i="4" s="1"/>
  <c r="X123" i="51"/>
  <c r="X129" i="51"/>
  <c r="X124" i="51" s="1"/>
  <c r="U172" i="51"/>
  <c r="AU46" i="56"/>
  <c r="J41" i="23"/>
  <c r="P44" i="4"/>
  <c r="T56" i="23"/>
  <c r="T55" i="23" s="1"/>
  <c r="Q39" i="6"/>
  <c r="V29" i="56"/>
  <c r="V31" i="56"/>
  <c r="R179" i="51"/>
  <c r="R34" i="6"/>
  <c r="Q43" i="4" s="1"/>
  <c r="Q64" i="56"/>
  <c r="Q47" i="56"/>
  <c r="T20" i="6"/>
  <c r="U36" i="56"/>
  <c r="U61" i="4"/>
  <c r="U33" i="56"/>
  <c r="U71" i="56"/>
  <c r="U32" i="56"/>
  <c r="S40" i="56"/>
  <c r="S184" i="51"/>
  <c r="S178" i="51"/>
  <c r="R46" i="56"/>
  <c r="V20" i="4"/>
  <c r="V69" i="4"/>
  <c r="X127" i="51" l="1"/>
  <c r="Y123" i="51" s="1"/>
  <c r="W26" i="56"/>
  <c r="X131" i="51"/>
  <c r="X130" i="51"/>
  <c r="R180" i="51"/>
  <c r="Q44" i="4"/>
  <c r="T34" i="23"/>
  <c r="P65" i="4"/>
  <c r="V173" i="51"/>
  <c r="T57" i="23"/>
  <c r="T37" i="56"/>
  <c r="S41" i="56"/>
  <c r="R37" i="6"/>
  <c r="U53" i="23"/>
  <c r="V32" i="56"/>
  <c r="V36" i="56"/>
  <c r="V33" i="56"/>
  <c r="V71" i="56"/>
  <c r="V61" i="4"/>
  <c r="T44" i="6"/>
  <c r="Q48" i="56"/>
  <c r="J42" i="23"/>
  <c r="S179" i="51"/>
  <c r="R47" i="56"/>
  <c r="S34" i="6"/>
  <c r="R64" i="56"/>
  <c r="Q67" i="56"/>
  <c r="Q66" i="56"/>
  <c r="W28" i="56"/>
  <c r="R43" i="4" l="1"/>
  <c r="Y129" i="51"/>
  <c r="Y124" i="51" s="1"/>
  <c r="Y127" i="51" s="1"/>
  <c r="X14" i="4" s="1"/>
  <c r="W14" i="4"/>
  <c r="W70" i="4" s="1"/>
  <c r="S180" i="51"/>
  <c r="W173" i="51"/>
  <c r="W172" i="51" s="1"/>
  <c r="V37" i="56" s="1"/>
  <c r="Y131" i="51"/>
  <c r="S37" i="6"/>
  <c r="U56" i="23"/>
  <c r="U55" i="23" s="1"/>
  <c r="R39" i="6"/>
  <c r="I65" i="23"/>
  <c r="W29" i="56"/>
  <c r="W31" i="56"/>
  <c r="R44" i="4"/>
  <c r="R66" i="56"/>
  <c r="R67" i="56"/>
  <c r="U18" i="6"/>
  <c r="T73" i="56"/>
  <c r="T38" i="56"/>
  <c r="R48" i="56"/>
  <c r="S42" i="56"/>
  <c r="S45" i="56"/>
  <c r="V172" i="51"/>
  <c r="U34" i="23"/>
  <c r="Q65" i="4"/>
  <c r="W69" i="4" l="1"/>
  <c r="W20" i="4"/>
  <c r="X26" i="56"/>
  <c r="Y130" i="51"/>
  <c r="W33" i="56"/>
  <c r="W71" i="56"/>
  <c r="W32" i="56"/>
  <c r="W36" i="56"/>
  <c r="W61" i="4"/>
  <c r="V73" i="56"/>
  <c r="W18" i="6"/>
  <c r="X20" i="4"/>
  <c r="X69" i="4"/>
  <c r="T178" i="51"/>
  <c r="T184" i="51"/>
  <c r="S46" i="56"/>
  <c r="X28" i="56"/>
  <c r="X70" i="4"/>
  <c r="J65" i="23"/>
  <c r="U37" i="56"/>
  <c r="U20" i="6"/>
  <c r="U57" i="23"/>
  <c r="T40" i="56"/>
  <c r="R65" i="4"/>
  <c r="S39" i="6"/>
  <c r="V38" i="56"/>
  <c r="V40" i="56" s="1"/>
  <c r="V41" i="56" s="1"/>
  <c r="T41" i="56" l="1"/>
  <c r="V45" i="56"/>
  <c r="U44" i="6"/>
  <c r="U73" i="56"/>
  <c r="V18" i="6"/>
  <c r="U38" i="56"/>
  <c r="W20" i="6"/>
  <c r="X173" i="51"/>
  <c r="X172" i="51" s="1"/>
  <c r="W37" i="56" s="1"/>
  <c r="X29" i="56"/>
  <c r="X31" i="56"/>
  <c r="T179" i="51"/>
  <c r="S64" i="56"/>
  <c r="S47" i="56"/>
  <c r="T34" i="6"/>
  <c r="S43" i="4" s="1"/>
  <c r="T180" i="51" l="1"/>
  <c r="S48" i="56"/>
  <c r="W73" i="56"/>
  <c r="X18" i="6"/>
  <c r="U40" i="56"/>
  <c r="V20" i="6"/>
  <c r="S66" i="56"/>
  <c r="S67" i="56"/>
  <c r="W44" i="6"/>
  <c r="T37" i="6"/>
  <c r="X36" i="56"/>
  <c r="X61" i="4"/>
  <c r="X33" i="56"/>
  <c r="X71" i="56"/>
  <c r="X32" i="56"/>
  <c r="W38" i="56"/>
  <c r="W40" i="56" s="1"/>
  <c r="W41" i="56" s="1"/>
  <c r="W184" i="51"/>
  <c r="W178" i="51"/>
  <c r="T45" i="56"/>
  <c r="T42" i="56"/>
  <c r="Y173" i="51" l="1"/>
  <c r="Y172" i="51" s="1"/>
  <c r="X37" i="56" s="1"/>
  <c r="X38" i="56" s="1"/>
  <c r="X40" i="56" s="1"/>
  <c r="X41" i="56" s="1"/>
  <c r="X20" i="6"/>
  <c r="S44" i="4"/>
  <c r="V44" i="6"/>
  <c r="U41" i="56"/>
  <c r="W42" i="56"/>
  <c r="W45" i="56"/>
  <c r="U184" i="51"/>
  <c r="U178" i="51"/>
  <c r="T46" i="56"/>
  <c r="W179" i="51"/>
  <c r="W180" i="51" s="1"/>
  <c r="V47" i="56"/>
  <c r="W34" i="6"/>
  <c r="W37" i="6" s="1"/>
  <c r="W39" i="6" s="1"/>
  <c r="V64" i="56"/>
  <c r="T39" i="6"/>
  <c r="X45" i="56" l="1"/>
  <c r="X42" i="56"/>
  <c r="X178" i="51"/>
  <c r="X184" i="51"/>
  <c r="W46" i="56"/>
  <c r="U45" i="56"/>
  <c r="U42" i="56"/>
  <c r="V42" i="56"/>
  <c r="V66" i="56"/>
  <c r="V67" i="56"/>
  <c r="U179" i="51"/>
  <c r="U34" i="6"/>
  <c r="T43" i="4" s="1"/>
  <c r="T64" i="56"/>
  <c r="T47" i="56"/>
  <c r="X44" i="6"/>
  <c r="S65" i="4"/>
  <c r="Y18" i="6"/>
  <c r="X73" i="56"/>
  <c r="U180" i="51" l="1"/>
  <c r="Y20" i="6"/>
  <c r="T48" i="56"/>
  <c r="T66" i="56"/>
  <c r="T67" i="56"/>
  <c r="U37" i="6"/>
  <c r="V184" i="51"/>
  <c r="V178" i="51"/>
  <c r="U46" i="56"/>
  <c r="V46" i="56"/>
  <c r="X179" i="51"/>
  <c r="X180" i="51" s="1"/>
  <c r="W64" i="56"/>
  <c r="W47" i="56"/>
  <c r="W48" i="56" s="1"/>
  <c r="X34" i="6"/>
  <c r="X37" i="6" s="1"/>
  <c r="X39" i="6" s="1"/>
  <c r="Y184" i="51"/>
  <c r="Y178" i="51"/>
  <c r="X46" i="56"/>
  <c r="Y179" i="51" l="1"/>
  <c r="Y180" i="51" s="1"/>
  <c r="Y34" i="6"/>
  <c r="Y37" i="6" s="1"/>
  <c r="Y39" i="6" s="1"/>
  <c r="X64" i="56"/>
  <c r="X47" i="56"/>
  <c r="X48" i="56" s="1"/>
  <c r="U39" i="6"/>
  <c r="T44" i="4"/>
  <c r="Y44" i="6"/>
  <c r="W66" i="56"/>
  <c r="W67" i="56"/>
  <c r="V179" i="51"/>
  <c r="V34" i="6"/>
  <c r="U43" i="4" s="1"/>
  <c r="V43" i="4" s="1"/>
  <c r="W43" i="4" s="1"/>
  <c r="X43" i="4" s="1"/>
  <c r="U64" i="56"/>
  <c r="U47" i="56"/>
  <c r="U67" i="56" l="1"/>
  <c r="U66" i="56"/>
  <c r="T65" i="4"/>
  <c r="V37" i="6"/>
  <c r="X66" i="56"/>
  <c r="X67" i="56"/>
  <c r="U48" i="56"/>
  <c r="V48" i="56"/>
  <c r="V180" i="51"/>
  <c r="U44" i="4" l="1"/>
  <c r="V39" i="6"/>
  <c r="U65" i="4" l="1"/>
  <c r="V44" i="4"/>
  <c r="V65" i="4" s="1"/>
  <c r="X44" i="4" l="1"/>
  <c r="X65" i="4" s="1"/>
  <c r="W44" i="4"/>
  <c r="W65" i="4" s="1"/>
  <c r="Q40" i="6" l="1"/>
  <c r="P41" i="6"/>
  <c r="Q41" i="6" l="1"/>
  <c r="Q42" i="6" s="1"/>
  <c r="P7" i="4" l="1"/>
  <c r="R40" i="6"/>
  <c r="R41" i="6"/>
  <c r="S41" i="6" l="1"/>
  <c r="R42" i="6"/>
  <c r="P57" i="4"/>
  <c r="P11" i="4"/>
  <c r="Q161" i="51"/>
  <c r="T8" i="23"/>
  <c r="T11" i="23" l="1"/>
  <c r="T10" i="23" s="1"/>
  <c r="P21" i="4"/>
  <c r="S40" i="6"/>
  <c r="Q7" i="4"/>
  <c r="Q162" i="51"/>
  <c r="T41" i="6"/>
  <c r="P58" i="4"/>
  <c r="P72" i="56"/>
  <c r="I61" i="23"/>
  <c r="I62" i="23" s="1"/>
  <c r="P57" i="56"/>
  <c r="U41" i="6" l="1"/>
  <c r="S42" i="6"/>
  <c r="P59" i="4"/>
  <c r="T18" i="23"/>
  <c r="P64" i="4"/>
  <c r="P71" i="4"/>
  <c r="BR21" i="56"/>
  <c r="BR22" i="56" s="1"/>
  <c r="P58" i="56"/>
  <c r="P59" i="56"/>
  <c r="Q159" i="51"/>
  <c r="R161" i="51"/>
  <c r="U8" i="23"/>
  <c r="Q57" i="4"/>
  <c r="Q11" i="4"/>
  <c r="U11" i="23" l="1"/>
  <c r="U10" i="23" s="1"/>
  <c r="Q21" i="4"/>
  <c r="R162" i="51"/>
  <c r="P62" i="4"/>
  <c r="T40" i="6"/>
  <c r="R7" i="4"/>
  <c r="Q58" i="4"/>
  <c r="Q72" i="56"/>
  <c r="J61" i="23"/>
  <c r="J62" i="23" s="1"/>
  <c r="Q57" i="56"/>
  <c r="P60" i="56"/>
  <c r="P61" i="56"/>
  <c r="P62" i="56"/>
  <c r="Q55" i="6"/>
  <c r="I64" i="23"/>
  <c r="V41" i="6"/>
  <c r="W41" i="6" l="1"/>
  <c r="X41" i="6" s="1"/>
  <c r="Y41" i="6" s="1"/>
  <c r="T42" i="6"/>
  <c r="Q59" i="56"/>
  <c r="BS21" i="56"/>
  <c r="BS22" i="56" s="1"/>
  <c r="Q58" i="56"/>
  <c r="R159" i="51"/>
  <c r="Q59" i="4"/>
  <c r="Q64" i="4"/>
  <c r="Q71" i="4"/>
  <c r="U18" i="23"/>
  <c r="S161" i="51"/>
  <c r="R57" i="4"/>
  <c r="R11" i="4"/>
  <c r="R21" i="4" l="1"/>
  <c r="R58" i="4"/>
  <c r="R72" i="56"/>
  <c r="R57" i="56"/>
  <c r="S162" i="51"/>
  <c r="Q62" i="4"/>
  <c r="Q60" i="56"/>
  <c r="Q61" i="56"/>
  <c r="Q62" i="56"/>
  <c r="R55" i="6"/>
  <c r="U40" i="6"/>
  <c r="S7" i="4"/>
  <c r="J64" i="23"/>
  <c r="R58" i="56" l="1"/>
  <c r="R59" i="56"/>
  <c r="S11" i="4"/>
  <c r="T161" i="51"/>
  <c r="S57" i="4"/>
  <c r="U42" i="6"/>
  <c r="S159" i="51"/>
  <c r="R71" i="4"/>
  <c r="R59" i="4"/>
  <c r="R64" i="4"/>
  <c r="R62" i="4" l="1"/>
  <c r="T162" i="51"/>
  <c r="S21" i="4"/>
  <c r="R60" i="56"/>
  <c r="R61" i="56"/>
  <c r="R62" i="56"/>
  <c r="S55" i="6"/>
  <c r="T7" i="4"/>
  <c r="V40" i="6"/>
  <c r="S57" i="56"/>
  <c r="S58" i="4"/>
  <c r="S72" i="56"/>
  <c r="S58" i="56" l="1"/>
  <c r="S59" i="56"/>
  <c r="V42" i="6"/>
  <c r="S64" i="4"/>
  <c r="S71" i="4"/>
  <c r="S59" i="4"/>
  <c r="T11" i="4"/>
  <c r="U161" i="51"/>
  <c r="T57" i="4"/>
  <c r="T159" i="51"/>
  <c r="T57" i="56" l="1"/>
  <c r="T72" i="56"/>
  <c r="T58" i="4"/>
  <c r="U7" i="4"/>
  <c r="W40" i="6"/>
  <c r="W42" i="6" s="1"/>
  <c r="U162" i="51"/>
  <c r="T21" i="4"/>
  <c r="S60" i="56"/>
  <c r="S61" i="56"/>
  <c r="S62" i="56"/>
  <c r="T55" i="6"/>
  <c r="S62" i="4"/>
  <c r="T64" i="4" l="1"/>
  <c r="T71" i="4"/>
  <c r="T59" i="4"/>
  <c r="V7" i="4"/>
  <c r="X40" i="6"/>
  <c r="X42" i="6" s="1"/>
  <c r="U11" i="4"/>
  <c r="V161" i="51"/>
  <c r="U57" i="4"/>
  <c r="U159" i="51"/>
  <c r="T58" i="56"/>
  <c r="T59" i="56"/>
  <c r="U21" i="4" l="1"/>
  <c r="T60" i="56"/>
  <c r="T61" i="56"/>
  <c r="T62" i="56"/>
  <c r="U55" i="6"/>
  <c r="W7" i="4"/>
  <c r="Y40" i="6"/>
  <c r="Y42" i="6" s="1"/>
  <c r="X7" i="4" s="1"/>
  <c r="V11" i="4"/>
  <c r="V21" i="4" s="1"/>
  <c r="W161" i="51"/>
  <c r="W162" i="51" s="1"/>
  <c r="W159" i="51" s="1"/>
  <c r="V57" i="4"/>
  <c r="T62" i="4"/>
  <c r="U72" i="56"/>
  <c r="U57" i="56"/>
  <c r="U58" i="4"/>
  <c r="V162" i="51"/>
  <c r="W57" i="4" l="1"/>
  <c r="W11" i="4"/>
  <c r="W21" i="4" s="1"/>
  <c r="X161" i="51"/>
  <c r="X162" i="51" s="1"/>
  <c r="X159" i="51" s="1"/>
  <c r="V159" i="51"/>
  <c r="V59" i="4"/>
  <c r="V62" i="4" s="1"/>
  <c r="V64" i="4"/>
  <c r="V71" i="4"/>
  <c r="U58" i="56"/>
  <c r="U59" i="56"/>
  <c r="V58" i="4"/>
  <c r="V72" i="56"/>
  <c r="V57" i="56"/>
  <c r="X57" i="4"/>
  <c r="X11" i="4"/>
  <c r="X21" i="4" s="1"/>
  <c r="Y161" i="51"/>
  <c r="U59" i="4"/>
  <c r="U64" i="4"/>
  <c r="U71" i="4"/>
  <c r="Y162" i="51" l="1"/>
  <c r="Y159" i="51" s="1"/>
  <c r="V58" i="56"/>
  <c r="V59" i="56"/>
  <c r="U62" i="4"/>
  <c r="V55" i="6"/>
  <c r="U60" i="56"/>
  <c r="U61" i="56"/>
  <c r="U62" i="56"/>
  <c r="X59" i="4"/>
  <c r="X62" i="4" s="1"/>
  <c r="X64" i="4"/>
  <c r="X71" i="4"/>
  <c r="W59" i="4"/>
  <c r="W62" i="4" s="1"/>
  <c r="W64" i="4"/>
  <c r="W71" i="4"/>
  <c r="X58" i="4"/>
  <c r="X72" i="56"/>
  <c r="X57" i="56"/>
  <c r="W58" i="4"/>
  <c r="W72" i="56"/>
  <c r="W57" i="56"/>
  <c r="X58" i="56" l="1"/>
  <c r="X59" i="56"/>
  <c r="W58" i="56"/>
  <c r="W59" i="56"/>
  <c r="V62" i="56"/>
  <c r="W55" i="6"/>
  <c r="V60" i="56"/>
  <c r="V61" i="56"/>
  <c r="W61" i="56" l="1"/>
  <c r="W62" i="56"/>
  <c r="X55" i="6"/>
  <c r="W60" i="56"/>
  <c r="X60" i="56"/>
  <c r="X61" i="56"/>
  <c r="X62" i="56"/>
  <c r="Y55" i="6"/>
  <c r="P17" i="51"/>
  <c r="Q17" i="51"/>
  <c r="P20" i="51"/>
  <c r="Q20" i="51"/>
  <c r="P23" i="51"/>
  <c r="P24" i="51"/>
  <c r="P25" i="51"/>
  <c r="P26" i="51"/>
  <c r="P65" i="51"/>
  <c r="Q66" i="51" s="1"/>
  <c r="P66" i="51"/>
  <c r="P40" i="51"/>
  <c r="P102" i="51"/>
  <c r="P115" i="51"/>
  <c r="P131" i="51"/>
  <c r="P135" i="51"/>
  <c r="P152" i="51"/>
  <c r="P155" i="51"/>
  <c r="O6" i="56"/>
  <c r="AQ6" i="56" s="1"/>
  <c r="O9" i="56" l="1"/>
  <c r="P41" i="51"/>
  <c r="Q41" i="51"/>
  <c r="P42" i="51"/>
  <c r="AP6" i="56"/>
  <c r="AP57" i="56" s="1"/>
  <c r="BG6" i="56"/>
  <c r="AQ57" i="56"/>
  <c r="O62" i="56"/>
  <c r="O66" i="4"/>
  <c r="O10" i="56"/>
  <c r="O67" i="4"/>
  <c r="O68" i="4"/>
  <c r="Q92" i="51"/>
  <c r="Q102" i="51"/>
  <c r="P32" i="51"/>
  <c r="P10" i="56" l="1"/>
  <c r="AQ9" i="56"/>
  <c r="AP9" i="56" s="1"/>
  <c r="BH6" i="56"/>
  <c r="BJ6" i="56"/>
  <c r="AT10" i="56"/>
  <c r="I11" i="23"/>
  <c r="P31" i="51"/>
  <c r="P33" i="51"/>
  <c r="Q33" i="51"/>
  <c r="P34" i="51"/>
  <c r="P36" i="51"/>
  <c r="Q148" i="51"/>
  <c r="P99" i="51"/>
  <c r="P98" i="51"/>
  <c r="Q98" i="51"/>
  <c r="P148" i="51"/>
  <c r="AQ10" i="56"/>
  <c r="BG9" i="56" l="1"/>
  <c r="BK6" i="56"/>
  <c r="AR6" i="56"/>
  <c r="O12" i="56"/>
  <c r="Q37" i="51"/>
  <c r="O18" i="56"/>
  <c r="P38" i="51"/>
  <c r="P37" i="51"/>
  <c r="BH9" i="56"/>
  <c r="AP65" i="56"/>
  <c r="AP10" i="56"/>
  <c r="AR9" i="56" l="1"/>
  <c r="AR57" i="56"/>
  <c r="AS6" i="56"/>
  <c r="AS57" i="56" s="1"/>
  <c r="O20" i="56"/>
  <c r="O19" i="56"/>
  <c r="P19" i="56"/>
  <c r="AQ12" i="56"/>
  <c r="O14" i="56"/>
  <c r="BJ9" i="56" l="1"/>
  <c r="BK9" i="56" s="1"/>
  <c r="AR10" i="56"/>
  <c r="AR14" i="56"/>
  <c r="AS9" i="56"/>
  <c r="AR65" i="56"/>
  <c r="AT19" i="56"/>
  <c r="I18" i="23"/>
  <c r="AQ19" i="56"/>
  <c r="AQ14" i="56"/>
  <c r="O16" i="56"/>
  <c r="O15" i="56"/>
  <c r="P15" i="56"/>
  <c r="O22" i="56"/>
  <c r="AP12" i="56"/>
  <c r="BG12" i="56"/>
  <c r="AR22" i="56" l="1"/>
  <c r="AR16" i="56"/>
  <c r="AR15" i="56"/>
  <c r="AS14" i="56"/>
  <c r="AS16" i="56" s="1"/>
  <c r="AS65" i="56"/>
  <c r="AS20" i="56"/>
  <c r="AS10" i="56"/>
  <c r="BH12" i="56"/>
  <c r="BK12" i="56"/>
  <c r="AP14" i="56"/>
  <c r="BG14" i="56"/>
  <c r="AQ16" i="56"/>
  <c r="I14" i="23"/>
  <c r="AT15" i="56"/>
  <c r="O60" i="56"/>
  <c r="O70" i="56"/>
  <c r="BQ11" i="56"/>
  <c r="BQ13" i="56" s="1"/>
  <c r="AQ22" i="56"/>
  <c r="O24" i="56"/>
  <c r="O72" i="56"/>
  <c r="S39" i="23"/>
  <c r="H62" i="23" s="1"/>
  <c r="P11" i="6"/>
  <c r="O23" i="56"/>
  <c r="O31" i="56"/>
  <c r="P23" i="56"/>
  <c r="O58" i="56"/>
  <c r="AQ15" i="56"/>
  <c r="AS15" i="56" l="1"/>
  <c r="AR31" i="56"/>
  <c r="AR23" i="56"/>
  <c r="AR24" i="56"/>
  <c r="AS22" i="56"/>
  <c r="BH14" i="56"/>
  <c r="BJ14" i="56"/>
  <c r="BK14" i="56" s="1"/>
  <c r="AQ24" i="56"/>
  <c r="AP22" i="56"/>
  <c r="BG22" i="56"/>
  <c r="BJ22" i="56" s="1"/>
  <c r="BK22" i="56" s="1"/>
  <c r="AQ18" i="56"/>
  <c r="O36" i="56"/>
  <c r="O61" i="56"/>
  <c r="O71" i="56"/>
  <c r="O32" i="56"/>
  <c r="P32" i="56"/>
  <c r="O33" i="56"/>
  <c r="O71" i="4"/>
  <c r="AQ31" i="56"/>
  <c r="O61" i="4"/>
  <c r="AQ23" i="56"/>
  <c r="P52" i="6"/>
  <c r="P53" i="6" s="1"/>
  <c r="P12" i="6"/>
  <c r="BQ14" i="56"/>
  <c r="BQ15" i="56" s="1"/>
  <c r="BQ16" i="56" s="1"/>
  <c r="S43" i="23"/>
  <c r="AT23" i="56"/>
  <c r="I24" i="23"/>
  <c r="AP15" i="56"/>
  <c r="AP16" i="56"/>
  <c r="AQ32" i="56" l="1"/>
  <c r="AT32" i="56"/>
  <c r="AR36" i="56"/>
  <c r="AR33" i="56"/>
  <c r="AR32" i="56"/>
  <c r="AS31" i="56"/>
  <c r="AS33" i="56" s="1"/>
  <c r="AS24" i="56"/>
  <c r="AS66" i="56"/>
  <c r="AR66" i="56"/>
  <c r="AS23" i="56"/>
  <c r="P201" i="51"/>
  <c r="BQ19" i="56"/>
  <c r="BQ22" i="56"/>
  <c r="AQ33" i="56"/>
  <c r="O62" i="4"/>
  <c r="AQ36" i="56"/>
  <c r="P173" i="51"/>
  <c r="AP18" i="56"/>
  <c r="AS19" i="56" s="1"/>
  <c r="BG18" i="56"/>
  <c r="AQ20" i="56"/>
  <c r="BH22" i="56"/>
  <c r="AP24" i="56"/>
  <c r="AP66" i="56"/>
  <c r="AP23" i="56"/>
  <c r="BG31" i="56"/>
  <c r="AP31" i="56"/>
  <c r="I29" i="23"/>
  <c r="AR38" i="56" l="1"/>
  <c r="AS36" i="56"/>
  <c r="AS32" i="56"/>
  <c r="BH31" i="56"/>
  <c r="BJ31" i="56"/>
  <c r="BK31" i="56" s="1"/>
  <c r="BH18" i="56"/>
  <c r="BK18" i="56"/>
  <c r="AP32" i="56"/>
  <c r="AP33" i="56"/>
  <c r="AP20" i="56"/>
  <c r="AP19" i="56"/>
  <c r="AP36" i="56"/>
  <c r="BG36" i="56"/>
  <c r="AO20" i="56"/>
  <c r="AR20" i="56" s="1"/>
  <c r="AR41" i="56" l="1"/>
  <c r="AS38" i="56"/>
  <c r="BH36" i="56"/>
  <c r="BJ36" i="56"/>
  <c r="BK36" i="56" s="1"/>
  <c r="O37" i="56"/>
  <c r="AR45" i="56" l="1"/>
  <c r="AR42" i="56"/>
  <c r="AS41" i="56"/>
  <c r="AQ37" i="56"/>
  <c r="AP37" i="56" s="1"/>
  <c r="O73" i="56"/>
  <c r="O38" i="56"/>
  <c r="AR46" i="56" l="1"/>
  <c r="AS45" i="56"/>
  <c r="AQ38" i="56"/>
  <c r="AP38" i="56" s="1"/>
  <c r="O40" i="56"/>
  <c r="O41" i="56" l="1"/>
  <c r="O64" i="4" l="1"/>
  <c r="O42" i="56"/>
  <c r="O65" i="4"/>
  <c r="P42" i="56"/>
  <c r="AQ41" i="56"/>
  <c r="O45" i="56"/>
  <c r="P184" i="51" l="1"/>
  <c r="AQ45" i="56"/>
  <c r="O46" i="56"/>
  <c r="P178" i="51"/>
  <c r="P46" i="56"/>
  <c r="BG41" i="56"/>
  <c r="BJ41" i="56" s="1"/>
  <c r="BK41" i="56" s="1"/>
  <c r="AP41" i="56"/>
  <c r="AS42" i="56" s="1"/>
  <c r="I39" i="23"/>
  <c r="AT42" i="56"/>
  <c r="AQ42" i="56"/>
  <c r="AP45" i="56" l="1"/>
  <c r="AS46" i="56" s="1"/>
  <c r="BG45" i="56"/>
  <c r="BJ45" i="56" s="1"/>
  <c r="BK45" i="56" s="1"/>
  <c r="AT46" i="56"/>
  <c r="I41" i="23"/>
  <c r="O47" i="56"/>
  <c r="O64" i="56"/>
  <c r="P179" i="51"/>
  <c r="P34" i="6"/>
  <c r="P180" i="51"/>
  <c r="BH41" i="56"/>
  <c r="AP42" i="56"/>
  <c r="AQ46" i="56"/>
  <c r="O48" i="56" l="1"/>
  <c r="P48" i="56"/>
  <c r="O66" i="56"/>
  <c r="O67" i="56"/>
  <c r="S53" i="23"/>
  <c r="S55" i="23" s="1"/>
  <c r="P36" i="6"/>
  <c r="BH45" i="56"/>
  <c r="AP46" i="56"/>
  <c r="D37" i="6" l="1"/>
  <c r="D39" i="6"/>
  <c r="D42" i="6"/>
  <c r="O35" i="4"/>
  <c r="P35" i="4"/>
  <c r="Q35" i="4"/>
  <c r="R35" i="4"/>
  <c r="S35" i="4"/>
  <c r="T35" i="4"/>
  <c r="U35" i="4"/>
  <c r="V35" i="4"/>
  <c r="W35" i="4"/>
  <c r="X35" i="4"/>
  <c r="O36" i="4"/>
  <c r="P36" i="4"/>
  <c r="Q36" i="4"/>
  <c r="R36" i="4"/>
  <c r="S36" i="4"/>
  <c r="T36" i="4"/>
  <c r="U36" i="4"/>
  <c r="V36" i="4"/>
  <c r="W36" i="4"/>
  <c r="X36" i="4"/>
  <c r="O37" i="4"/>
  <c r="P37" i="4"/>
  <c r="Q37" i="4"/>
  <c r="R37" i="4"/>
  <c r="S37" i="4"/>
  <c r="T37" i="4"/>
  <c r="U37" i="4"/>
  <c r="V37" i="4"/>
  <c r="W37" i="4"/>
  <c r="X37" i="4"/>
  <c r="O39" i="4"/>
  <c r="P39" i="4"/>
  <c r="Q39" i="4"/>
  <c r="R39" i="4"/>
  <c r="S39" i="4"/>
  <c r="T39" i="4"/>
  <c r="U39" i="4"/>
  <c r="V39" i="4"/>
  <c r="W39" i="4"/>
  <c r="X39" i="4"/>
  <c r="O46" i="4"/>
  <c r="P46" i="4"/>
  <c r="Q46" i="4"/>
  <c r="R46" i="4"/>
  <c r="S46" i="4"/>
  <c r="T46" i="4"/>
  <c r="U46" i="4"/>
  <c r="V46" i="4"/>
  <c r="W46" i="4"/>
  <c r="X46" i="4"/>
  <c r="S28" i="23"/>
  <c r="T28" i="23"/>
  <c r="U28" i="23"/>
  <c r="V28" i="23"/>
  <c r="S29" i="23"/>
  <c r="T29" i="23"/>
  <c r="U29" i="23"/>
  <c r="V29" i="23"/>
  <c r="S30" i="23"/>
  <c r="T30" i="23"/>
  <c r="U30" i="23"/>
  <c r="V30" i="23"/>
  <c r="S32" i="23"/>
  <c r="T32" i="23"/>
  <c r="U32" i="23"/>
  <c r="V3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Michael, Joseph (Research)</author>
  </authors>
  <commentList>
    <comment ref="K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Michael, Joseph (Research):</t>
        </r>
        <r>
          <rPr>
            <sz val="9"/>
            <color indexed="81"/>
            <rFont val="Tahoma"/>
            <family val="2"/>
          </rPr>
          <t xml:space="preserve">
Annualised 1H20 from information memorandum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Michael, Joseph (Research)</author>
  </authors>
  <commentList>
    <comment ref="K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Michael, Joseph (Research):</t>
        </r>
        <r>
          <rPr>
            <sz val="9"/>
            <color indexed="81"/>
            <rFont val="Tahoma"/>
            <family val="2"/>
          </rPr>
          <t xml:space="preserve">
Annualised 1H20</t>
        </r>
      </text>
    </comment>
    <comment ref="L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Michael, Joseph (Research):</t>
        </r>
        <r>
          <rPr>
            <sz val="9"/>
            <color indexed="81"/>
            <rFont val="Tahoma"/>
            <family val="2"/>
          </rPr>
          <t xml:space="preserve">
Pro rated period from 11 March 2020 to 31 July 2021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Michael, Joseph (Research)</author>
  </authors>
  <commentList>
    <comment ref="J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Michael, Joseph (Research):</t>
        </r>
        <r>
          <rPr>
            <sz val="9"/>
            <color indexed="81"/>
            <rFont val="Tahoma"/>
            <family val="2"/>
          </rPr>
          <t xml:space="preserve">
To 4 Sep 2020</t>
        </r>
      </text>
    </comment>
  </commentList>
</comments>
</file>

<file path=xl/sharedStrings.xml><?xml version="1.0" encoding="utf-8"?>
<sst xmlns="http://schemas.openxmlformats.org/spreadsheetml/2006/main" count="1230" uniqueCount="736">
  <si>
    <t>Proceeds/Acquisition of assets</t>
  </si>
  <si>
    <t>Count</t>
  </si>
  <si>
    <t>Retained Profit</t>
  </si>
  <si>
    <t>Total Shareholders Equity</t>
  </si>
  <si>
    <t>Check balance</t>
  </si>
  <si>
    <t>Balance Sheet Analysis</t>
  </si>
  <si>
    <t>(Increase)/Decrease in Working Capital</t>
  </si>
  <si>
    <t xml:space="preserve">Net Debt / (cash) </t>
  </si>
  <si>
    <t>Net Debt / Equity</t>
  </si>
  <si>
    <t>Total Tangible Assets</t>
  </si>
  <si>
    <t xml:space="preserve">ROA </t>
  </si>
  <si>
    <t>ROE</t>
  </si>
  <si>
    <t>WC / Sales</t>
  </si>
  <si>
    <t>Debtors / Sales</t>
  </si>
  <si>
    <t>Creditors / Sales</t>
  </si>
  <si>
    <t>PPE Growth</t>
  </si>
  <si>
    <t>Depn / PPE</t>
  </si>
  <si>
    <t>growth</t>
  </si>
  <si>
    <t xml:space="preserve">Depreciation </t>
  </si>
  <si>
    <t>Total D&amp;A</t>
  </si>
  <si>
    <t>Net Interest</t>
  </si>
  <si>
    <t>Net Profit Before Tax</t>
  </si>
  <si>
    <t>Tax</t>
  </si>
  <si>
    <t>Net Profit After Tax</t>
  </si>
  <si>
    <t>Reported NPAT</t>
  </si>
  <si>
    <t>Normalized NPAT (pre-NRI)</t>
  </si>
  <si>
    <t>Weighted average shares - Diluted</t>
  </si>
  <si>
    <t>cents</t>
  </si>
  <si>
    <t>Modelware EPS (pre NRI, diluted share count)</t>
  </si>
  <si>
    <t>Profit &amp; Loss Ratio Analysis</t>
  </si>
  <si>
    <t>Market Capitalisation</t>
  </si>
  <si>
    <t>Net Debt</t>
  </si>
  <si>
    <t>EV</t>
  </si>
  <si>
    <t>EV/EBITDA</t>
  </si>
  <si>
    <t>EV/EBIT</t>
  </si>
  <si>
    <t>EV/Revenue</t>
  </si>
  <si>
    <t>DPS (¢)</t>
  </si>
  <si>
    <t>Franking (%)</t>
  </si>
  <si>
    <t>Payout (%)</t>
  </si>
  <si>
    <t>Yield (%)</t>
  </si>
  <si>
    <t>Interest Cover (x)</t>
  </si>
  <si>
    <t xml:space="preserve">    EBITDA/Net Interest</t>
  </si>
  <si>
    <t xml:space="preserve">    EBIT/Net Interest</t>
  </si>
  <si>
    <t>Effective tax rate (%)</t>
  </si>
  <si>
    <t>Gross Profit</t>
  </si>
  <si>
    <t>F2000</t>
  </si>
  <si>
    <t>Operating Activities</t>
  </si>
  <si>
    <t>Receipts from customers</t>
  </si>
  <si>
    <t>Payments to suppliers and employees</t>
  </si>
  <si>
    <t>EBITDA</t>
  </si>
  <si>
    <t xml:space="preserve">Working capital (incr.)/decr. </t>
  </si>
  <si>
    <t>Interest received</t>
  </si>
  <si>
    <t>ISO4217:AUD</t>
  </si>
  <si>
    <t>Borrowing costs</t>
  </si>
  <si>
    <t>Cash taxes paid</t>
  </si>
  <si>
    <t>Total operating cashflow</t>
  </si>
  <si>
    <t>Investing Activities</t>
  </si>
  <si>
    <t>mstag:netDisposalsAcquisitions</t>
  </si>
  <si>
    <t>Payments for intangibles</t>
  </si>
  <si>
    <t>Total investing activities</t>
  </si>
  <si>
    <t>Financing Activities</t>
  </si>
  <si>
    <t>Proceeds from Share Issues</t>
  </si>
  <si>
    <t>Debt drawn/(repaid)</t>
  </si>
  <si>
    <t xml:space="preserve">                 - Repayment of Borrowing</t>
  </si>
  <si>
    <t xml:space="preserve">                 - Proceeds from Borrowing</t>
  </si>
  <si>
    <t>Dividends paid - Ord shares</t>
  </si>
  <si>
    <t>Total financing activities</t>
  </si>
  <si>
    <t>Net change in cash</t>
  </si>
  <si>
    <t>Cashflow Statement Analysis</t>
  </si>
  <si>
    <t>Gross Operating Cashflow</t>
  </si>
  <si>
    <t>EPS</t>
  </si>
  <si>
    <t>Total</t>
  </si>
  <si>
    <t>EBIT</t>
  </si>
  <si>
    <t>Income Statement</t>
  </si>
  <si>
    <t>EBIT (1-t) / Total Assets</t>
  </si>
  <si>
    <t>EBIT (1-t)</t>
  </si>
  <si>
    <t xml:space="preserve">Return on Tangible Assets </t>
  </si>
  <si>
    <t>AUD</t>
  </si>
  <si>
    <t>.</t>
  </si>
  <si>
    <t>Financial Summary</t>
  </si>
  <si>
    <t>Balance Sheet</t>
  </si>
  <si>
    <t>Cash &amp; cash equivalents</t>
  </si>
  <si>
    <t>Total Current Assets</t>
  </si>
  <si>
    <t>Non-Current Assets</t>
  </si>
  <si>
    <t>Intangible assets</t>
  </si>
  <si>
    <t>Total Non-Current Assets</t>
  </si>
  <si>
    <t>Other current liabilities</t>
  </si>
  <si>
    <t>Total Current Liabilities</t>
  </si>
  <si>
    <t>Non-Current Liabilities</t>
  </si>
  <si>
    <t>Total Non-Current Liabilities</t>
  </si>
  <si>
    <t>Net Assets</t>
  </si>
  <si>
    <t>Cash Flow Statement</t>
  </si>
  <si>
    <t>Operating Cash Flows</t>
  </si>
  <si>
    <t>Total EBIT</t>
  </si>
  <si>
    <t>Net interest</t>
  </si>
  <si>
    <t>Income taxes paid</t>
  </si>
  <si>
    <t>Total Operating Cash Flows</t>
  </si>
  <si>
    <t xml:space="preserve">Net interest </t>
  </si>
  <si>
    <t>Income Tax</t>
  </si>
  <si>
    <t>Investing Cash Flows</t>
  </si>
  <si>
    <t>Purchase of PPE</t>
  </si>
  <si>
    <t>Other investing</t>
  </si>
  <si>
    <t>Total Investing Cash Flows</t>
  </si>
  <si>
    <t>Financing Cash Flows</t>
  </si>
  <si>
    <t>Dividends paid</t>
  </si>
  <si>
    <t>Other financing</t>
  </si>
  <si>
    <t>Total Financing Cash Flows</t>
  </si>
  <si>
    <t>Other Value Drivers</t>
  </si>
  <si>
    <t>Net Debt/(Cash)</t>
  </si>
  <si>
    <t xml:space="preserve">ROE </t>
  </si>
  <si>
    <t>Other non-current liabilities</t>
  </si>
  <si>
    <t>Net Debt / EBITDA</t>
  </si>
  <si>
    <t>x</t>
  </si>
  <si>
    <t>unit</t>
  </si>
  <si>
    <t>FY14</t>
  </si>
  <si>
    <t>FY15</t>
  </si>
  <si>
    <t>FY16</t>
  </si>
  <si>
    <t>FY17</t>
  </si>
  <si>
    <t>FY18</t>
  </si>
  <si>
    <t>FY19</t>
  </si>
  <si>
    <t>Revenue Summary</t>
  </si>
  <si>
    <t>Revenue</t>
  </si>
  <si>
    <t>%</t>
  </si>
  <si>
    <t>Depreciation</t>
  </si>
  <si>
    <t>Capex</t>
  </si>
  <si>
    <t>Amortisation</t>
  </si>
  <si>
    <t>Total Capex</t>
  </si>
  <si>
    <t>Capex % of Sales</t>
  </si>
  <si>
    <t>Acquisitons</t>
  </si>
  <si>
    <t>Financial Assumptions</t>
  </si>
  <si>
    <t>Cash - year end</t>
  </si>
  <si>
    <t>Cash - year average</t>
  </si>
  <si>
    <t>Interest Revenue</t>
  </si>
  <si>
    <t>Interest Expense</t>
  </si>
  <si>
    <t>Net interest expense</t>
  </si>
  <si>
    <t>Effective Tax rate</t>
  </si>
  <si>
    <t>Dividend Payout Ratio</t>
  </si>
  <si>
    <t>DPS</t>
  </si>
  <si>
    <t xml:space="preserve"> ¢</t>
  </si>
  <si>
    <t>DPS (Interim)</t>
  </si>
  <si>
    <t>DPS (Final)</t>
  </si>
  <si>
    <t>Franking</t>
  </si>
  <si>
    <t>Basic Weighted average shares</t>
  </si>
  <si>
    <t>Diluted Weighted average shares</t>
  </si>
  <si>
    <t>Days Receivable</t>
  </si>
  <si>
    <t>days</t>
  </si>
  <si>
    <t>Days Payables</t>
  </si>
  <si>
    <t xml:space="preserve">Working Capital </t>
  </si>
  <si>
    <t>Change in WC on pcp</t>
  </si>
  <si>
    <t>Current Assets</t>
  </si>
  <si>
    <t>Cash &amp; Cash Eq.</t>
  </si>
  <si>
    <t>Receivables</t>
  </si>
  <si>
    <t>Other</t>
  </si>
  <si>
    <t>Non Current Assets</t>
  </si>
  <si>
    <t>Deferred Tax Assets</t>
  </si>
  <si>
    <t>Intangibles</t>
  </si>
  <si>
    <t>Other non-current assets</t>
  </si>
  <si>
    <t>Total Assets</t>
  </si>
  <si>
    <t>Current Liabilities</t>
  </si>
  <si>
    <t>Accounts Payable</t>
  </si>
  <si>
    <t>Borrowings</t>
  </si>
  <si>
    <t>Provisions</t>
  </si>
  <si>
    <t>Non Current Liabilities</t>
  </si>
  <si>
    <t>Total Liabilities</t>
  </si>
  <si>
    <t>NET ASSETS</t>
  </si>
  <si>
    <t>m</t>
  </si>
  <si>
    <t>Special</t>
  </si>
  <si>
    <t>NPAT</t>
  </si>
  <si>
    <t>margin</t>
  </si>
  <si>
    <t>Analyst Certification</t>
  </si>
  <si>
    <t>Global Research Conflict Management Policy</t>
  </si>
  <si>
    <t>STOCK RATINGS</t>
  </si>
  <si>
    <t>Global Stock Ratings Distribution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</si>
  <si>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</si>
  <si>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</si>
  <si>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</si>
  <si>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</si>
  <si>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</si>
  <si>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</si>
  <si>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</si>
  <si>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</si>
  <si>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</si>
  <si>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</si>
  <si>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</si>
  <si>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</si>
  <si>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</si>
  <si>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</si>
  <si>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</si>
  <si>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</si>
  <si>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</si>
  <si>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 xml:space="preserve">Total EBITDA </t>
  </si>
  <si>
    <t>Revenue growth rate</t>
  </si>
  <si>
    <t>Amoritisation</t>
  </si>
  <si>
    <t>Revenue contribution</t>
  </si>
  <si>
    <t>cps</t>
  </si>
  <si>
    <t>CAGR</t>
  </si>
  <si>
    <t>c</t>
  </si>
  <si>
    <t>Payments for PP&amp;E</t>
  </si>
  <si>
    <t>Cash Conversion</t>
  </si>
  <si>
    <t>PBT</t>
  </si>
  <si>
    <t>Interest rate</t>
  </si>
  <si>
    <t>FY26E</t>
  </si>
  <si>
    <t>FY27E</t>
  </si>
  <si>
    <t>FY28E</t>
  </si>
  <si>
    <t>FY29E</t>
  </si>
  <si>
    <t>Inventories</t>
  </si>
  <si>
    <t>Plant and Equipment</t>
  </si>
  <si>
    <t>Trade and other payables</t>
  </si>
  <si>
    <t>Issued Capital</t>
  </si>
  <si>
    <t>Reserves</t>
  </si>
  <si>
    <t>Total Sales Revenue</t>
  </si>
  <si>
    <t>Cost of sales</t>
  </si>
  <si>
    <t>Employee expenses</t>
  </si>
  <si>
    <t>Other expenses</t>
  </si>
  <si>
    <t>Total operating expenses</t>
  </si>
  <si>
    <t>PPE (Start)</t>
  </si>
  <si>
    <t>PPE (End)</t>
  </si>
  <si>
    <t>Intangibles (end)</t>
  </si>
  <si>
    <t>Interest Revenue (HARDCODED)</t>
  </si>
  <si>
    <t>Borrowings - year end</t>
  </si>
  <si>
    <t xml:space="preserve">Borrowings - year average </t>
  </si>
  <si>
    <t>Days Inventories</t>
  </si>
  <si>
    <t>P/E (Modelware EPS)</t>
  </si>
  <si>
    <t xml:space="preserve">Non-Recurring Items </t>
  </si>
  <si>
    <t>Opex % sales</t>
  </si>
  <si>
    <t>D&amp;A</t>
  </si>
  <si>
    <t>k</t>
  </si>
  <si>
    <t>Growth</t>
  </si>
  <si>
    <t>Opex</t>
  </si>
  <si>
    <t>PPE</t>
  </si>
  <si>
    <t>FCF</t>
  </si>
  <si>
    <t>Working Capital</t>
  </si>
  <si>
    <t>% Sales</t>
  </si>
  <si>
    <t>1H21</t>
  </si>
  <si>
    <t>Receivable</t>
  </si>
  <si>
    <t>Payables</t>
  </si>
  <si>
    <t>FY20</t>
  </si>
  <si>
    <t>FY30E</t>
  </si>
  <si>
    <t>FY31E</t>
  </si>
  <si>
    <t>FY21</t>
  </si>
  <si>
    <t>Lease Liabilities</t>
  </si>
  <si>
    <t>2H21</t>
  </si>
  <si>
    <t>TUA (S$)</t>
  </si>
  <si>
    <t>Full Year (Year End 31 July)</t>
  </si>
  <si>
    <t>Singapore Mobile</t>
  </si>
  <si>
    <t>Total  Revenue</t>
  </si>
  <si>
    <t>Network, carrier &amp; hardware costs</t>
  </si>
  <si>
    <t>Net adds</t>
  </si>
  <si>
    <t>Market Share</t>
  </si>
  <si>
    <t>Subscribers</t>
  </si>
  <si>
    <t>Singapore population</t>
  </si>
  <si>
    <t>Penetration</t>
  </si>
  <si>
    <t>Total Mobile subscribers</t>
  </si>
  <si>
    <t>ARPU</t>
  </si>
  <si>
    <t>S$</t>
  </si>
  <si>
    <t>Right of use assets</t>
  </si>
  <si>
    <t>S$m</t>
  </si>
  <si>
    <t>Spectrum assets</t>
  </si>
  <si>
    <t>Other Intangibles</t>
  </si>
  <si>
    <t>Lease liabilities</t>
  </si>
  <si>
    <t>Deferred revenue</t>
  </si>
  <si>
    <t>Lease Liabiliites</t>
  </si>
  <si>
    <t>Cashflow Statement (S$m)</t>
  </si>
  <si>
    <t>Income Statement (S$)</t>
  </si>
  <si>
    <t>Intangibles (Start)</t>
  </si>
  <si>
    <t>Tax expense (income)</t>
  </si>
  <si>
    <t>Cash (Start)</t>
  </si>
  <si>
    <t>Cash (End)</t>
  </si>
  <si>
    <t>Balance Sheet (S$m)</t>
  </si>
  <si>
    <t>(S$m) Year End 31 July</t>
  </si>
  <si>
    <t>Diluted Shares</t>
  </si>
  <si>
    <t>Key metrics</t>
  </si>
  <si>
    <t>TUA.AX</t>
  </si>
  <si>
    <t>Tuas Ltd.</t>
  </si>
  <si>
    <t>FCF Yield</t>
  </si>
  <si>
    <t>Singapore Broadband</t>
  </si>
  <si>
    <t>Singapore households</t>
  </si>
  <si>
    <t>Total Broadband subscribers</t>
  </si>
  <si>
    <t>Mobile revenue</t>
  </si>
  <si>
    <t>Broadband revenue</t>
  </si>
  <si>
    <t>REVENUE MODEL</t>
  </si>
  <si>
    <t>COST MODEL</t>
  </si>
  <si>
    <t>PP&amp;E</t>
  </si>
  <si>
    <t>Earnings Summary</t>
  </si>
  <si>
    <t>Total opex</t>
  </si>
  <si>
    <t>Mobile subscribers</t>
  </si>
  <si>
    <t>Mobile ARPU</t>
  </si>
  <si>
    <t>Broadband subscribers</t>
  </si>
  <si>
    <t>Broadband ARPU</t>
  </si>
  <si>
    <t>FY32E</t>
  </si>
  <si>
    <t>FY22</t>
  </si>
  <si>
    <t>Net Working Capital</t>
  </si>
  <si>
    <t>1H22</t>
  </si>
  <si>
    <t>2H22</t>
  </si>
  <si>
    <t>FY23</t>
  </si>
  <si>
    <t>FY24</t>
  </si>
  <si>
    <t>Cash NPAT</t>
  </si>
  <si>
    <t>Market Cap</t>
  </si>
  <si>
    <t>Market Cap less cash</t>
  </si>
  <si>
    <t>17% tax rate</t>
  </si>
  <si>
    <t xml:space="preserve">Maintenance </t>
  </si>
  <si>
    <t>P/E</t>
  </si>
  <si>
    <t>A$m</t>
  </si>
  <si>
    <t>P/E (ex. Cash)</t>
  </si>
  <si>
    <t>FY33E</t>
  </si>
  <si>
    <t>FY25</t>
  </si>
  <si>
    <t>1H24E</t>
  </si>
  <si>
    <t>2H24E</t>
  </si>
  <si>
    <t>1H23</t>
  </si>
  <si>
    <t>2H23</t>
  </si>
  <si>
    <t>FY26</t>
  </si>
  <si>
    <t>Broadband</t>
  </si>
  <si>
    <t>Mobile</t>
  </si>
  <si>
    <t xml:space="preserve">Mobile </t>
  </si>
  <si>
    <t>FY34E</t>
  </si>
  <si>
    <t>FY24-27E</t>
  </si>
  <si>
    <t>NPAT (pre-NRI)</t>
  </si>
  <si>
    <t xml:space="preserve">EPS (pre-NRI) - Diluted </t>
  </si>
  <si>
    <t>1H25E</t>
  </si>
  <si>
    <t>2H25E</t>
  </si>
  <si>
    <t>Mobile Subs</t>
  </si>
  <si>
    <t>Mobile Revenue</t>
  </si>
  <si>
    <t>Broadband Subs</t>
  </si>
  <si>
    <t>Broadband Revenue</t>
  </si>
  <si>
    <t>Incremental Revenue</t>
  </si>
  <si>
    <t>Incremental EBITDA</t>
  </si>
  <si>
    <t>1H24</t>
  </si>
  <si>
    <t>2H24</t>
  </si>
  <si>
    <t>FY27</t>
  </si>
  <si>
    <t>Other Mobile Revenue</t>
  </si>
  <si>
    <t>Subs (Ave)</t>
  </si>
  <si>
    <t xml:space="preserve">1 Austin Road West </t>
  </si>
  <si>
    <t xml:space="preserve">Kowloon </t>
  </si>
  <si>
    <t xml:space="preserve">Hong Kong </t>
  </si>
  <si>
    <t>Tel: +852 2848 5200</t>
  </si>
  <si>
    <t>Authors: James Bales,Joseph Michael</t>
  </si>
  <si>
    <t>Date: 27 Jan 2026</t>
  </si>
  <si>
    <t>Ticker: TUA.AX</t>
  </si>
  <si>
    <t>Stock Rating: Overweight</t>
  </si>
  <si>
    <t>Industry: Australia Emerging Companies</t>
  </si>
  <si>
    <t>Industry View: In-Line</t>
  </si>
  <si>
    <t>Price as of 27 Jan 2026: 7.46</t>
  </si>
  <si>
    <t>Target Price: 10.00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</si>
  <si>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</si>
  <si>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</si>
  <si>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</si>
  <si>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</si>
  <si>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</si>
  <si>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</si>
  <si>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</si>
  <si>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</si>
  <si>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</si>
  <si>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</si>
  <si>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</si>
  <si>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</si>
  <si>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</si>
  <si>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</si>
  <si>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</si>
  <si>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</si>
  <si>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</si>
  <si>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</si>
  <si>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</si>
  <si>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</si>
  <si>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</si>
  <si>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</si>
  <si>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</si>
  <si>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</si>
  <si>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</si>
  <si>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</si>
  <si>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</si>
  <si>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</si>
  <si>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</si>
  <si>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</si>
  <si>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</si>
  <si>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</si>
  <si>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</si>
  <si>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</si>
  <si>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</si>
  <si>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</si>
  <si>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</si>
  <si>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</si>
  <si>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</si>
  <si>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</si>
  <si>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</si>
  <si>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</si>
  <si>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</si>
  <si>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James Bales.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</si>
  <si>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</si>
  <si>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</si>
  <si>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</si>
  <si>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</si>
  <si>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Within the last 12 months, Morgan Stanley managed or co-managed a public offering (or 144A offering) of</t>
  </si>
  <si>
    <t>securities of Tuas Ltd..</t>
  </si>
  <si>
    <t>Within the last 12 months, Morgan Stanley has received compensation for investment banking services from</t>
  </si>
  <si>
    <t>Tuas Ltd..</t>
  </si>
  <si>
    <t>Within the last 12 months, Morgan Stanley has provided or is providing investment banking services to,</t>
  </si>
  <si>
    <t>or has an investment banking client relationship with, the following company: Tuas Ltd..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</si>
  <si>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</si>
  <si>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</si>
  <si>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</si>
  <si>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</si>
  <si>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</si>
  <si>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</si>
  <si>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</si>
  <si>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</si>
  <si>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</si>
  <si>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</si>
  <si>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</si>
  <si>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</si>
  <si>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</si>
  <si>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</si>
  <si>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</si>
  <si>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</si>
  <si>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</si>
  <si>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</si>
  <si>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</si>
  <si>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</si>
  <si>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</si>
  <si>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</si>
  <si>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</si>
  <si>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</si>
  <si>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(as of December 31,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</si>
  <si>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</si>
  <si>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</si>
  <si>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</si>
  <si>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</si>
  <si>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</si>
  <si>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</si>
  <si>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</si>
  <si>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</si>
  <si>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</si>
  <si>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</si>
  <si>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</si>
  <si>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</si>
  <si>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</si>
  <si>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</si>
  <si>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</si>
  <si>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</si>
  <si>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</si>
  <si>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</si>
  <si>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</si>
  <si>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</si>
  <si>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</si>
  <si>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</si>
  <si>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</si>
  <si>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</si>
  <si>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</si>
  <si>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</si>
  <si>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</si>
  <si>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</si>
  <si>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</si>
  <si>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</si>
  <si>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</si>
  <si>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</si>
  <si>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</si>
  <si>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</si>
  <si>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</si>
  <si>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</si>
  <si>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</si>
  <si>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</si>
  <si>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</si>
  <si>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</si>
  <si>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</si>
  <si>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</si>
  <si>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</si>
  <si>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</si>
  <si>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</si>
  <si>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</si>
  <si>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</si>
  <si>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</si>
  <si>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</si>
  <si>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</si>
  <si>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</si>
  <si>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</si>
  <si>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</si>
  <si>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</si>
  <si>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</si>
  <si>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</si>
  <si>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</si>
  <si>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</si>
  <si>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</si>
  <si>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</si>
  <si>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</si>
  <si>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</si>
  <si>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</si>
  <si>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</si>
  <si>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</si>
  <si>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</si>
  <si>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</si>
  <si>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</si>
  <si>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</si>
  <si>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</si>
  <si>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</si>
  <si>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</si>
  <si>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</si>
  <si>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</si>
  <si>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</si>
  <si>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</si>
  <si>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</si>
  <si>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</si>
  <si>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</si>
  <si>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</si>
  <si>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</si>
  <si>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</si>
  <si>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</si>
  <si>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</si>
  <si>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</si>
  <si>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</si>
  <si>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</si>
  <si>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</si>
  <si>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</si>
  <si>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</si>
  <si>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</si>
  <si>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</si>
  <si>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</si>
  <si>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</si>
  <si>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</si>
  <si>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</si>
  <si>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</si>
  <si>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</si>
  <si>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</si>
  <si>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</si>
  <si>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</si>
  <si>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</si>
  <si>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</si>
  <si>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</si>
  <si>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</si>
  <si>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</si>
  <si>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</si>
  <si>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</si>
  <si>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</si>
  <si>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</si>
  <si>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</si>
  <si>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</si>
  <si>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</si>
  <si>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</si>
  <si>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</si>
  <si>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</si>
  <si>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</si>
  <si>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</si>
  <si>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</si>
  <si>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</si>
  <si>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</si>
  <si>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</si>
  <si>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</si>
  <si>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</si>
  <si>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</si>
  <si>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</si>
  <si>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</si>
  <si>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</si>
  <si>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</si>
  <si>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</si>
  <si>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</si>
  <si>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</si>
  <si>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</si>
  <si>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</si>
  <si>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</si>
  <si>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</si>
  <si>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</si>
  <si>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</si>
  <si>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</si>
  <si>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</si>
  <si>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</si>
  <si>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</si>
  <si>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</si>
  <si>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</si>
  <si>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</si>
  <si>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</si>
  <si>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</si>
  <si>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</si>
  <si>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</si>
  <si>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</si>
  <si>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</si>
  <si>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</si>
  <si>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</si>
  <si>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</si>
  <si>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</si>
  <si>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</si>
  <si>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</si>
  <si>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</si>
  <si>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</si>
  <si>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</si>
  <si>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</si>
  <si>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</si>
  <si>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</si>
  <si>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</si>
  <si>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</si>
  <si>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</si>
  <si>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</si>
  <si>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</si>
  <si>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</si>
  <si>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</si>
  <si>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</si>
  <si>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</si>
  <si>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</si>
  <si>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</si>
  <si>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</si>
  <si>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</si>
  <si>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</si>
  <si>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</si>
  <si>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</si>
  <si>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</si>
  <si>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</si>
  <si>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</si>
  <si>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</si>
  <si>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</si>
  <si>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</si>
  <si>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</si>
  <si>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</si>
  <si>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</si>
  <si>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</si>
  <si>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</si>
  <si>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</si>
  <si>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</si>
  <si>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</si>
  <si>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</si>
  <si>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</si>
  <si>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</si>
  <si>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</si>
  <si>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</si>
  <si>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</si>
  <si>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</si>
  <si>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</si>
  <si>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</si>
  <si>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</si>
  <si>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</si>
  <si>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</si>
  <si>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</si>
  <si>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</si>
  <si>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</si>
  <si>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</si>
  <si>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</si>
  <si>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</si>
  <si>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</si>
  <si>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</si>
  <si>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</si>
  <si>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</si>
  <si>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</si>
  <si>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</si>
  <si>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</si>
  <si>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</si>
  <si>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</si>
  <si>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</si>
  <si>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</si>
  <si>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</si>
  <si>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</si>
  <si>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</si>
  <si>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</si>
  <si>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</si>
  <si>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</si>
  <si>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</si>
  <si>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</si>
  <si>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</si>
  <si>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</si>
  <si>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01/27/26 10:16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</si>
  <si>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</si>
  <si>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</si>
  <si>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</si>
  <si>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</si>
  <si>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</si>
  <si>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</si>
  <si>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</si>
  <si>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</si>
  <si>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</si>
  <si>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</si>
  <si>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</si>
  <si>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</si>
  <si>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</si>
  <si>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</si>
  <si>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</si>
  <si>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</si>
  <si>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</si>
  <si>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</si>
  <si>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</si>
  <si>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</si>
  <si>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</si>
  <si>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</si>
  <si>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MSA12907, MSA13NLV</t>
  </si>
  <si>
    <t>Tickers</t>
  </si>
  <si>
    <t>CUSIP</t>
  </si>
  <si>
    <t>RIC</t>
  </si>
  <si>
    <t>SEDOL</t>
  </si>
  <si>
    <t>BM94P78</t>
  </si>
  <si>
    <t>Current Stock Price</t>
  </si>
  <si>
    <t>7.46</t>
  </si>
  <si>
    <t>Currency</t>
  </si>
  <si>
    <t>PathName</t>
  </si>
  <si>
    <t>L:\USERS\Small Caps\JB\TUA\Models\MS TUA Model_26Sep2025.xlsm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</si>
  <si>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</si>
  <si>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</si>
  <si>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</si>
  <si>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</si>
  <si>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</si>
  <si>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</si>
  <si>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</si>
  <si>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</si>
  <si>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</si>
  <si>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</si>
  <si>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</si>
  <si>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</si>
  <si>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</si>
  <si>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</si>
  <si>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</si>
  <si>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</si>
  <si>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</si>
  <si>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</si>
  <si>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</si>
  <si>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</si>
  <si>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</si>
  <si>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baleja</t>
  </si>
  <si>
    <t>IndustryId</t>
  </si>
  <si>
    <t>1900000738</t>
  </si>
  <si>
    <t>TickerRegion</t>
  </si>
  <si>
    <t>5</t>
  </si>
  <si>
    <t>AdditionalInstructions</t>
  </si>
  <si>
    <t>*Estimated</t>
  </si>
  <si>
    <t>OwnerTeam</t>
  </si>
  <si>
    <t>I888888944</t>
  </si>
  <si>
    <t>[BRO MSA]</t>
  </si>
  <si>
    <t>[DOCDAT 2026-01-27]</t>
  </si>
  <si>
    <t>[DOCTIME 10:16]</t>
  </si>
  <si>
    <t>[PSYM TUA.AX(Reuters) (None)]</t>
  </si>
  <si>
    <t>[COU Australia]</t>
  </si>
  <si>
    <t>[PRODUCT MODEL]</t>
  </si>
  <si>
    <t>[ANA MSA13NLV]</t>
  </si>
  <si>
    <t>[HL TUA.AX Model]</t>
  </si>
  <si>
    <t>[IND Emerging Companies]</t>
  </si>
  <si>
    <t>[EMAIL_ALERT YES]</t>
  </si>
  <si>
    <t>[PANA  MSA12907]</t>
  </si>
  <si>
    <t>[DISCIPLINE Company]</t>
  </si>
  <si>
    <t>[SUPPRESSED NO]</t>
  </si>
  <si>
    <t>This workbook contains formulas which intentionally use circular reference calculation. These calculations can be resolved as intended by the originating analyst by applying the following settings in the File &gt;&gt; Options &gt;&gt; Formulas:</t>
  </si>
  <si>
    <t>1) Select the Enable iterative calculation check box</t>
  </si>
  <si>
    <t>2) Set Maximum Iterations = 100</t>
  </si>
  <si>
    <t>3) Set Maximum Change = 0.001</t>
  </si>
  <si>
    <t>Failure to apply these settings can result in incorrect calculation or unexpected termination of your Microsoft Excel session.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</si>
</sst>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_);\(&quot;$&quot;#,##0.00\)"/>
    <numFmt numFmtId="167" formatCode="&quot;$&quot;#,##0.00_);[Red]\(&quot;$&quot;#,##0.00\)"/>
    <numFmt numFmtId="168" formatCode="0.000"/>
    <numFmt numFmtId="169" formatCode="0.0"/>
    <numFmt numFmtId="170" formatCode="0.0%"/>
    <numFmt numFmtId="171" formatCode="#,##0.0"/>
    <numFmt numFmtId="172" formatCode="#,##0.0_);\(#,##0.0\)"/>
    <numFmt numFmtId="174" formatCode="0_)"/>
    <numFmt numFmtId="175" formatCode="_-* #,##0.0_-;\-* #,##0.0_-;_-* &quot;-&quot;??_-;_-@_-"/>
    <numFmt numFmtId="176" formatCode="#,##0.0;\-#,##0.0"/>
    <numFmt numFmtId="177" formatCode="_(* #,##0_);_(* \(#,##0\);_(* &quot;-&quot;??_);_(@_)"/>
    <numFmt numFmtId="178" formatCode="0.0;\-0.0"/>
    <numFmt numFmtId="179" formatCode="_(* #,##0.000_);_(* \(#,##0.000\);_(* &quot;-&quot;??_);_(@_)"/>
    <numFmt numFmtId="191" formatCode="#.0&quot;x&quot;"/>
    <numFmt numFmtId="192" formatCode="_-* #,##0_-;\-* #,##0_-;_-* &quot;-&quot;??_-;_-@_-"/>
    <numFmt numFmtId="193" formatCode="dd\ mmm\ yy"/>
    <numFmt numFmtId="194" formatCode="_ * #,##0.00_ ;_ * \-#,##0.00_ ;_ * &quot;-&quot;??_ ;_ @_ "/>
    <numFmt numFmtId="198" formatCode="_(* #,##0.0_);_(* \(#,##0.0\);_(* &quot;-&quot;??_);_(@_)"/>
    <numFmt numFmtId="199" formatCode="0.0000%"/>
    <numFmt numFmtId="200" formatCode="\A&quot;$&quot;#,##0.00_);\(&quot;$&quot;#,##0.00\)"/>
  </numFmts>
  <fonts count="65"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Times"/>
      <family val="1"/>
    </font>
    <font>
      <sz val="10"/>
      <name val="MS Sans Serif"/>
      <family val="2"/>
    </font>
    <font>
      <sz val="10"/>
      <name val="Arial"/>
      <family val="2"/>
    </font>
    <font>
      <sz val="10"/>
      <name val="Helvetica"/>
      <family val="2"/>
    </font>
    <font>
      <b/>
      <sz val="10"/>
      <color indexed="8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b/>
      <sz val="9"/>
      <color indexed="20"/>
      <name val="Arial"/>
      <family val="2"/>
    </font>
    <font>
      <i/>
      <sz val="8"/>
      <name val="Times New Roman"/>
      <family val="1"/>
    </font>
    <font>
      <sz val="12"/>
      <name val="뼻뮝"/>
      <family val="1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sz val="8"/>
      <name val="Calibri"/>
      <family val="2"/>
    </font>
    <font>
      <sz val="10"/>
      <color indexed="12"/>
      <name val="Calibri"/>
      <family val="2"/>
    </font>
    <font>
      <sz val="10"/>
      <color indexed="8"/>
      <name val="Calibri"/>
      <family val="2"/>
    </font>
    <font>
      <b/>
      <sz val="8"/>
      <name val="Calibri"/>
      <family val="2"/>
    </font>
    <font>
      <sz val="10"/>
      <color indexed="12"/>
      <name val="Calibri"/>
      <family val="2"/>
    </font>
    <font>
      <b/>
      <sz val="10"/>
      <color indexed="8"/>
      <name val="Calibri"/>
      <family val="2"/>
    </font>
    <font>
      <b/>
      <sz val="10"/>
      <color indexed="10"/>
      <name val="Calibri"/>
      <family val="2"/>
    </font>
    <font>
      <b/>
      <sz val="10"/>
      <color indexed="12"/>
      <name val="Calibri"/>
      <family val="2"/>
    </font>
    <font>
      <b/>
      <u/>
      <sz val="10"/>
      <name val="Calibri"/>
      <family val="2"/>
    </font>
    <font>
      <i/>
      <sz val="10"/>
      <name val="Calibri"/>
      <family val="2"/>
    </font>
    <font>
      <sz val="10"/>
      <color indexed="10"/>
      <name val="Calibri"/>
      <family val="2"/>
    </font>
    <font>
      <sz val="8"/>
      <color indexed="10"/>
      <name val="Calibri"/>
      <family val="2"/>
    </font>
    <font>
      <sz val="10"/>
      <color indexed="12"/>
      <name val="Calibri"/>
      <family val="2"/>
    </font>
    <font>
      <b/>
      <i/>
      <sz val="10"/>
      <name val="Calibri"/>
      <family val="2"/>
    </font>
    <font>
      <b/>
      <sz val="14"/>
      <color indexed="56"/>
      <name val="Calibri"/>
      <family val="2"/>
    </font>
    <font>
      <sz val="10"/>
      <name val="Helv"/>
      <charset val="204"/>
    </font>
    <font>
      <sz val="12"/>
      <name val="바탕체"/>
      <family val="3"/>
    </font>
    <font>
      <i/>
      <sz val="10"/>
      <color indexed="10"/>
      <name val="Calibri"/>
      <family val="2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</font>
    <font>
      <sz val="10"/>
      <color theme="0" tint="-0.499984740745262"/>
      <name val="Calibri"/>
      <family val="2"/>
    </font>
    <font>
      <sz val="10"/>
      <color theme="6"/>
      <name val="Calibri"/>
      <family val="2"/>
    </font>
    <font>
      <b/>
      <sz val="12"/>
      <color rgb="FF0000FF"/>
      <name val="Calibri"/>
      <family val="2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b/>
      <i/>
      <sz val="10"/>
      <color theme="0"/>
      <name val="Calibri"/>
      <family val="2"/>
    </font>
    <font>
      <b/>
      <sz val="10"/>
      <color rgb="FF0000FF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u/>
      <sz val="10"/>
      <color rgb="FF0000FF"/>
      <name val="Calibri"/>
      <family val="2"/>
    </font>
    <font>
      <i/>
      <sz val="8"/>
      <name val="Calibri"/>
      <family val="2"/>
    </font>
    <font>
      <b/>
      <u/>
      <sz val="10"/>
      <color rgb="FFFF0000"/>
      <name val="Calibri"/>
      <family val="2"/>
    </font>
    <font>
      <sz val="10"/>
      <color theme="1"/>
      <name val="Calibri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color rgb="FF000000"/>
      <name val="Arial"/>
      <family val="2"/>
    </font>
    <font>
      <b/>
      <u/>
      <sz val="14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5AA4"/>
        <bgColor indexed="64"/>
      </patternFill>
    </fill>
    <fill>
      <patternFill patternType="solid">
        <fgColor rgb="FFD0B86A"/>
        <bgColor indexed="64"/>
      </patternFill>
    </fill>
    <fill>
      <patternFill patternType="solid">
        <fgColor rgb="FFEADFBC"/>
        <bgColor indexed="64"/>
      </patternFill>
    </fill>
    <fill>
      <patternFill patternType="solid">
        <fgColor indexed="6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1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6" fillId="0" borderId="0"/>
    <xf numFmtId="0" fontId="37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 applyFill="0" applyAlignment="0">
      <protection locked="0"/>
    </xf>
    <xf numFmtId="0" fontId="4" fillId="0" borderId="0"/>
    <xf numFmtId="0" fontId="4" fillId="0" borderId="0"/>
    <xf numFmtId="174" fontId="4" fillId="0" borderId="0"/>
    <xf numFmtId="0" fontId="3" fillId="0" borderId="0"/>
    <xf numFmtId="0" fontId="7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2" borderId="0" applyNumberFormat="0" applyFont="0" applyBorder="0" applyAlignment="0">
      <protection locked="0"/>
    </xf>
    <xf numFmtId="194" fontId="5" fillId="0" borderId="0" applyFont="0" applyFill="0" applyBorder="0" applyAlignment="0" applyProtection="0"/>
    <xf numFmtId="171" fontId="11" fillId="0" borderId="0"/>
    <xf numFmtId="0" fontId="5" fillId="0" borderId="0" applyFont="0" applyFill="0" applyBorder="0" applyAlignment="0" applyProtection="0"/>
    <xf numFmtId="0" fontId="40" fillId="0" borderId="0"/>
    <xf numFmtId="0" fontId="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" fillId="0" borderId="0"/>
    <xf numFmtId="0" fontId="9" fillId="0" borderId="0">
      <alignment vertical="center"/>
    </xf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10" fillId="0" borderId="0"/>
    <xf numFmtId="0" fontId="10" fillId="0" borderId="0"/>
    <xf numFmtId="0" fontId="10" fillId="0" borderId="1">
      <alignment horizontal="centerContinuous"/>
    </xf>
    <xf numFmtId="0" fontId="12" fillId="0" borderId="1"/>
    <xf numFmtId="0" fontId="5" fillId="0" borderId="0" applyFont="0" applyFill="0" applyBorder="0" applyAlignment="0" applyProtection="0"/>
    <xf numFmtId="193" fontId="2" fillId="0" borderId="0" applyNumberFormat="0" applyFill="0" applyBorder="0">
      <alignment horizontal="left"/>
    </xf>
    <xf numFmtId="193" fontId="2" fillId="0" borderId="0" applyNumberFormat="0" applyFill="0" applyBorder="0">
      <alignment horizontal="right"/>
    </xf>
    <xf numFmtId="0" fontId="8" fillId="0" borderId="0" applyBorder="0"/>
    <xf numFmtId="0" fontId="13" fillId="0" borderId="0"/>
    <xf numFmtId="0" fontId="38" fillId="0" borderId="0"/>
  </cellStyleXfs>
  <cellXfs count="843">
    <xf numFmtId="0" fontId="0" fillId="0" borderId="0" xfId="0"/>
    <xf numFmtId="0" fontId="18" fillId="3" borderId="0" xfId="0" applyFont="1" applyFill="1"/>
    <xf numFmtId="0" fontId="18" fillId="3" borderId="0" xfId="0" applyFont="1" applyFill="1" applyAlignment="1">
      <alignment horizontal="center"/>
    </xf>
    <xf numFmtId="9" fontId="18" fillId="3" borderId="0" xfId="31" applyFont="1" applyFill="1"/>
    <xf numFmtId="0" fontId="19" fillId="0" borderId="0" xfId="0" applyFont="1" applyFill="1"/>
    <xf numFmtId="170" fontId="18" fillId="3" borderId="0" xfId="31" applyNumberFormat="1" applyFont="1" applyFill="1"/>
    <xf numFmtId="169" fontId="18" fillId="3" borderId="0" xfId="0" applyNumberFormat="1" applyFont="1" applyFill="1"/>
    <xf numFmtId="166" fontId="19" fillId="3" borderId="0" xfId="19" applyNumberFormat="1" applyFont="1" applyFill="1" applyAlignment="1">
      <alignment horizontal="left"/>
    </xf>
    <xf numFmtId="0" fontId="20" fillId="3" borderId="4" xfId="0" applyFont="1" applyFill="1" applyBorder="1"/>
    <xf numFmtId="0" fontId="21" fillId="3" borderId="4" xfId="0" applyFont="1" applyFill="1" applyBorder="1" applyAlignment="1">
      <alignment horizontal="right" wrapText="1"/>
    </xf>
    <xf numFmtId="0" fontId="21" fillId="3" borderId="5" xfId="0" applyFont="1" applyFill="1" applyBorder="1"/>
    <xf numFmtId="0" fontId="21" fillId="3" borderId="5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right"/>
    </xf>
    <xf numFmtId="0" fontId="21" fillId="3" borderId="0" xfId="0" applyFont="1" applyFill="1" applyAlignment="1"/>
    <xf numFmtId="170" fontId="21" fillId="3" borderId="0" xfId="31" applyNumberFormat="1" applyFont="1" applyFill="1" applyBorder="1" applyAlignment="1">
      <alignment horizontal="right"/>
    </xf>
    <xf numFmtId="1" fontId="21" fillId="3" borderId="0" xfId="0" applyNumberFormat="1" applyFont="1" applyFill="1" applyBorder="1" applyAlignment="1">
      <alignment horizontal="right"/>
    </xf>
    <xf numFmtId="0" fontId="18" fillId="3" borderId="0" xfId="0" quotePrefix="1" applyFont="1" applyFill="1"/>
    <xf numFmtId="169" fontId="18" fillId="3" borderId="0" xfId="18" applyNumberFormat="1" applyFont="1" applyFill="1" applyBorder="1" applyAlignment="1">
      <alignment horizontal="right"/>
    </xf>
    <xf numFmtId="9" fontId="22" fillId="3" borderId="0" xfId="31" applyFont="1" applyFill="1" applyBorder="1" applyAlignment="1">
      <alignment horizontal="left"/>
    </xf>
    <xf numFmtId="9" fontId="22" fillId="3" borderId="0" xfId="31" applyNumberFormat="1" applyFont="1" applyFill="1" applyBorder="1" applyAlignment="1">
      <alignment horizontal="right"/>
    </xf>
    <xf numFmtId="0" fontId="22" fillId="3" borderId="0" xfId="0" applyFont="1" applyFill="1"/>
    <xf numFmtId="0" fontId="18" fillId="3" borderId="0" xfId="0" applyFont="1" applyFill="1" applyBorder="1" applyAlignment="1">
      <alignment horizontal="center"/>
    </xf>
    <xf numFmtId="0" fontId="18" fillId="3" borderId="0" xfId="0" applyFont="1" applyFill="1" applyAlignment="1"/>
    <xf numFmtId="169" fontId="21" fillId="3" borderId="0" xfId="18" applyNumberFormat="1" applyFont="1" applyFill="1" applyBorder="1" applyAlignment="1">
      <alignment horizontal="right"/>
    </xf>
    <xf numFmtId="9" fontId="18" fillId="3" borderId="0" xfId="31" applyFont="1" applyFill="1" applyBorder="1" applyAlignment="1">
      <alignment horizontal="right"/>
    </xf>
    <xf numFmtId="0" fontId="18" fillId="3" borderId="0" xfId="0" applyFont="1" applyFill="1" applyBorder="1"/>
    <xf numFmtId="0" fontId="21" fillId="3" borderId="0" xfId="0" applyFont="1" applyFill="1"/>
    <xf numFmtId="0" fontId="21" fillId="3" borderId="0" xfId="0" applyFont="1" applyFill="1" applyBorder="1" applyAlignment="1">
      <alignment horizontal="center"/>
    </xf>
    <xf numFmtId="0" fontId="18" fillId="3" borderId="5" xfId="0" quotePrefix="1" applyFont="1" applyFill="1" applyBorder="1"/>
    <xf numFmtId="0" fontId="18" fillId="3" borderId="5" xfId="0" applyFont="1" applyFill="1" applyBorder="1" applyAlignment="1">
      <alignment horizontal="center"/>
    </xf>
    <xf numFmtId="0" fontId="22" fillId="3" borderId="0" xfId="0" applyFont="1" applyFill="1" applyBorder="1" applyAlignment="1">
      <alignment horizontal="center"/>
    </xf>
    <xf numFmtId="9" fontId="18" fillId="3" borderId="0" xfId="31" applyNumberFormat="1" applyFont="1" applyFill="1" applyBorder="1" applyAlignment="1">
      <alignment horizontal="right"/>
    </xf>
    <xf numFmtId="0" fontId="25" fillId="3" borderId="0" xfId="0" applyFont="1" applyFill="1"/>
    <xf numFmtId="0" fontId="21" fillId="0" borderId="0" xfId="0" applyFont="1" applyFill="1"/>
    <xf numFmtId="169" fontId="21" fillId="3" borderId="0" xfId="0" applyNumberFormat="1" applyFont="1" applyFill="1" applyBorder="1" applyAlignment="1">
      <alignment horizontal="right"/>
    </xf>
    <xf numFmtId="0" fontId="18" fillId="0" borderId="0" xfId="0" applyFont="1" applyFill="1"/>
    <xf numFmtId="169" fontId="18" fillId="3" borderId="0" xfId="0" applyNumberFormat="1" applyFont="1" applyFill="1" applyBorder="1" applyAlignment="1">
      <alignment horizontal="right"/>
    </xf>
    <xf numFmtId="169" fontId="21" fillId="0" borderId="0" xfId="18" applyNumberFormat="1" applyFont="1" applyFill="1" applyBorder="1" applyAlignment="1">
      <alignment horizontal="right"/>
    </xf>
    <xf numFmtId="0" fontId="21" fillId="0" borderId="0" xfId="0" applyFont="1" applyFill="1" applyBorder="1" applyAlignment="1">
      <alignment horizontal="center"/>
    </xf>
    <xf numFmtId="0" fontId="18" fillId="3" borderId="0" xfId="0" applyFont="1" applyFill="1" applyAlignment="1">
      <alignment horizontal="left" indent="1"/>
    </xf>
    <xf numFmtId="0" fontId="21" fillId="3" borderId="0" xfId="0" applyFont="1" applyFill="1" applyBorder="1"/>
    <xf numFmtId="169" fontId="18" fillId="0" borderId="0" xfId="0" applyNumberFormat="1" applyFont="1" applyFill="1"/>
    <xf numFmtId="169" fontId="18" fillId="0" borderId="0" xfId="0" applyNumberFormat="1" applyFont="1" applyFill="1" applyBorder="1"/>
    <xf numFmtId="0" fontId="24" fillId="3" borderId="0" xfId="0" applyFont="1" applyFill="1" applyBorder="1" applyAlignment="1">
      <alignment horizontal="center"/>
    </xf>
    <xf numFmtId="176" fontId="18" fillId="3" borderId="0" xfId="18" applyNumberFormat="1" applyFont="1" applyFill="1" applyBorder="1" applyAlignment="1">
      <alignment horizontal="right"/>
    </xf>
    <xf numFmtId="169" fontId="21" fillId="3" borderId="0" xfId="0" applyNumberFormat="1" applyFont="1" applyFill="1" applyBorder="1"/>
    <xf numFmtId="170" fontId="18" fillId="3" borderId="0" xfId="31" applyNumberFormat="1" applyFont="1" applyFill="1" applyBorder="1" applyAlignment="1">
      <alignment horizontal="right"/>
    </xf>
    <xf numFmtId="0" fontId="21" fillId="3" borderId="4" xfId="0" applyFont="1" applyFill="1" applyBorder="1" applyAlignment="1">
      <alignment horizontal="right"/>
    </xf>
    <xf numFmtId="0" fontId="21" fillId="3" borderId="0" xfId="0" applyFont="1" applyFill="1" applyAlignment="1">
      <alignment horizontal="right"/>
    </xf>
    <xf numFmtId="169" fontId="18" fillId="3" borderId="0" xfId="0" applyNumberFormat="1" applyFont="1" applyFill="1" applyAlignment="1">
      <alignment horizontal="right"/>
    </xf>
    <xf numFmtId="9" fontId="18" fillId="3" borderId="0" xfId="31" applyFont="1" applyFill="1" applyAlignment="1">
      <alignment horizontal="right"/>
    </xf>
    <xf numFmtId="0" fontId="24" fillId="0" borderId="0" xfId="0" applyFont="1" applyFill="1"/>
    <xf numFmtId="169" fontId="24" fillId="0" borderId="0" xfId="0" applyNumberFormat="1" applyFont="1" applyFill="1" applyAlignment="1">
      <alignment horizontal="right"/>
    </xf>
    <xf numFmtId="0" fontId="24" fillId="3" borderId="0" xfId="0" applyFont="1" applyFill="1"/>
    <xf numFmtId="169" fontId="24" fillId="3" borderId="0" xfId="0" applyNumberFormat="1" applyFont="1" applyFill="1" applyAlignment="1">
      <alignment horizontal="right"/>
    </xf>
    <xf numFmtId="177" fontId="24" fillId="3" borderId="0" xfId="17" applyNumberFormat="1" applyFont="1" applyFill="1" applyAlignment="1">
      <alignment horizontal="right"/>
    </xf>
    <xf numFmtId="191" fontId="24" fillId="3" borderId="0" xfId="0" applyNumberFormat="1" applyFont="1" applyFill="1" applyAlignment="1">
      <alignment horizontal="right"/>
    </xf>
    <xf numFmtId="2" fontId="24" fillId="0" borderId="0" xfId="29" applyNumberFormat="1" applyFont="1" applyFill="1" applyBorder="1" applyAlignment="1" applyProtection="1">
      <alignment horizontal="left"/>
    </xf>
    <xf numFmtId="9" fontId="24" fillId="3" borderId="0" xfId="31" applyFont="1" applyFill="1"/>
    <xf numFmtId="170" fontId="24" fillId="3" borderId="0" xfId="31" applyNumberFormat="1" applyFont="1" applyFill="1" applyAlignment="1">
      <alignment horizontal="right"/>
    </xf>
    <xf numFmtId="175" fontId="18" fillId="3" borderId="0" xfId="18" applyNumberFormat="1" applyFont="1" applyFill="1" applyAlignment="1">
      <alignment horizontal="right"/>
    </xf>
    <xf numFmtId="0" fontId="18" fillId="3" borderId="5" xfId="0" applyFont="1" applyFill="1" applyBorder="1"/>
    <xf numFmtId="0" fontId="18" fillId="3" borderId="6" xfId="0" applyFont="1" applyFill="1" applyBorder="1"/>
    <xf numFmtId="0" fontId="21" fillId="3" borderId="6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center"/>
    </xf>
    <xf numFmtId="0" fontId="21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right"/>
    </xf>
    <xf numFmtId="0" fontId="18" fillId="3" borderId="0" xfId="0" applyFont="1" applyFill="1" applyAlignment="1">
      <alignment horizontal="left"/>
    </xf>
    <xf numFmtId="0" fontId="18" fillId="3" borderId="0" xfId="0" applyFont="1" applyFill="1" applyBorder="1" applyAlignment="1">
      <alignment horizontal="left" indent="1"/>
    </xf>
    <xf numFmtId="1" fontId="18" fillId="3" borderId="0" xfId="0" applyNumberFormat="1" applyFont="1" applyFill="1" applyBorder="1"/>
    <xf numFmtId="9" fontId="18" fillId="3" borderId="0" xfId="31" applyFont="1" applyFill="1" applyBorder="1"/>
    <xf numFmtId="0" fontId="18" fillId="3" borderId="0" xfId="0" applyFont="1" applyFill="1" applyAlignment="1">
      <alignment horizontal="right"/>
    </xf>
    <xf numFmtId="9" fontId="18" fillId="3" borderId="0" xfId="0" applyNumberFormat="1" applyFont="1" applyFill="1" applyBorder="1" applyAlignment="1">
      <alignment horizontal="right"/>
    </xf>
    <xf numFmtId="0" fontId="18" fillId="3" borderId="0" xfId="0" applyFont="1" applyFill="1" applyBorder="1" applyAlignment="1">
      <alignment horizontal="right"/>
    </xf>
    <xf numFmtId="0" fontId="30" fillId="3" borderId="0" xfId="0" applyFont="1" applyFill="1" applyBorder="1" applyAlignment="1" applyProtection="1">
      <alignment horizontal="left"/>
      <protection locked="0"/>
    </xf>
    <xf numFmtId="0" fontId="21" fillId="3" borderId="0" xfId="0" applyFont="1" applyFill="1" applyBorder="1" applyAlignment="1">
      <alignment horizontal="right"/>
    </xf>
    <xf numFmtId="0" fontId="18" fillId="3" borderId="0" xfId="0" applyFont="1" applyFill="1" applyBorder="1" applyAlignment="1" applyProtection="1">
      <alignment horizontal="left"/>
      <protection locked="0"/>
    </xf>
    <xf numFmtId="1" fontId="18" fillId="3" borderId="0" xfId="0" applyNumberFormat="1" applyFont="1" applyFill="1" applyBorder="1" applyAlignment="1">
      <alignment horizontal="right"/>
    </xf>
    <xf numFmtId="169" fontId="21" fillId="3" borderId="0" xfId="0" applyNumberFormat="1" applyFont="1" applyFill="1" applyAlignment="1">
      <alignment horizontal="right"/>
    </xf>
    <xf numFmtId="169" fontId="18" fillId="3" borderId="0" xfId="0" applyNumberFormat="1" applyFont="1" applyFill="1" applyAlignment="1">
      <alignment horizontal="left" indent="1"/>
    </xf>
    <xf numFmtId="169" fontId="26" fillId="3" borderId="0" xfId="0" applyNumberFormat="1" applyFont="1" applyFill="1" applyAlignment="1">
      <alignment horizontal="right"/>
    </xf>
    <xf numFmtId="169" fontId="23" fillId="0" borderId="0" xfId="0" applyNumberFormat="1" applyFont="1" applyFill="1" applyAlignment="1">
      <alignment horizontal="right"/>
    </xf>
    <xf numFmtId="169" fontId="26" fillId="0" borderId="0" xfId="0" applyNumberFormat="1" applyFont="1" applyFill="1" applyAlignment="1">
      <alignment horizontal="right"/>
    </xf>
    <xf numFmtId="169" fontId="18" fillId="0" borderId="0" xfId="0" applyNumberFormat="1" applyFont="1" applyFill="1" applyAlignment="1">
      <alignment horizontal="right"/>
    </xf>
    <xf numFmtId="0" fontId="21" fillId="0" borderId="0" xfId="0" applyFont="1" applyFill="1" applyBorder="1" applyAlignment="1" applyProtection="1">
      <alignment horizontal="left"/>
    </xf>
    <xf numFmtId="169" fontId="21" fillId="0" borderId="0" xfId="0" applyNumberFormat="1" applyFont="1" applyFill="1" applyAlignment="1">
      <alignment horizontal="right"/>
    </xf>
    <xf numFmtId="179" fontId="18" fillId="0" borderId="0" xfId="0" applyNumberFormat="1" applyFont="1" applyFill="1" applyAlignment="1"/>
    <xf numFmtId="168" fontId="31" fillId="0" borderId="0" xfId="0" applyNumberFormat="1" applyFont="1" applyFill="1" applyBorder="1" applyAlignment="1" applyProtection="1">
      <alignment horizontal="right"/>
      <protection locked="0"/>
    </xf>
    <xf numFmtId="9" fontId="18" fillId="0" borderId="0" xfId="31" applyFont="1" applyFill="1" applyAlignment="1">
      <alignment horizontal="right"/>
    </xf>
    <xf numFmtId="9" fontId="21" fillId="0" borderId="0" xfId="31" applyFont="1" applyFill="1" applyAlignment="1">
      <alignment horizontal="right"/>
    </xf>
    <xf numFmtId="0" fontId="30" fillId="0" borderId="0" xfId="0" applyFont="1" applyFill="1" applyBorder="1" applyAlignment="1" applyProtection="1">
      <alignment horizontal="left"/>
      <protection locked="0"/>
    </xf>
    <xf numFmtId="169" fontId="28" fillId="0" borderId="0" xfId="0" applyNumberFormat="1" applyFont="1" applyFill="1" applyAlignment="1">
      <alignment horizontal="right"/>
    </xf>
    <xf numFmtId="9" fontId="28" fillId="0" borderId="0" xfId="31" applyFont="1" applyFill="1" applyAlignment="1">
      <alignment horizontal="right"/>
    </xf>
    <xf numFmtId="169" fontId="21" fillId="0" borderId="0" xfId="0" applyNumberFormat="1" applyFont="1" applyFill="1"/>
    <xf numFmtId="168" fontId="21" fillId="0" borderId="0" xfId="0" applyNumberFormat="1" applyFont="1" applyFill="1" applyAlignment="1">
      <alignment horizontal="right"/>
    </xf>
    <xf numFmtId="169" fontId="18" fillId="0" borderId="0" xfId="0" applyNumberFormat="1" applyFont="1" applyFill="1" applyBorder="1" applyAlignment="1" applyProtection="1">
      <alignment horizontal="left"/>
    </xf>
    <xf numFmtId="169" fontId="21" fillId="0" borderId="0" xfId="0" applyNumberFormat="1" applyFont="1" applyFill="1" applyBorder="1" applyAlignment="1" applyProtection="1">
      <alignment horizontal="left"/>
    </xf>
    <xf numFmtId="169" fontId="18" fillId="3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right"/>
    </xf>
    <xf numFmtId="0" fontId="21" fillId="3" borderId="0" xfId="0" applyFont="1" applyFill="1" applyBorder="1" applyAlignment="1" applyProtection="1">
      <alignment horizontal="left"/>
    </xf>
    <xf numFmtId="178" fontId="18" fillId="3" borderId="0" xfId="0" applyNumberFormat="1" applyFont="1" applyFill="1" applyBorder="1" applyAlignment="1" applyProtection="1"/>
    <xf numFmtId="168" fontId="21" fillId="3" borderId="0" xfId="0" applyNumberFormat="1" applyFont="1" applyFill="1" applyAlignment="1">
      <alignment horizontal="right"/>
    </xf>
    <xf numFmtId="0" fontId="32" fillId="3" borderId="0" xfId="0" applyFont="1" applyFill="1" applyAlignment="1">
      <alignment horizontal="left" indent="1"/>
    </xf>
    <xf numFmtId="0" fontId="32" fillId="3" borderId="0" xfId="0" applyFont="1" applyFill="1" applyAlignment="1">
      <alignment horizontal="right"/>
    </xf>
    <xf numFmtId="0" fontId="21" fillId="3" borderId="4" xfId="0" applyFont="1" applyFill="1" applyBorder="1"/>
    <xf numFmtId="170" fontId="18" fillId="3" borderId="0" xfId="31" applyNumberFormat="1" applyFont="1" applyFill="1" applyAlignment="1">
      <alignment horizontal="right"/>
    </xf>
    <xf numFmtId="169" fontId="18" fillId="3" borderId="0" xfId="31" applyNumberFormat="1" applyFont="1" applyFill="1" applyAlignment="1">
      <alignment horizontal="right"/>
    </xf>
    <xf numFmtId="168" fontId="18" fillId="3" borderId="0" xfId="0" applyNumberFormat="1" applyFont="1" applyFill="1"/>
    <xf numFmtId="1" fontId="21" fillId="3" borderId="5" xfId="0" applyNumberFormat="1" applyFont="1" applyFill="1" applyBorder="1" applyAlignment="1">
      <alignment horizontal="right"/>
    </xf>
    <xf numFmtId="169" fontId="26" fillId="3" borderId="0" xfId="0" applyNumberFormat="1" applyFont="1" applyFill="1"/>
    <xf numFmtId="0" fontId="18" fillId="0" borderId="0" xfId="0" applyFont="1" applyFill="1" applyAlignment="1">
      <alignment horizontal="left"/>
    </xf>
    <xf numFmtId="0" fontId="33" fillId="3" borderId="5" xfId="0" applyFont="1" applyFill="1" applyBorder="1" applyAlignment="1">
      <alignment horizontal="right"/>
    </xf>
    <xf numFmtId="169" fontId="33" fillId="3" borderId="5" xfId="0" applyNumberFormat="1" applyFont="1" applyFill="1" applyBorder="1" applyAlignment="1">
      <alignment horizontal="right"/>
    </xf>
    <xf numFmtId="0" fontId="32" fillId="3" borderId="0" xfId="0" applyFont="1" applyFill="1"/>
    <xf numFmtId="169" fontId="28" fillId="3" borderId="0" xfId="0" applyNumberFormat="1" applyFont="1" applyFill="1" applyAlignment="1">
      <alignment horizontal="right"/>
    </xf>
    <xf numFmtId="169" fontId="18" fillId="3" borderId="0" xfId="18" applyNumberFormat="1" applyFont="1" applyFill="1" applyAlignment="1">
      <alignment horizontal="right"/>
    </xf>
    <xf numFmtId="0" fontId="19" fillId="0" borderId="0" xfId="25" applyFont="1"/>
    <xf numFmtId="0" fontId="18" fillId="0" borderId="0" xfId="25" applyFont="1"/>
    <xf numFmtId="0" fontId="18" fillId="0" borderId="0" xfId="0" applyFont="1"/>
    <xf numFmtId="167" fontId="19" fillId="0" borderId="0" xfId="25" applyNumberFormat="1" applyFont="1" applyFill="1" applyAlignment="1">
      <alignment horizontal="left"/>
    </xf>
    <xf numFmtId="0" fontId="20" fillId="0" borderId="0" xfId="25" applyFont="1"/>
    <xf numFmtId="0" fontId="31" fillId="0" borderId="10" xfId="25" applyFont="1" applyBorder="1"/>
    <xf numFmtId="0" fontId="18" fillId="0" borderId="10" xfId="25" applyFont="1" applyBorder="1"/>
    <xf numFmtId="0" fontId="21" fillId="0" borderId="10" xfId="25" applyFont="1" applyBorder="1" applyAlignment="1">
      <alignment horizontal="right"/>
    </xf>
    <xf numFmtId="0" fontId="21" fillId="0" borderId="0" xfId="25" applyFont="1"/>
    <xf numFmtId="0" fontId="18" fillId="0" borderId="0" xfId="25" applyFont="1" applyAlignment="1">
      <alignment horizontal="center"/>
    </xf>
    <xf numFmtId="169" fontId="18" fillId="0" borderId="0" xfId="25" applyNumberFormat="1" applyFont="1"/>
    <xf numFmtId="0" fontId="18" fillId="0" borderId="0" xfId="25" applyFont="1" applyFill="1"/>
    <xf numFmtId="0" fontId="18" fillId="0" borderId="0" xfId="25" applyFont="1" applyFill="1" applyAlignment="1">
      <alignment horizontal="center"/>
    </xf>
    <xf numFmtId="3" fontId="18" fillId="0" borderId="0" xfId="25" applyNumberFormat="1" applyFont="1"/>
    <xf numFmtId="0" fontId="21" fillId="0" borderId="0" xfId="25" applyFont="1" applyFill="1"/>
    <xf numFmtId="0" fontId="21" fillId="0" borderId="0" xfId="25" applyFont="1" applyFill="1" applyAlignment="1">
      <alignment horizontal="center"/>
    </xf>
    <xf numFmtId="3" fontId="21" fillId="0" borderId="0" xfId="25" applyNumberFormat="1" applyFont="1"/>
    <xf numFmtId="0" fontId="21" fillId="0" borderId="0" xfId="25" applyFont="1" applyAlignment="1">
      <alignment horizontal="center"/>
    </xf>
    <xf numFmtId="169" fontId="21" fillId="0" borderId="0" xfId="25" applyNumberFormat="1" applyFont="1"/>
    <xf numFmtId="49" fontId="18" fillId="0" borderId="0" xfId="25" applyNumberFormat="1" applyFont="1"/>
    <xf numFmtId="9" fontId="18" fillId="0" borderId="0" xfId="31" applyFont="1"/>
    <xf numFmtId="49" fontId="21" fillId="0" borderId="0" xfId="25" applyNumberFormat="1" applyFont="1"/>
    <xf numFmtId="169" fontId="18" fillId="0" borderId="0" xfId="0" applyNumberFormat="1" applyFont="1"/>
    <xf numFmtId="171" fontId="21" fillId="0" borderId="0" xfId="25" applyNumberFormat="1" applyFont="1"/>
    <xf numFmtId="171" fontId="18" fillId="0" borderId="0" xfId="25" applyNumberFormat="1" applyFont="1"/>
    <xf numFmtId="169" fontId="18" fillId="0" borderId="0" xfId="27" applyNumberFormat="1" applyFont="1" applyFill="1"/>
    <xf numFmtId="0" fontId="18" fillId="0" borderId="0" xfId="27" applyFont="1" applyFill="1" applyBorder="1" applyAlignment="1">
      <alignment horizontal="center"/>
    </xf>
    <xf numFmtId="0" fontId="21" fillId="0" borderId="0" xfId="0" applyFont="1" applyFill="1" applyBorder="1"/>
    <xf numFmtId="169" fontId="21" fillId="0" borderId="0" xfId="0" applyNumberFormat="1" applyFont="1"/>
    <xf numFmtId="0" fontId="18" fillId="3" borderId="0" xfId="25" applyFont="1" applyFill="1" applyAlignment="1">
      <alignment horizontal="center"/>
    </xf>
    <xf numFmtId="9" fontId="18" fillId="0" borderId="0" xfId="25" applyNumberFormat="1" applyFont="1"/>
    <xf numFmtId="0" fontId="24" fillId="0" borderId="0" xfId="26" applyFont="1" applyFill="1" applyBorder="1" applyAlignment="1">
      <alignment horizontal="center"/>
    </xf>
    <xf numFmtId="0" fontId="18" fillId="3" borderId="0" xfId="28" applyFont="1" applyFill="1"/>
    <xf numFmtId="0" fontId="18" fillId="3" borderId="0" xfId="28" applyFont="1" applyFill="1" applyAlignment="1">
      <alignment horizontal="center"/>
    </xf>
    <xf numFmtId="4" fontId="18" fillId="0" borderId="0" xfId="25" applyNumberFormat="1" applyFont="1"/>
    <xf numFmtId="0" fontId="18" fillId="0" borderId="0" xfId="25" applyFont="1" applyBorder="1"/>
    <xf numFmtId="0" fontId="18" fillId="0" borderId="5" xfId="0" applyFont="1" applyBorder="1"/>
    <xf numFmtId="170" fontId="18" fillId="3" borderId="0" xfId="31" applyNumberFormat="1" applyFont="1" applyFill="1" applyBorder="1"/>
    <xf numFmtId="9" fontId="18" fillId="3" borderId="0" xfId="0" applyNumberFormat="1" applyFont="1" applyFill="1"/>
    <xf numFmtId="169" fontId="21" fillId="3" borderId="0" xfId="0" applyNumberFormat="1" applyFont="1" applyFill="1"/>
    <xf numFmtId="0" fontId="18" fillId="3" borderId="6" xfId="0" applyFont="1" applyFill="1" applyBorder="1" applyAlignment="1">
      <alignment horizontal="center"/>
    </xf>
    <xf numFmtId="169" fontId="18" fillId="3" borderId="5" xfId="0" applyNumberFormat="1" applyFont="1" applyFill="1" applyBorder="1"/>
    <xf numFmtId="9" fontId="18" fillId="3" borderId="0" xfId="0" applyNumberFormat="1" applyFont="1" applyFill="1" applyBorder="1"/>
    <xf numFmtId="171" fontId="18" fillId="3" borderId="0" xfId="25" applyNumberFormat="1" applyFont="1" applyFill="1"/>
    <xf numFmtId="0" fontId="18" fillId="3" borderId="7" xfId="0" applyFont="1" applyFill="1" applyBorder="1"/>
    <xf numFmtId="169" fontId="34" fillId="0" borderId="0" xfId="0" applyNumberFormat="1" applyFont="1" applyFill="1" applyBorder="1"/>
    <xf numFmtId="169" fontId="26" fillId="3" borderId="0" xfId="18" applyNumberFormat="1" applyFont="1" applyFill="1" applyBorder="1" applyAlignment="1">
      <alignment horizontal="right"/>
    </xf>
    <xf numFmtId="0" fontId="31" fillId="3" borderId="0" xfId="0" applyFont="1" applyFill="1"/>
    <xf numFmtId="0" fontId="24" fillId="3" borderId="0" xfId="0" applyFont="1" applyFill="1" applyAlignment="1">
      <alignment horizontal="center"/>
    </xf>
    <xf numFmtId="0" fontId="27" fillId="3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center"/>
    </xf>
    <xf numFmtId="0" fontId="18" fillId="3" borderId="0" xfId="29" applyFont="1" applyFill="1" applyBorder="1" applyAlignment="1" applyProtection="1">
      <alignment horizontal="left"/>
    </xf>
    <xf numFmtId="169" fontId="18" fillId="3" borderId="6" xfId="0" applyNumberFormat="1" applyFont="1" applyFill="1" applyBorder="1"/>
    <xf numFmtId="0" fontId="24" fillId="3" borderId="6" xfId="0" applyFont="1" applyFill="1" applyBorder="1" applyAlignment="1">
      <alignment horizontal="center"/>
    </xf>
    <xf numFmtId="166" fontId="21" fillId="3" borderId="0" xfId="19" applyNumberFormat="1" applyFont="1" applyFill="1" applyAlignment="1">
      <alignment horizontal="left"/>
    </xf>
    <xf numFmtId="0" fontId="20" fillId="0" borderId="0" xfId="0" applyFont="1" applyFill="1"/>
    <xf numFmtId="192" fontId="21" fillId="0" borderId="0" xfId="16" applyNumberFormat="1" applyFont="1" applyFill="1"/>
    <xf numFmtId="192" fontId="18" fillId="0" borderId="0" xfId="16" applyNumberFormat="1" applyFont="1" applyFill="1"/>
    <xf numFmtId="177" fontId="21" fillId="0" borderId="0" xfId="0" applyNumberFormat="1" applyFont="1" applyFill="1"/>
    <xf numFmtId="177" fontId="18" fillId="0" borderId="0" xfId="0" applyNumberFormat="1" applyFont="1" applyFill="1"/>
    <xf numFmtId="165" fontId="18" fillId="0" borderId="0" xfId="0" applyNumberFormat="1" applyFont="1" applyFill="1"/>
    <xf numFmtId="169" fontId="26" fillId="3" borderId="5" xfId="0" applyNumberFormat="1" applyFont="1" applyFill="1" applyBorder="1"/>
    <xf numFmtId="169" fontId="26" fillId="3" borderId="5" xfId="0" applyNumberFormat="1" applyFont="1" applyFill="1" applyBorder="1" applyAlignment="1">
      <alignment horizontal="right"/>
    </xf>
    <xf numFmtId="0" fontId="18" fillId="3" borderId="5" xfId="0" applyFont="1" applyFill="1" applyBorder="1" applyAlignment="1">
      <alignment horizontal="left" indent="1"/>
    </xf>
    <xf numFmtId="169" fontId="18" fillId="3" borderId="0" xfId="0" applyNumberFormat="1" applyFont="1" applyFill="1" applyBorder="1"/>
    <xf numFmtId="0" fontId="36" fillId="3" borderId="0" xfId="0" applyFont="1" applyFill="1" applyAlignment="1">
      <alignment horizontal="left"/>
    </xf>
    <xf numFmtId="169" fontId="21" fillId="3" borderId="0" xfId="18" applyNumberFormat="1" applyFont="1" applyFill="1" applyBorder="1"/>
    <xf numFmtId="0" fontId="18" fillId="3" borderId="5" xfId="0" applyFont="1" applyFill="1" applyBorder="1" applyAlignment="1">
      <alignment horizontal="left"/>
    </xf>
    <xf numFmtId="0" fontId="18" fillId="3" borderId="0" xfId="25" applyFont="1" applyFill="1"/>
    <xf numFmtId="169" fontId="18" fillId="3" borderId="0" xfId="25" applyNumberFormat="1" applyFont="1" applyFill="1"/>
    <xf numFmtId="169" fontId="41" fillId="3" borderId="0" xfId="0" applyNumberFormat="1" applyFont="1" applyFill="1"/>
    <xf numFmtId="0" fontId="16" fillId="3" borderId="0" xfId="0" applyFont="1" applyFill="1"/>
    <xf numFmtId="0" fontId="16" fillId="3" borderId="0" xfId="0" applyFont="1" applyFill="1" applyBorder="1"/>
    <xf numFmtId="0" fontId="16" fillId="3" borderId="0" xfId="0" applyFont="1" applyFill="1" applyAlignment="1">
      <alignment horizontal="center"/>
    </xf>
    <xf numFmtId="0" fontId="21" fillId="5" borderId="0" xfId="0" applyFont="1" applyFill="1"/>
    <xf numFmtId="0" fontId="18" fillId="5" borderId="0" xfId="0" applyFont="1" applyFill="1" applyBorder="1"/>
    <xf numFmtId="169" fontId="26" fillId="5" borderId="0" xfId="0" applyNumberFormat="1" applyFont="1" applyFill="1"/>
    <xf numFmtId="0" fontId="21" fillId="5" borderId="0" xfId="0" applyFont="1" applyFill="1" applyBorder="1"/>
    <xf numFmtId="0" fontId="43" fillId="3" borderId="0" xfId="0" applyFont="1" applyFill="1"/>
    <xf numFmtId="169" fontId="16" fillId="3" borderId="0" xfId="0" applyNumberFormat="1" applyFont="1" applyFill="1"/>
    <xf numFmtId="0" fontId="17" fillId="3" borderId="0" xfId="0" applyFont="1" applyFill="1" applyBorder="1" applyAlignment="1">
      <alignment horizontal="center"/>
    </xf>
    <xf numFmtId="9" fontId="18" fillId="3" borderId="0" xfId="31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43" fillId="3" borderId="0" xfId="0" applyFont="1" applyFill="1" applyAlignment="1">
      <alignment horizontal="center"/>
    </xf>
    <xf numFmtId="0" fontId="17" fillId="3" borderId="0" xfId="0" applyFont="1" applyFill="1" applyBorder="1"/>
    <xf numFmtId="0" fontId="18" fillId="0" borderId="0" xfId="0" applyFont="1" applyFill="1" applyBorder="1"/>
    <xf numFmtId="0" fontId="17" fillId="3" borderId="0" xfId="0" applyFont="1" applyFill="1"/>
    <xf numFmtId="9" fontId="17" fillId="3" borderId="0" xfId="31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9" fontId="17" fillId="3" borderId="0" xfId="31" applyFont="1" applyFill="1"/>
    <xf numFmtId="169" fontId="41" fillId="3" borderId="0" xfId="0" applyNumberFormat="1" applyFont="1" applyFill="1" applyBorder="1"/>
    <xf numFmtId="169" fontId="17" fillId="3" borderId="0" xfId="0" applyNumberFormat="1" applyFont="1" applyFill="1"/>
    <xf numFmtId="169" fontId="26" fillId="5" borderId="0" xfId="0" applyNumberFormat="1" applyFont="1" applyFill="1" applyBorder="1"/>
    <xf numFmtId="169" fontId="41" fillId="3" borderId="5" xfId="0" applyNumberFormat="1" applyFont="1" applyFill="1" applyBorder="1"/>
    <xf numFmtId="1" fontId="18" fillId="3" borderId="5" xfId="0" applyNumberFormat="1" applyFont="1" applyFill="1" applyBorder="1" applyAlignment="1">
      <alignment horizontal="right"/>
    </xf>
    <xf numFmtId="9" fontId="18" fillId="3" borderId="5" xfId="31" applyFont="1" applyFill="1" applyBorder="1" applyAlignment="1">
      <alignment horizontal="right"/>
    </xf>
    <xf numFmtId="0" fontId="16" fillId="5" borderId="0" xfId="0" applyFont="1" applyFill="1" applyAlignment="1">
      <alignment horizontal="left" indent="1"/>
    </xf>
    <xf numFmtId="9" fontId="17" fillId="3" borderId="0" xfId="31" applyFont="1" applyFill="1" applyAlignment="1">
      <alignment horizontal="right"/>
    </xf>
    <xf numFmtId="169" fontId="18" fillId="3" borderId="0" xfId="0" applyNumberFormat="1" applyFont="1" applyFill="1" applyAlignment="1">
      <alignment horizontal="center"/>
    </xf>
    <xf numFmtId="169" fontId="18" fillId="3" borderId="5" xfId="0" applyNumberFormat="1" applyFont="1" applyFill="1" applyBorder="1" applyAlignment="1">
      <alignment horizontal="right"/>
    </xf>
    <xf numFmtId="0" fontId="18" fillId="3" borderId="9" xfId="0" applyFont="1" applyFill="1" applyBorder="1"/>
    <xf numFmtId="169" fontId="18" fillId="3" borderId="7" xfId="0" applyNumberFormat="1" applyFont="1" applyFill="1" applyBorder="1"/>
    <xf numFmtId="9" fontId="18" fillId="3" borderId="7" xfId="31" applyFont="1" applyFill="1" applyBorder="1" applyAlignment="1">
      <alignment horizontal="right"/>
    </xf>
    <xf numFmtId="9" fontId="17" fillId="3" borderId="7" xfId="31" applyFont="1" applyFill="1" applyBorder="1" applyAlignment="1">
      <alignment horizontal="right"/>
    </xf>
    <xf numFmtId="170" fontId="18" fillId="3" borderId="7" xfId="31" applyNumberFormat="1" applyFont="1" applyFill="1" applyBorder="1" applyAlignment="1">
      <alignment horizontal="right"/>
    </xf>
    <xf numFmtId="169" fontId="16" fillId="3" borderId="0" xfId="0" applyNumberFormat="1" applyFont="1" applyFill="1" applyAlignment="1">
      <alignment horizontal="right"/>
    </xf>
    <xf numFmtId="169" fontId="18" fillId="3" borderId="6" xfId="0" applyNumberFormat="1" applyFont="1" applyFill="1" applyBorder="1" applyAlignment="1">
      <alignment horizontal="right"/>
    </xf>
    <xf numFmtId="169" fontId="16" fillId="3" borderId="0" xfId="0" applyNumberFormat="1" applyFont="1" applyFill="1" applyBorder="1" applyAlignment="1">
      <alignment horizontal="right"/>
    </xf>
    <xf numFmtId="169" fontId="43" fillId="3" borderId="0" xfId="0" applyNumberFormat="1" applyFont="1" applyFill="1" applyBorder="1" applyAlignment="1">
      <alignment horizontal="right"/>
    </xf>
    <xf numFmtId="169" fontId="17" fillId="3" borderId="0" xfId="0" applyNumberFormat="1" applyFont="1" applyFill="1" applyAlignment="1">
      <alignment horizontal="right"/>
    </xf>
    <xf numFmtId="169" fontId="17" fillId="3" borderId="0" xfId="0" applyNumberFormat="1" applyFont="1" applyFill="1" applyBorder="1" applyAlignment="1">
      <alignment horizontal="right"/>
    </xf>
    <xf numFmtId="170" fontId="16" fillId="3" borderId="0" xfId="31" applyNumberFormat="1" applyFont="1" applyFill="1" applyAlignment="1">
      <alignment horizontal="right"/>
    </xf>
    <xf numFmtId="9" fontId="32" fillId="3" borderId="0" xfId="31" applyFont="1" applyFill="1" applyBorder="1" applyAlignment="1">
      <alignment horizontal="right"/>
    </xf>
    <xf numFmtId="9" fontId="18" fillId="3" borderId="0" xfId="0" applyNumberFormat="1" applyFont="1" applyFill="1" applyAlignment="1">
      <alignment horizontal="right"/>
    </xf>
    <xf numFmtId="1" fontId="32" fillId="3" borderId="0" xfId="0" applyNumberFormat="1" applyFont="1" applyFill="1" applyBorder="1" applyAlignment="1">
      <alignment horizontal="right"/>
    </xf>
    <xf numFmtId="169" fontId="32" fillId="3" borderId="0" xfId="0" applyNumberFormat="1" applyFont="1" applyFill="1" applyBorder="1" applyAlignment="1">
      <alignment horizontal="right"/>
    </xf>
    <xf numFmtId="0" fontId="18" fillId="3" borderId="6" xfId="0" applyFont="1" applyFill="1" applyBorder="1" applyAlignment="1">
      <alignment horizontal="right"/>
    </xf>
    <xf numFmtId="0" fontId="21" fillId="3" borderId="9" xfId="0" applyFont="1" applyFill="1" applyBorder="1" applyAlignment="1">
      <alignment horizontal="right"/>
    </xf>
    <xf numFmtId="0" fontId="16" fillId="4" borderId="0" xfId="0" applyFont="1" applyFill="1"/>
    <xf numFmtId="169" fontId="16" fillId="5" borderId="0" xfId="0" applyNumberFormat="1" applyFont="1" applyFill="1" applyBorder="1"/>
    <xf numFmtId="0" fontId="32" fillId="3" borderId="0" xfId="0" applyFont="1" applyFill="1" applyAlignment="1">
      <alignment horizontal="left"/>
    </xf>
    <xf numFmtId="169" fontId="32" fillId="0" borderId="0" xfId="0" applyNumberFormat="1" applyFont="1" applyFill="1" applyAlignment="1">
      <alignment horizontal="right"/>
    </xf>
    <xf numFmtId="169" fontId="41" fillId="3" borderId="0" xfId="0" applyNumberFormat="1" applyFont="1" applyFill="1" applyAlignment="1">
      <alignment horizontal="right"/>
    </xf>
    <xf numFmtId="169" fontId="18" fillId="3" borderId="5" xfId="18" applyNumberFormat="1" applyFont="1" applyFill="1" applyBorder="1" applyAlignment="1">
      <alignment horizontal="right"/>
    </xf>
    <xf numFmtId="0" fontId="18" fillId="3" borderId="0" xfId="0" quotePrefix="1" applyFont="1" applyFill="1" applyAlignment="1">
      <alignment horizontal="left"/>
    </xf>
    <xf numFmtId="9" fontId="31" fillId="3" borderId="0" xfId="31" applyFont="1" applyFill="1" applyBorder="1" applyAlignment="1">
      <alignment horizontal="left" indent="1"/>
    </xf>
    <xf numFmtId="0" fontId="31" fillId="3" borderId="0" xfId="0" quotePrefix="1" applyFont="1" applyFill="1" applyBorder="1" applyAlignment="1">
      <alignment horizontal="center"/>
    </xf>
    <xf numFmtId="9" fontId="31" fillId="3" borderId="0" xfId="31" applyNumberFormat="1" applyFont="1" applyFill="1" applyBorder="1" applyAlignment="1">
      <alignment horizontal="right"/>
    </xf>
    <xf numFmtId="170" fontId="47" fillId="3" borderId="0" xfId="31" applyNumberFormat="1" applyFont="1" applyFill="1" applyAlignment="1">
      <alignment horizontal="right"/>
    </xf>
    <xf numFmtId="9" fontId="31" fillId="3" borderId="0" xfId="31" applyFont="1" applyFill="1" applyBorder="1" applyAlignment="1">
      <alignment horizontal="right"/>
    </xf>
    <xf numFmtId="9" fontId="16" fillId="3" borderId="0" xfId="31" applyFont="1" applyFill="1" applyAlignment="1">
      <alignment horizontal="right"/>
    </xf>
    <xf numFmtId="9" fontId="31" fillId="3" borderId="0" xfId="31" applyFont="1" applyFill="1" applyAlignment="1">
      <alignment horizontal="right"/>
    </xf>
    <xf numFmtId="9" fontId="31" fillId="3" borderId="5" xfId="31" applyFont="1" applyFill="1" applyBorder="1" applyAlignment="1">
      <alignment horizontal="right"/>
    </xf>
    <xf numFmtId="9" fontId="35" fillId="3" borderId="0" xfId="31" applyFont="1" applyFill="1" applyAlignment="1">
      <alignment horizontal="right"/>
    </xf>
    <xf numFmtId="0" fontId="18" fillId="3" borderId="5" xfId="0" quotePrefix="1" applyFont="1" applyFill="1" applyBorder="1" applyAlignment="1">
      <alignment horizontal="left"/>
    </xf>
    <xf numFmtId="0" fontId="21" fillId="3" borderId="11" xfId="0" applyFont="1" applyFill="1" applyBorder="1" applyAlignment="1">
      <alignment horizontal="right" wrapText="1"/>
    </xf>
    <xf numFmtId="169" fontId="18" fillId="3" borderId="7" xfId="18" applyNumberFormat="1" applyFont="1" applyFill="1" applyBorder="1" applyAlignment="1">
      <alignment horizontal="right"/>
    </xf>
    <xf numFmtId="169" fontId="18" fillId="3" borderId="9" xfId="18" applyNumberFormat="1" applyFont="1" applyFill="1" applyBorder="1" applyAlignment="1">
      <alignment horizontal="right"/>
    </xf>
    <xf numFmtId="9" fontId="31" fillId="3" borderId="7" xfId="31" applyNumberFormat="1" applyFont="1" applyFill="1" applyBorder="1" applyAlignment="1">
      <alignment horizontal="right"/>
    </xf>
    <xf numFmtId="169" fontId="26" fillId="3" borderId="7" xfId="18" applyNumberFormat="1" applyFont="1" applyFill="1" applyBorder="1" applyAlignment="1">
      <alignment horizontal="right"/>
    </xf>
    <xf numFmtId="169" fontId="21" fillId="3" borderId="7" xfId="18" applyNumberFormat="1" applyFont="1" applyFill="1" applyBorder="1" applyAlignment="1">
      <alignment horizontal="right"/>
    </xf>
    <xf numFmtId="9" fontId="22" fillId="3" borderId="7" xfId="31" applyNumberFormat="1" applyFont="1" applyFill="1" applyBorder="1" applyAlignment="1">
      <alignment horizontal="right"/>
    </xf>
    <xf numFmtId="169" fontId="18" fillId="5" borderId="7" xfId="0" applyNumberFormat="1" applyFont="1" applyFill="1" applyBorder="1" applyAlignment="1">
      <alignment horizontal="right"/>
    </xf>
    <xf numFmtId="169" fontId="21" fillId="5" borderId="7" xfId="18" applyNumberFormat="1" applyFont="1" applyFill="1" applyBorder="1" applyAlignment="1">
      <alignment horizontal="right"/>
    </xf>
    <xf numFmtId="169" fontId="21" fillId="3" borderId="7" xfId="18" applyNumberFormat="1" applyFont="1" applyFill="1" applyBorder="1"/>
    <xf numFmtId="176" fontId="18" fillId="3" borderId="7" xfId="18" applyNumberFormat="1" applyFont="1" applyFill="1" applyBorder="1" applyAlignment="1">
      <alignment horizontal="right"/>
    </xf>
    <xf numFmtId="0" fontId="21" fillId="3" borderId="11" xfId="0" applyFont="1" applyFill="1" applyBorder="1" applyAlignment="1">
      <alignment horizontal="right"/>
    </xf>
    <xf numFmtId="0" fontId="21" fillId="3" borderId="7" xfId="0" applyFont="1" applyFill="1" applyBorder="1" applyAlignment="1">
      <alignment horizontal="right"/>
    </xf>
    <xf numFmtId="169" fontId="24" fillId="3" borderId="7" xfId="0" applyNumberFormat="1" applyFont="1" applyFill="1" applyBorder="1" applyAlignment="1">
      <alignment horizontal="right"/>
    </xf>
    <xf numFmtId="177" fontId="24" fillId="3" borderId="7" xfId="17" applyNumberFormat="1" applyFont="1" applyFill="1" applyBorder="1" applyAlignment="1">
      <alignment horizontal="right"/>
    </xf>
    <xf numFmtId="9" fontId="24" fillId="3" borderId="7" xfId="31" applyFont="1" applyFill="1" applyBorder="1"/>
    <xf numFmtId="170" fontId="24" fillId="3" borderId="7" xfId="31" applyNumberFormat="1" applyFont="1" applyFill="1" applyBorder="1" applyAlignment="1">
      <alignment horizontal="right"/>
    </xf>
    <xf numFmtId="175" fontId="18" fillId="3" borderId="7" xfId="18" applyNumberFormat="1" applyFont="1" applyFill="1" applyBorder="1" applyAlignment="1">
      <alignment horizontal="right"/>
    </xf>
    <xf numFmtId="0" fontId="21" fillId="3" borderId="12" xfId="0" applyFont="1" applyFill="1" applyBorder="1" applyAlignment="1">
      <alignment horizontal="right"/>
    </xf>
    <xf numFmtId="169" fontId="17" fillId="3" borderId="7" xfId="0" applyNumberFormat="1" applyFont="1" applyFill="1" applyBorder="1" applyAlignment="1">
      <alignment horizontal="right"/>
    </xf>
    <xf numFmtId="169" fontId="21" fillId="3" borderId="7" xfId="0" applyNumberFormat="1" applyFont="1" applyFill="1" applyBorder="1" applyAlignment="1">
      <alignment horizontal="right"/>
    </xf>
    <xf numFmtId="1" fontId="18" fillId="3" borderId="7" xfId="0" applyNumberFormat="1" applyFont="1" applyFill="1" applyBorder="1" applyAlignment="1">
      <alignment horizontal="right"/>
    </xf>
    <xf numFmtId="9" fontId="35" fillId="3" borderId="0" xfId="31" applyFont="1" applyFill="1" applyBorder="1" applyAlignment="1">
      <alignment horizontal="right"/>
    </xf>
    <xf numFmtId="9" fontId="31" fillId="3" borderId="6" xfId="31" applyFont="1" applyFill="1" applyBorder="1" applyAlignment="1">
      <alignment horizontal="right"/>
    </xf>
    <xf numFmtId="9" fontId="39" fillId="3" borderId="0" xfId="31" applyFont="1" applyFill="1" applyBorder="1" applyAlignment="1">
      <alignment horizontal="right"/>
    </xf>
    <xf numFmtId="0" fontId="18" fillId="0" borderId="5" xfId="0" applyFont="1" applyFill="1" applyBorder="1" applyAlignment="1">
      <alignment horizontal="left"/>
    </xf>
    <xf numFmtId="169" fontId="17" fillId="5" borderId="0" xfId="0" applyNumberFormat="1" applyFont="1" applyFill="1"/>
    <xf numFmtId="169" fontId="17" fillId="5" borderId="7" xfId="0" applyNumberFormat="1" applyFont="1" applyFill="1" applyBorder="1"/>
    <xf numFmtId="9" fontId="18" fillId="5" borderId="0" xfId="0" applyNumberFormat="1" applyFont="1" applyFill="1"/>
    <xf numFmtId="169" fontId="24" fillId="3" borderId="5" xfId="18" applyNumberFormat="1" applyFont="1" applyFill="1" applyBorder="1"/>
    <xf numFmtId="169" fontId="16" fillId="3" borderId="5" xfId="18" applyNumberFormat="1" applyFont="1" applyFill="1" applyBorder="1"/>
    <xf numFmtId="169" fontId="18" fillId="3" borderId="5" xfId="18" applyNumberFormat="1" applyFont="1" applyFill="1" applyBorder="1"/>
    <xf numFmtId="169" fontId="23" fillId="0" borderId="5" xfId="0" applyNumberFormat="1" applyFont="1" applyFill="1" applyBorder="1"/>
    <xf numFmtId="169" fontId="23" fillId="0" borderId="9" xfId="0" applyNumberFormat="1" applyFont="1" applyFill="1" applyBorder="1"/>
    <xf numFmtId="9" fontId="16" fillId="5" borderId="0" xfId="31" applyFont="1" applyFill="1"/>
    <xf numFmtId="169" fontId="29" fillId="5" borderId="0" xfId="0" applyNumberFormat="1" applyFont="1" applyFill="1"/>
    <xf numFmtId="0" fontId="16" fillId="3" borderId="0" xfId="0" applyFont="1" applyFill="1" applyBorder="1" applyAlignment="1">
      <alignment horizontal="left" indent="1"/>
    </xf>
    <xf numFmtId="169" fontId="17" fillId="5" borderId="0" xfId="0" applyNumberFormat="1" applyFont="1" applyFill="1" applyBorder="1"/>
    <xf numFmtId="0" fontId="18" fillId="0" borderId="7" xfId="0" applyFont="1" applyFill="1" applyBorder="1"/>
    <xf numFmtId="169" fontId="26" fillId="3" borderId="7" xfId="0" applyNumberFormat="1" applyFont="1" applyFill="1" applyBorder="1" applyAlignment="1">
      <alignment horizontal="right"/>
    </xf>
    <xf numFmtId="169" fontId="21" fillId="0" borderId="7" xfId="0" applyNumberFormat="1" applyFont="1" applyFill="1" applyBorder="1" applyAlignment="1">
      <alignment horizontal="right"/>
    </xf>
    <xf numFmtId="9" fontId="18" fillId="0" borderId="7" xfId="31" applyFont="1" applyFill="1" applyBorder="1" applyAlignment="1">
      <alignment horizontal="right"/>
    </xf>
    <xf numFmtId="169" fontId="28" fillId="0" borderId="7" xfId="0" applyNumberFormat="1" applyFont="1" applyFill="1" applyBorder="1" applyAlignment="1">
      <alignment horizontal="right"/>
    </xf>
    <xf numFmtId="169" fontId="18" fillId="0" borderId="7" xfId="0" applyNumberFormat="1" applyFont="1" applyFill="1" applyBorder="1" applyAlignment="1">
      <alignment horizontal="right"/>
    </xf>
    <xf numFmtId="169" fontId="41" fillId="3" borderId="7" xfId="0" applyNumberFormat="1" applyFont="1" applyFill="1" applyBorder="1" applyAlignment="1">
      <alignment horizontal="right"/>
    </xf>
    <xf numFmtId="168" fontId="21" fillId="0" borderId="7" xfId="0" applyNumberFormat="1" applyFont="1" applyFill="1" applyBorder="1" applyAlignment="1">
      <alignment horizontal="right"/>
    </xf>
    <xf numFmtId="168" fontId="21" fillId="3" borderId="7" xfId="0" applyNumberFormat="1" applyFont="1" applyFill="1" applyBorder="1" applyAlignment="1">
      <alignment horizontal="right"/>
    </xf>
    <xf numFmtId="0" fontId="32" fillId="3" borderId="7" xfId="0" applyFont="1" applyFill="1" applyBorder="1" applyAlignment="1">
      <alignment horizontal="right"/>
    </xf>
    <xf numFmtId="169" fontId="18" fillId="0" borderId="5" xfId="0" applyNumberFormat="1" applyFont="1" applyFill="1" applyBorder="1"/>
    <xf numFmtId="0" fontId="18" fillId="0" borderId="5" xfId="0" applyFont="1" applyFill="1" applyBorder="1" applyAlignment="1">
      <alignment horizontal="center"/>
    </xf>
    <xf numFmtId="169" fontId="18" fillId="0" borderId="5" xfId="0" applyNumberFormat="1" applyFont="1" applyFill="1" applyBorder="1" applyAlignment="1">
      <alignment horizontal="right"/>
    </xf>
    <xf numFmtId="169" fontId="24" fillId="0" borderId="5" xfId="0" applyNumberFormat="1" applyFont="1" applyFill="1" applyBorder="1" applyAlignment="1">
      <alignment horizontal="right"/>
    </xf>
    <xf numFmtId="169" fontId="18" fillId="0" borderId="5" xfId="0" applyNumberFormat="1" applyFont="1" applyFill="1" applyBorder="1" applyAlignment="1" applyProtection="1">
      <alignment horizontal="left"/>
    </xf>
    <xf numFmtId="0" fontId="18" fillId="3" borderId="5" xfId="0" applyFont="1" applyFill="1" applyBorder="1" applyAlignment="1" applyProtection="1">
      <alignment horizontal="left"/>
      <protection locked="0"/>
    </xf>
    <xf numFmtId="10" fontId="16" fillId="3" borderId="0" xfId="31" applyNumberFormat="1" applyFont="1" applyFill="1"/>
    <xf numFmtId="10" fontId="47" fillId="3" borderId="0" xfId="0" applyNumberFormat="1" applyFont="1" applyFill="1" applyAlignment="1">
      <alignment horizontal="right"/>
    </xf>
    <xf numFmtId="0" fontId="27" fillId="3" borderId="0" xfId="0" applyFont="1" applyFill="1"/>
    <xf numFmtId="169" fontId="29" fillId="5" borderId="0" xfId="0" applyNumberFormat="1" applyFont="1" applyFill="1" applyBorder="1"/>
    <xf numFmtId="169" fontId="49" fillId="5" borderId="0" xfId="0" applyNumberFormat="1" applyFont="1" applyFill="1" applyBorder="1"/>
    <xf numFmtId="9" fontId="47" fillId="3" borderId="0" xfId="0" applyNumberFormat="1" applyFont="1" applyFill="1" applyBorder="1" applyAlignment="1">
      <alignment horizontal="right"/>
    </xf>
    <xf numFmtId="2" fontId="17" fillId="3" borderId="0" xfId="29" applyNumberFormat="1" applyFont="1" applyFill="1" applyBorder="1" applyAlignment="1" applyProtection="1">
      <alignment horizontal="left"/>
    </xf>
    <xf numFmtId="169" fontId="43" fillId="5" borderId="0" xfId="0" applyNumberFormat="1" applyFont="1" applyFill="1" applyBorder="1"/>
    <xf numFmtId="168" fontId="18" fillId="3" borderId="7" xfId="0" applyNumberFormat="1" applyFont="1" applyFill="1" applyBorder="1"/>
    <xf numFmtId="1" fontId="21" fillId="3" borderId="9" xfId="0" applyNumberFormat="1" applyFont="1" applyFill="1" applyBorder="1" applyAlignment="1">
      <alignment horizontal="right"/>
    </xf>
    <xf numFmtId="169" fontId="32" fillId="0" borderId="7" xfId="0" applyNumberFormat="1" applyFont="1" applyFill="1" applyBorder="1" applyAlignment="1">
      <alignment horizontal="right"/>
    </xf>
    <xf numFmtId="169" fontId="33" fillId="3" borderId="9" xfId="0" applyNumberFormat="1" applyFont="1" applyFill="1" applyBorder="1" applyAlignment="1">
      <alignment horizontal="right"/>
    </xf>
    <xf numFmtId="169" fontId="28" fillId="3" borderId="7" xfId="0" applyNumberFormat="1" applyFont="1" applyFill="1" applyBorder="1" applyAlignment="1">
      <alignment horizontal="right"/>
    </xf>
    <xf numFmtId="169" fontId="18" fillId="3" borderId="7" xfId="31" applyNumberFormat="1" applyFont="1" applyFill="1" applyBorder="1" applyAlignment="1">
      <alignment horizontal="right"/>
    </xf>
    <xf numFmtId="0" fontId="18" fillId="5" borderId="0" xfId="0" applyFont="1" applyFill="1" applyAlignment="1">
      <alignment horizontal="left"/>
    </xf>
    <xf numFmtId="0" fontId="18" fillId="5" borderId="5" xfId="0" applyFont="1" applyFill="1" applyBorder="1" applyAlignment="1">
      <alignment horizontal="left"/>
    </xf>
    <xf numFmtId="169" fontId="17" fillId="5" borderId="0" xfId="0" applyNumberFormat="1" applyFont="1" applyFill="1" applyBorder="1" applyAlignment="1">
      <alignment horizontal="right"/>
    </xf>
    <xf numFmtId="0" fontId="19" fillId="3" borderId="0" xfId="0" applyFont="1" applyFill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28" fillId="3" borderId="0" xfId="0" applyFont="1" applyFill="1" applyBorder="1" applyAlignment="1">
      <alignment horizontal="center"/>
    </xf>
    <xf numFmtId="2" fontId="24" fillId="3" borderId="0" xfId="29" applyNumberFormat="1" applyFont="1" applyFill="1" applyBorder="1" applyAlignment="1" applyProtection="1">
      <alignment horizontal="center"/>
    </xf>
    <xf numFmtId="0" fontId="19" fillId="0" borderId="0" xfId="0" applyFont="1" applyFill="1" applyAlignment="1">
      <alignment horizontal="center"/>
    </xf>
    <xf numFmtId="166" fontId="20" fillId="3" borderId="0" xfId="19" applyNumberFormat="1" applyFont="1" applyFill="1" applyAlignment="1">
      <alignment horizontal="center"/>
    </xf>
    <xf numFmtId="166" fontId="19" fillId="3" borderId="0" xfId="19" applyNumberFormat="1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169" fontId="28" fillId="0" borderId="0" xfId="0" applyNumberFormat="1" applyFont="1" applyFill="1" applyAlignment="1">
      <alignment horizontal="center"/>
    </xf>
    <xf numFmtId="169" fontId="21" fillId="0" borderId="0" xfId="0" applyNumberFormat="1" applyFont="1" applyFill="1" applyAlignment="1">
      <alignment horizontal="center"/>
    </xf>
    <xf numFmtId="0" fontId="21" fillId="0" borderId="0" xfId="0" applyFont="1" applyFill="1" applyBorder="1" applyAlignment="1" applyProtection="1">
      <alignment horizontal="center"/>
    </xf>
    <xf numFmtId="0" fontId="21" fillId="3" borderId="0" xfId="0" applyFont="1" applyFill="1" applyBorder="1" applyAlignment="1" applyProtection="1">
      <alignment horizontal="center"/>
    </xf>
    <xf numFmtId="178" fontId="18" fillId="3" borderId="0" xfId="0" applyNumberFormat="1" applyFont="1" applyFill="1" applyBorder="1" applyAlignment="1" applyProtection="1">
      <alignment horizontal="center"/>
    </xf>
    <xf numFmtId="0" fontId="32" fillId="3" borderId="0" xfId="0" applyFont="1" applyFill="1" applyAlignment="1">
      <alignment horizontal="center"/>
    </xf>
    <xf numFmtId="0" fontId="21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169" fontId="21" fillId="5" borderId="0" xfId="0" applyNumberFormat="1" applyFont="1" applyFill="1" applyAlignment="1">
      <alignment horizontal="right"/>
    </xf>
    <xf numFmtId="169" fontId="16" fillId="3" borderId="5" xfId="0" applyNumberFormat="1" applyFont="1" applyFill="1" applyBorder="1" applyAlignment="1">
      <alignment horizontal="right"/>
    </xf>
    <xf numFmtId="169" fontId="49" fillId="5" borderId="0" xfId="0" applyNumberFormat="1" applyFont="1" applyFill="1" applyAlignment="1">
      <alignment horizontal="right"/>
    </xf>
    <xf numFmtId="169" fontId="16" fillId="0" borderId="5" xfId="0" applyNumberFormat="1" applyFont="1" applyFill="1" applyBorder="1" applyAlignment="1">
      <alignment horizontal="right"/>
    </xf>
    <xf numFmtId="169" fontId="23" fillId="5" borderId="0" xfId="0" applyNumberFormat="1" applyFont="1" applyFill="1" applyAlignment="1">
      <alignment horizontal="right"/>
    </xf>
    <xf numFmtId="0" fontId="17" fillId="0" borderId="0" xfId="0" applyFont="1"/>
    <xf numFmtId="0" fontId="17" fillId="4" borderId="0" xfId="0" applyFont="1" applyFill="1"/>
    <xf numFmtId="0" fontId="16" fillId="5" borderId="0" xfId="0" applyFont="1" applyFill="1"/>
    <xf numFmtId="169" fontId="49" fillId="5" borderId="0" xfId="0" applyNumberFormat="1" applyFont="1" applyFill="1"/>
    <xf numFmtId="169" fontId="41" fillId="5" borderId="0" xfId="0" applyNumberFormat="1" applyFont="1" applyFill="1" applyAlignment="1">
      <alignment horizontal="right"/>
    </xf>
    <xf numFmtId="169" fontId="41" fillId="0" borderId="0" xfId="0" applyNumberFormat="1" applyFont="1" applyFill="1" applyAlignment="1">
      <alignment horizontal="right"/>
    </xf>
    <xf numFmtId="0" fontId="16" fillId="5" borderId="0" xfId="0" applyFont="1" applyFill="1" applyBorder="1" applyAlignment="1">
      <alignment horizontal="left" indent="1"/>
    </xf>
    <xf numFmtId="0" fontId="16" fillId="5" borderId="5" xfId="0" applyFont="1" applyFill="1" applyBorder="1" applyAlignment="1">
      <alignment horizontal="left" indent="1"/>
    </xf>
    <xf numFmtId="169" fontId="41" fillId="5" borderId="0" xfId="0" applyNumberFormat="1" applyFont="1" applyFill="1"/>
    <xf numFmtId="169" fontId="26" fillId="5" borderId="0" xfId="0" applyNumberFormat="1" applyFont="1" applyFill="1" applyAlignment="1">
      <alignment horizontal="right"/>
    </xf>
    <xf numFmtId="169" fontId="23" fillId="5" borderId="0" xfId="0" applyNumberFormat="1" applyFont="1" applyFill="1" applyBorder="1" applyAlignment="1">
      <alignment horizontal="right"/>
    </xf>
    <xf numFmtId="169" fontId="23" fillId="5" borderId="5" xfId="0" applyNumberFormat="1" applyFont="1" applyFill="1" applyBorder="1" applyAlignment="1">
      <alignment horizontal="right"/>
    </xf>
    <xf numFmtId="0" fontId="47" fillId="3" borderId="0" xfId="0" applyFont="1" applyFill="1"/>
    <xf numFmtId="0" fontId="47" fillId="3" borderId="0" xfId="0" applyFont="1" applyFill="1" applyBorder="1"/>
    <xf numFmtId="169" fontId="41" fillId="5" borderId="5" xfId="0" applyNumberFormat="1" applyFont="1" applyFill="1" applyBorder="1"/>
    <xf numFmtId="170" fontId="16" fillId="3" borderId="0" xfId="31" applyNumberFormat="1" applyFont="1" applyFill="1" applyBorder="1" applyAlignment="1">
      <alignment horizontal="right"/>
    </xf>
    <xf numFmtId="169" fontId="34" fillId="5" borderId="0" xfId="0" applyNumberFormat="1" applyFont="1" applyFill="1" applyBorder="1"/>
    <xf numFmtId="169" fontId="16" fillId="5" borderId="5" xfId="0" applyNumberFormat="1" applyFont="1" applyFill="1" applyBorder="1" applyAlignment="1">
      <alignment horizontal="right"/>
    </xf>
    <xf numFmtId="169" fontId="18" fillId="5" borderId="0" xfId="0" applyNumberFormat="1" applyFont="1" applyFill="1" applyAlignment="1">
      <alignment horizontal="right"/>
    </xf>
    <xf numFmtId="169" fontId="23" fillId="5" borderId="5" xfId="0" applyNumberFormat="1" applyFont="1" applyFill="1" applyBorder="1"/>
    <xf numFmtId="169" fontId="16" fillId="5" borderId="0" xfId="0" applyNumberFormat="1" applyFont="1" applyFill="1"/>
    <xf numFmtId="169" fontId="21" fillId="5" borderId="0" xfId="18" applyNumberFormat="1" applyFont="1" applyFill="1" applyBorder="1"/>
    <xf numFmtId="170" fontId="31" fillId="3" borderId="0" xfId="31" applyNumberFormat="1" applyFont="1" applyFill="1" applyBorder="1" applyAlignment="1">
      <alignment horizontal="right"/>
    </xf>
    <xf numFmtId="169" fontId="41" fillId="5" borderId="0" xfId="0" applyNumberFormat="1" applyFont="1" applyFill="1" applyBorder="1"/>
    <xf numFmtId="169" fontId="18" fillId="5" borderId="0" xfId="0" applyNumberFormat="1" applyFont="1" applyFill="1" applyBorder="1" applyAlignment="1">
      <alignment horizontal="right"/>
    </xf>
    <xf numFmtId="169" fontId="18" fillId="5" borderId="5" xfId="0" applyNumberFormat="1" applyFont="1" applyFill="1" applyBorder="1" applyAlignment="1">
      <alignment horizontal="right"/>
    </xf>
    <xf numFmtId="0" fontId="16" fillId="5" borderId="0" xfId="0" applyFont="1" applyFill="1" applyAlignment="1">
      <alignment horizontal="left"/>
    </xf>
    <xf numFmtId="0" fontId="17" fillId="5" borderId="0" xfId="0" applyFont="1" applyFill="1"/>
    <xf numFmtId="9" fontId="31" fillId="5" borderId="0" xfId="31" applyFont="1" applyFill="1" applyAlignment="1">
      <alignment horizontal="right"/>
    </xf>
    <xf numFmtId="0" fontId="17" fillId="5" borderId="0" xfId="0" applyFont="1" applyFill="1" applyBorder="1"/>
    <xf numFmtId="0" fontId="17" fillId="6" borderId="0" xfId="0" applyFont="1" applyFill="1"/>
    <xf numFmtId="169" fontId="17" fillId="6" borderId="0" xfId="0" applyNumberFormat="1" applyFont="1" applyFill="1"/>
    <xf numFmtId="0" fontId="16" fillId="5" borderId="0" xfId="0" applyFont="1" applyFill="1" applyBorder="1"/>
    <xf numFmtId="0" fontId="47" fillId="5" borderId="0" xfId="0" applyFont="1" applyFill="1"/>
    <xf numFmtId="0" fontId="47" fillId="5" borderId="0" xfId="0" applyFont="1" applyFill="1" applyBorder="1"/>
    <xf numFmtId="0" fontId="18" fillId="5" borderId="0" xfId="0" applyFont="1" applyFill="1"/>
    <xf numFmtId="0" fontId="17" fillId="5" borderId="0" xfId="0" applyFont="1" applyFill="1" applyAlignment="1">
      <alignment horizontal="left"/>
    </xf>
    <xf numFmtId="170" fontId="16" fillId="5" borderId="0" xfId="31" applyNumberFormat="1" applyFont="1" applyFill="1"/>
    <xf numFmtId="0" fontId="21" fillId="5" borderId="0" xfId="0" applyFont="1" applyFill="1" applyBorder="1" applyAlignment="1">
      <alignment horizontal="center"/>
    </xf>
    <xf numFmtId="169" fontId="21" fillId="5" borderId="0" xfId="18" applyNumberFormat="1" applyFont="1" applyFill="1" applyBorder="1" applyAlignment="1">
      <alignment horizontal="right"/>
    </xf>
    <xf numFmtId="0" fontId="50" fillId="0" borderId="0" xfId="0" applyFont="1" applyAlignment="1">
      <alignment horizontal="right"/>
    </xf>
    <xf numFmtId="0" fontId="50" fillId="0" borderId="0" xfId="0" applyFont="1" applyAlignment="1">
      <alignment horizontal="center"/>
    </xf>
    <xf numFmtId="1" fontId="17" fillId="3" borderId="0" xfId="0" applyNumberFormat="1" applyFont="1" applyFill="1" applyBorder="1" applyAlignment="1">
      <alignment horizontal="right"/>
    </xf>
    <xf numFmtId="9" fontId="35" fillId="5" borderId="0" xfId="31" applyFont="1" applyFill="1" applyBorder="1" applyAlignment="1">
      <alignment horizontal="right"/>
    </xf>
    <xf numFmtId="168" fontId="18" fillId="5" borderId="0" xfId="0" applyNumberFormat="1" applyFont="1" applyFill="1" applyBorder="1"/>
    <xf numFmtId="0" fontId="17" fillId="5" borderId="0" xfId="0" applyFont="1" applyFill="1" applyBorder="1" applyAlignment="1">
      <alignment horizontal="center"/>
    </xf>
    <xf numFmtId="0" fontId="18" fillId="5" borderId="5" xfId="0" applyFont="1" applyFill="1" applyBorder="1"/>
    <xf numFmtId="170" fontId="18" fillId="5" borderId="0" xfId="31" applyNumberFormat="1" applyFont="1" applyFill="1" applyBorder="1"/>
    <xf numFmtId="9" fontId="16" fillId="3" borderId="0" xfId="31" applyFont="1" applyFill="1" applyBorder="1" applyAlignment="1">
      <alignment horizontal="left" indent="1"/>
    </xf>
    <xf numFmtId="0" fontId="16" fillId="3" borderId="0" xfId="0" quotePrefix="1" applyFont="1" applyFill="1" applyBorder="1" applyAlignment="1">
      <alignment horizontal="center"/>
    </xf>
    <xf numFmtId="170" fontId="16" fillId="3" borderId="7" xfId="31" applyNumberFormat="1" applyFont="1" applyFill="1" applyBorder="1" applyAlignment="1">
      <alignment horizontal="right"/>
    </xf>
    <xf numFmtId="0" fontId="17" fillId="3" borderId="4" xfId="0" applyFont="1" applyFill="1" applyBorder="1" applyAlignment="1">
      <alignment horizontal="right" wrapText="1"/>
    </xf>
    <xf numFmtId="0" fontId="17" fillId="3" borderId="5" xfId="0" applyFont="1" applyFill="1" applyBorder="1" applyAlignment="1">
      <alignment horizontal="right"/>
    </xf>
    <xf numFmtId="9" fontId="16" fillId="3" borderId="0" xfId="31" applyFont="1" applyFill="1" applyBorder="1" applyAlignment="1">
      <alignment horizontal="center"/>
    </xf>
    <xf numFmtId="0" fontId="16" fillId="3" borderId="6" xfId="0" applyFont="1" applyFill="1" applyBorder="1"/>
    <xf numFmtId="0" fontId="18" fillId="0" borderId="5" xfId="25" applyFont="1" applyBorder="1" applyAlignment="1">
      <alignment horizontal="center"/>
    </xf>
    <xf numFmtId="169" fontId="18" fillId="0" borderId="5" xfId="25" applyNumberFormat="1" applyFont="1" applyBorder="1"/>
    <xf numFmtId="0" fontId="18" fillId="0" borderId="0" xfId="0" applyFont="1" applyAlignment="1">
      <alignment horizontal="left" indent="1"/>
    </xf>
    <xf numFmtId="0" fontId="18" fillId="0" borderId="0" xfId="0" applyFont="1" applyAlignment="1">
      <alignment horizontal="center"/>
    </xf>
    <xf numFmtId="170" fontId="18" fillId="0" borderId="0" xfId="31" applyNumberFormat="1" applyFont="1"/>
    <xf numFmtId="0" fontId="16" fillId="0" borderId="0" xfId="25" applyFont="1"/>
    <xf numFmtId="0" fontId="16" fillId="0" borderId="0" xfId="25" applyFont="1" applyFill="1" applyAlignment="1">
      <alignment horizontal="center"/>
    </xf>
    <xf numFmtId="171" fontId="16" fillId="0" borderId="0" xfId="25" applyNumberFormat="1" applyFont="1"/>
    <xf numFmtId="3" fontId="18" fillId="0" borderId="5" xfId="25" applyNumberFormat="1" applyFont="1" applyBorder="1"/>
    <xf numFmtId="0" fontId="18" fillId="0" borderId="5" xfId="25" applyFont="1" applyFill="1" applyBorder="1"/>
    <xf numFmtId="0" fontId="18" fillId="0" borderId="5" xfId="25" applyFont="1" applyFill="1" applyBorder="1" applyAlignment="1">
      <alignment horizontal="center"/>
    </xf>
    <xf numFmtId="0" fontId="18" fillId="0" borderId="5" xfId="25" applyFont="1" applyBorder="1"/>
    <xf numFmtId="0" fontId="21" fillId="0" borderId="2" xfId="25" applyFont="1" applyBorder="1"/>
    <xf numFmtId="0" fontId="21" fillId="0" borderId="2" xfId="25" applyFont="1" applyBorder="1" applyAlignment="1">
      <alignment horizontal="center"/>
    </xf>
    <xf numFmtId="3" fontId="21" fillId="0" borderId="2" xfId="25" applyNumberFormat="1" applyFont="1" applyBorder="1"/>
    <xf numFmtId="0" fontId="21" fillId="0" borderId="5" xfId="25" applyFont="1" applyBorder="1"/>
    <xf numFmtId="0" fontId="21" fillId="0" borderId="5" xfId="25" applyFont="1" applyBorder="1" applyAlignment="1">
      <alignment horizontal="center"/>
    </xf>
    <xf numFmtId="1" fontId="21" fillId="0" borderId="5" xfId="25" applyNumberFormat="1" applyFont="1" applyBorder="1"/>
    <xf numFmtId="0" fontId="18" fillId="0" borderId="0" xfId="25" applyFont="1" applyBorder="1" applyAlignment="1">
      <alignment horizontal="center"/>
    </xf>
    <xf numFmtId="169" fontId="18" fillId="0" borderId="0" xfId="25" applyNumberFormat="1" applyFont="1" applyBorder="1"/>
    <xf numFmtId="169" fontId="21" fillId="0" borderId="2" xfId="25" applyNumberFormat="1" applyFont="1" applyBorder="1"/>
    <xf numFmtId="171" fontId="17" fillId="0" borderId="0" xfId="0" applyNumberFormat="1" applyFont="1"/>
    <xf numFmtId="0" fontId="17" fillId="5" borderId="0" xfId="28" applyFont="1" applyFill="1" applyBorder="1"/>
    <xf numFmtId="0" fontId="17" fillId="5" borderId="0" xfId="28" applyFont="1" applyFill="1" applyBorder="1" applyAlignment="1">
      <alignment horizontal="center"/>
    </xf>
    <xf numFmtId="0" fontId="51" fillId="0" borderId="0" xfId="0" applyFont="1"/>
    <xf numFmtId="1" fontId="17" fillId="5" borderId="0" xfId="0" applyNumberFormat="1" applyFont="1" applyFill="1" applyBorder="1"/>
    <xf numFmtId="170" fontId="17" fillId="5" borderId="0" xfId="31" applyNumberFormat="1" applyFont="1" applyFill="1" applyBorder="1"/>
    <xf numFmtId="0" fontId="27" fillId="6" borderId="0" xfId="0" applyFont="1" applyFill="1" applyAlignment="1">
      <alignment horizontal="center"/>
    </xf>
    <xf numFmtId="169" fontId="17" fillId="6" borderId="0" xfId="0" applyNumberFormat="1" applyFont="1" applyFill="1" applyBorder="1"/>
    <xf numFmtId="169" fontId="17" fillId="6" borderId="0" xfId="0" applyNumberFormat="1" applyFont="1" applyFill="1" applyBorder="1" applyAlignment="1">
      <alignment horizontal="right"/>
    </xf>
    <xf numFmtId="10" fontId="16" fillId="3" borderId="0" xfId="31" applyNumberFormat="1" applyFont="1" applyFill="1" applyAlignment="1">
      <alignment horizontal="right"/>
    </xf>
    <xf numFmtId="0" fontId="51" fillId="0" borderId="0" xfId="0" applyFont="1" applyAlignment="1">
      <alignment horizontal="center"/>
    </xf>
    <xf numFmtId="1" fontId="51" fillId="0" borderId="0" xfId="0" applyNumberFormat="1" applyFont="1" applyAlignment="1">
      <alignment horizontal="right"/>
    </xf>
    <xf numFmtId="9" fontId="50" fillId="0" borderId="0" xfId="31" applyFont="1" applyAlignment="1">
      <alignment horizontal="right"/>
    </xf>
    <xf numFmtId="170" fontId="21" fillId="6" borderId="0" xfId="31" applyNumberFormat="1" applyFont="1" applyFill="1" applyBorder="1" applyAlignment="1">
      <alignment horizontal="right"/>
    </xf>
    <xf numFmtId="169" fontId="18" fillId="6" borderId="0" xfId="18" applyNumberFormat="1" applyFont="1" applyFill="1" applyBorder="1" applyAlignment="1">
      <alignment horizontal="right"/>
    </xf>
    <xf numFmtId="170" fontId="16" fillId="6" borderId="0" xfId="31" applyNumberFormat="1" applyFont="1" applyFill="1" applyBorder="1" applyAlignment="1">
      <alignment horizontal="right"/>
    </xf>
    <xf numFmtId="169" fontId="26" fillId="6" borderId="0" xfId="18" applyNumberFormat="1" applyFont="1" applyFill="1" applyBorder="1" applyAlignment="1">
      <alignment horizontal="right"/>
    </xf>
    <xf numFmtId="9" fontId="18" fillId="6" borderId="0" xfId="31" applyFont="1" applyFill="1" applyBorder="1" applyAlignment="1">
      <alignment horizontal="right"/>
    </xf>
    <xf numFmtId="169" fontId="21" fillId="6" borderId="0" xfId="18" applyNumberFormat="1" applyFont="1" applyFill="1" applyBorder="1" applyAlignment="1">
      <alignment horizontal="right"/>
    </xf>
    <xf numFmtId="9" fontId="22" fillId="6" borderId="0" xfId="31" applyNumberFormat="1" applyFont="1" applyFill="1" applyBorder="1" applyAlignment="1">
      <alignment horizontal="right"/>
    </xf>
    <xf numFmtId="9" fontId="31" fillId="6" borderId="0" xfId="31" applyNumberFormat="1" applyFont="1" applyFill="1" applyBorder="1" applyAlignment="1">
      <alignment horizontal="right"/>
    </xf>
    <xf numFmtId="169" fontId="18" fillId="6" borderId="0" xfId="0" applyNumberFormat="1" applyFont="1" applyFill="1" applyBorder="1" applyAlignment="1">
      <alignment horizontal="right"/>
    </xf>
    <xf numFmtId="169" fontId="18" fillId="6" borderId="5" xfId="0" applyNumberFormat="1" applyFont="1" applyFill="1" applyBorder="1" applyAlignment="1">
      <alignment horizontal="right"/>
    </xf>
    <xf numFmtId="170" fontId="31" fillId="6" borderId="0" xfId="31" applyNumberFormat="1" applyFont="1" applyFill="1" applyBorder="1" applyAlignment="1">
      <alignment horizontal="right"/>
    </xf>
    <xf numFmtId="176" fontId="18" fillId="6" borderId="0" xfId="18" applyNumberFormat="1" applyFont="1" applyFill="1" applyBorder="1" applyAlignment="1">
      <alignment horizontal="right"/>
    </xf>
    <xf numFmtId="169" fontId="24" fillId="6" borderId="5" xfId="18" applyNumberFormat="1" applyFont="1" applyFill="1" applyBorder="1" applyAlignment="1">
      <alignment horizontal="right"/>
    </xf>
    <xf numFmtId="169" fontId="16" fillId="6" borderId="5" xfId="18" applyNumberFormat="1" applyFont="1" applyFill="1" applyBorder="1" applyAlignment="1">
      <alignment horizontal="right"/>
    </xf>
    <xf numFmtId="169" fontId="18" fillId="6" borderId="0" xfId="0" applyNumberFormat="1" applyFont="1" applyFill="1" applyAlignment="1">
      <alignment horizontal="right"/>
    </xf>
    <xf numFmtId="9" fontId="24" fillId="3" borderId="0" xfId="31" applyFont="1" applyFill="1" applyAlignment="1">
      <alignment horizontal="right"/>
    </xf>
    <xf numFmtId="169" fontId="41" fillId="3" borderId="0" xfId="18" applyNumberFormat="1" applyFont="1" applyFill="1" applyBorder="1" applyAlignment="1">
      <alignment horizontal="right"/>
    </xf>
    <xf numFmtId="169" fontId="41" fillId="3" borderId="5" xfId="18" applyNumberFormat="1" applyFont="1" applyFill="1" applyBorder="1" applyAlignment="1">
      <alignment horizontal="right"/>
    </xf>
    <xf numFmtId="169" fontId="41" fillId="3" borderId="0" xfId="0" applyNumberFormat="1" applyFont="1" applyFill="1" applyBorder="1" applyAlignment="1">
      <alignment horizontal="right"/>
    </xf>
    <xf numFmtId="169" fontId="41" fillId="3" borderId="5" xfId="0" applyNumberFormat="1" applyFont="1" applyFill="1" applyBorder="1" applyAlignment="1">
      <alignment horizontal="right"/>
    </xf>
    <xf numFmtId="9" fontId="17" fillId="3" borderId="0" xfId="31" applyFont="1" applyFill="1" applyBorder="1" applyAlignment="1">
      <alignment horizontal="right"/>
    </xf>
    <xf numFmtId="169" fontId="21" fillId="5" borderId="0" xfId="0" applyNumberFormat="1" applyFont="1" applyFill="1" applyBorder="1" applyAlignment="1">
      <alignment horizontal="right"/>
    </xf>
    <xf numFmtId="169" fontId="23" fillId="6" borderId="0" xfId="0" applyNumberFormat="1" applyFont="1" applyFill="1" applyBorder="1" applyAlignment="1">
      <alignment horizontal="right"/>
    </xf>
    <xf numFmtId="176" fontId="24" fillId="3" borderId="0" xfId="0" applyNumberFormat="1" applyFont="1" applyFill="1" applyBorder="1" applyAlignment="1">
      <alignment horizontal="right"/>
    </xf>
    <xf numFmtId="0" fontId="0" fillId="0" borderId="0" xfId="0"/>
    <xf numFmtId="199" fontId="18" fillId="3" borderId="0" xfId="0" applyNumberFormat="1" applyFont="1" applyFill="1"/>
    <xf numFmtId="198" fontId="24" fillId="3" borderId="0" xfId="17" applyNumberFormat="1" applyFont="1" applyFill="1" applyAlignment="1">
      <alignment horizontal="right"/>
    </xf>
    <xf numFmtId="169" fontId="16" fillId="3" borderId="0" xfId="18" applyNumberFormat="1" applyFont="1" applyFill="1" applyBorder="1" applyAlignment="1">
      <alignment horizontal="right"/>
    </xf>
    <xf numFmtId="9" fontId="16" fillId="3" borderId="0" xfId="31" applyNumberFormat="1" applyFont="1" applyFill="1" applyBorder="1" applyAlignment="1">
      <alignment horizontal="right"/>
    </xf>
    <xf numFmtId="170" fontId="16" fillId="5" borderId="0" xfId="31" applyNumberFormat="1" applyFont="1" applyFill="1" applyBorder="1"/>
    <xf numFmtId="10" fontId="16" fillId="3" borderId="0" xfId="31" applyNumberFormat="1" applyFont="1" applyFill="1" applyBorder="1"/>
    <xf numFmtId="0" fontId="18" fillId="3" borderId="7" xfId="0" applyFont="1" applyFill="1" applyBorder="1" applyAlignment="1">
      <alignment horizontal="right"/>
    </xf>
    <xf numFmtId="1" fontId="21" fillId="3" borderId="7" xfId="0" applyNumberFormat="1" applyFont="1" applyFill="1" applyBorder="1" applyAlignment="1">
      <alignment horizontal="right"/>
    </xf>
    <xf numFmtId="169" fontId="18" fillId="3" borderId="9" xfId="0" applyNumberFormat="1" applyFont="1" applyFill="1" applyBorder="1" applyAlignment="1">
      <alignment horizontal="right"/>
    </xf>
    <xf numFmtId="9" fontId="18" fillId="3" borderId="9" xfId="31" applyFont="1" applyFill="1" applyBorder="1" applyAlignment="1">
      <alignment horizontal="right"/>
    </xf>
    <xf numFmtId="169" fontId="18" fillId="3" borderId="12" xfId="0" applyNumberFormat="1" applyFont="1" applyFill="1" applyBorder="1" applyAlignment="1">
      <alignment horizontal="right"/>
    </xf>
    <xf numFmtId="169" fontId="16" fillId="3" borderId="7" xfId="0" applyNumberFormat="1" applyFont="1" applyFill="1" applyBorder="1" applyAlignment="1">
      <alignment horizontal="right"/>
    </xf>
    <xf numFmtId="1" fontId="17" fillId="3" borderId="7" xfId="0" applyNumberFormat="1" applyFont="1" applyFill="1" applyBorder="1" applyAlignment="1">
      <alignment horizontal="right"/>
    </xf>
    <xf numFmtId="170" fontId="17" fillId="5" borderId="7" xfId="31" applyNumberFormat="1" applyFont="1" applyFill="1" applyBorder="1"/>
    <xf numFmtId="169" fontId="43" fillId="3" borderId="7" xfId="0" applyNumberFormat="1" applyFont="1" applyFill="1" applyBorder="1" applyAlignment="1">
      <alignment horizontal="right"/>
    </xf>
    <xf numFmtId="10" fontId="47" fillId="3" borderId="7" xfId="0" applyNumberFormat="1" applyFont="1" applyFill="1" applyBorder="1" applyAlignment="1">
      <alignment horizontal="right"/>
    </xf>
    <xf numFmtId="169" fontId="17" fillId="6" borderId="7" xfId="0" applyNumberFormat="1" applyFont="1" applyFill="1" applyBorder="1" applyAlignment="1">
      <alignment horizontal="right"/>
    </xf>
    <xf numFmtId="9" fontId="47" fillId="3" borderId="7" xfId="0" applyNumberFormat="1" applyFont="1" applyFill="1" applyBorder="1" applyAlignment="1">
      <alignment horizontal="right"/>
    </xf>
    <xf numFmtId="9" fontId="18" fillId="3" borderId="7" xfId="0" applyNumberFormat="1" applyFont="1" applyFill="1" applyBorder="1" applyAlignment="1">
      <alignment horizontal="right"/>
    </xf>
    <xf numFmtId="169" fontId="26" fillId="5" borderId="0" xfId="18" applyNumberFormat="1" applyFont="1" applyFill="1" applyBorder="1" applyAlignment="1">
      <alignment horizontal="right"/>
    </xf>
    <xf numFmtId="169" fontId="24" fillId="5" borderId="5" xfId="18" applyNumberFormat="1" applyFont="1" applyFill="1" applyBorder="1"/>
    <xf numFmtId="169" fontId="24" fillId="3" borderId="0" xfId="0" applyNumberFormat="1" applyFont="1" applyFill="1" applyBorder="1" applyAlignment="1">
      <alignment horizontal="right"/>
    </xf>
    <xf numFmtId="177" fontId="24" fillId="3" borderId="0" xfId="17" applyNumberFormat="1" applyFont="1" applyFill="1" applyBorder="1" applyAlignment="1">
      <alignment horizontal="right"/>
    </xf>
    <xf numFmtId="191" fontId="24" fillId="3" borderId="0" xfId="0" applyNumberFormat="1" applyFont="1" applyFill="1" applyBorder="1" applyAlignment="1">
      <alignment horizontal="right"/>
    </xf>
    <xf numFmtId="9" fontId="24" fillId="3" borderId="0" xfId="31" applyFont="1" applyFill="1" applyBorder="1"/>
    <xf numFmtId="170" fontId="24" fillId="3" borderId="0" xfId="31" applyNumberFormat="1" applyFont="1" applyFill="1" applyBorder="1" applyAlignment="1">
      <alignment horizontal="right"/>
    </xf>
    <xf numFmtId="175" fontId="18" fillId="3" borderId="0" xfId="18" applyNumberFormat="1" applyFont="1" applyFill="1" applyBorder="1" applyAlignment="1">
      <alignment horizontal="right"/>
    </xf>
    <xf numFmtId="169" fontId="21" fillId="0" borderId="7" xfId="18" applyNumberFormat="1" applyFont="1" applyFill="1" applyBorder="1" applyAlignment="1">
      <alignment horizontal="right"/>
    </xf>
    <xf numFmtId="169" fontId="24" fillId="3" borderId="9" xfId="18" applyNumberFormat="1" applyFont="1" applyFill="1" applyBorder="1"/>
    <xf numFmtId="169" fontId="18" fillId="3" borderId="9" xfId="18" applyNumberFormat="1" applyFont="1" applyFill="1" applyBorder="1"/>
    <xf numFmtId="169" fontId="26" fillId="3" borderId="0" xfId="0" applyNumberFormat="1" applyFont="1" applyFill="1" applyBorder="1" applyAlignment="1">
      <alignment horizontal="right"/>
    </xf>
    <xf numFmtId="169" fontId="26" fillId="0" borderId="0" xfId="0" applyNumberFormat="1" applyFont="1" applyFill="1" applyBorder="1" applyAlignment="1">
      <alignment horizontal="right"/>
    </xf>
    <xf numFmtId="169" fontId="49" fillId="5" borderId="0" xfId="0" applyNumberFormat="1" applyFont="1" applyFill="1" applyBorder="1" applyAlignment="1">
      <alignment horizontal="right"/>
    </xf>
    <xf numFmtId="169" fontId="21" fillId="0" borderId="0" xfId="0" applyNumberFormat="1" applyFont="1" applyFill="1" applyBorder="1" applyAlignment="1">
      <alignment horizontal="right"/>
    </xf>
    <xf numFmtId="169" fontId="28" fillId="0" borderId="0" xfId="0" applyNumberFormat="1" applyFont="1" applyFill="1" applyBorder="1" applyAlignment="1">
      <alignment horizontal="right"/>
    </xf>
    <xf numFmtId="169" fontId="18" fillId="0" borderId="0" xfId="0" applyNumberFormat="1" applyFont="1" applyFill="1" applyBorder="1" applyAlignment="1">
      <alignment horizontal="right"/>
    </xf>
    <xf numFmtId="168" fontId="21" fillId="0" borderId="0" xfId="0" applyNumberFormat="1" applyFont="1" applyFill="1" applyBorder="1" applyAlignment="1">
      <alignment horizontal="right"/>
    </xf>
    <xf numFmtId="168" fontId="21" fillId="3" borderId="0" xfId="0" applyNumberFormat="1" applyFont="1" applyFill="1" applyBorder="1" applyAlignment="1">
      <alignment horizontal="right"/>
    </xf>
    <xf numFmtId="0" fontId="32" fillId="3" borderId="0" xfId="0" applyFont="1" applyFill="1" applyBorder="1" applyAlignment="1">
      <alignment horizontal="right"/>
    </xf>
    <xf numFmtId="169" fontId="32" fillId="0" borderId="0" xfId="0" applyNumberFormat="1" applyFont="1" applyFill="1" applyBorder="1" applyAlignment="1">
      <alignment horizontal="right"/>
    </xf>
    <xf numFmtId="169" fontId="28" fillId="3" borderId="0" xfId="0" applyNumberFormat="1" applyFont="1" applyFill="1" applyBorder="1" applyAlignment="1">
      <alignment horizontal="right"/>
    </xf>
    <xf numFmtId="169" fontId="18" fillId="3" borderId="0" xfId="31" applyNumberFormat="1" applyFont="1" applyFill="1" applyBorder="1" applyAlignment="1">
      <alignment horizontal="right"/>
    </xf>
    <xf numFmtId="9" fontId="18" fillId="0" borderId="0" xfId="31" applyFont="1" applyFill="1" applyBorder="1" applyAlignment="1">
      <alignment horizontal="right"/>
    </xf>
    <xf numFmtId="169" fontId="41" fillId="3" borderId="9" xfId="0" applyNumberFormat="1" applyFont="1" applyFill="1" applyBorder="1" applyAlignment="1">
      <alignment horizontal="right"/>
    </xf>
    <xf numFmtId="169" fontId="23" fillId="5" borderId="7" xfId="0" applyNumberFormat="1" applyFont="1" applyFill="1" applyBorder="1" applyAlignment="1">
      <alignment horizontal="right"/>
    </xf>
    <xf numFmtId="169" fontId="23" fillId="5" borderId="9" xfId="0" applyNumberFormat="1" applyFont="1" applyFill="1" applyBorder="1" applyAlignment="1">
      <alignment horizontal="right"/>
    </xf>
    <xf numFmtId="169" fontId="16" fillId="3" borderId="9" xfId="0" applyNumberFormat="1" applyFont="1" applyFill="1" applyBorder="1" applyAlignment="1">
      <alignment horizontal="right"/>
    </xf>
    <xf numFmtId="169" fontId="49" fillId="5" borderId="7" xfId="0" applyNumberFormat="1" applyFont="1" applyFill="1" applyBorder="1" applyAlignment="1">
      <alignment horizontal="right"/>
    </xf>
    <xf numFmtId="169" fontId="16" fillId="0" borderId="9" xfId="0" applyNumberFormat="1" applyFont="1" applyFill="1" applyBorder="1" applyAlignment="1">
      <alignment horizontal="right"/>
    </xf>
    <xf numFmtId="170" fontId="18" fillId="3" borderId="0" xfId="0" applyNumberFormat="1" applyFont="1" applyFill="1" applyAlignment="1">
      <alignment horizontal="right"/>
    </xf>
    <xf numFmtId="169" fontId="41" fillId="5" borderId="0" xfId="0" applyNumberFormat="1" applyFont="1" applyFill="1" applyBorder="1" applyAlignment="1">
      <alignment horizontal="right"/>
    </xf>
    <xf numFmtId="10" fontId="47" fillId="3" borderId="0" xfId="0" applyNumberFormat="1" applyFont="1" applyFill="1" applyBorder="1" applyAlignment="1">
      <alignment horizontal="right"/>
    </xf>
    <xf numFmtId="169" fontId="49" fillId="3" borderId="0" xfId="0" applyNumberFormat="1" applyFont="1" applyFill="1" applyBorder="1" applyAlignment="1">
      <alignment horizontal="right"/>
    </xf>
    <xf numFmtId="169" fontId="18" fillId="3" borderId="7" xfId="0" applyNumberFormat="1" applyFont="1" applyFill="1" applyBorder="1" applyAlignment="1">
      <alignment horizontal="right"/>
    </xf>
    <xf numFmtId="191" fontId="24" fillId="5" borderId="0" xfId="0" applyNumberFormat="1" applyFont="1" applyFill="1" applyBorder="1" applyAlignment="1">
      <alignment horizontal="right"/>
    </xf>
    <xf numFmtId="9" fontId="16" fillId="3" borderId="7" xfId="31" applyNumberFormat="1" applyFont="1" applyFill="1" applyBorder="1" applyAlignment="1">
      <alignment horizontal="right"/>
    </xf>
    <xf numFmtId="168" fontId="18" fillId="3" borderId="0" xfId="0" applyNumberFormat="1" applyFont="1" applyFill="1" applyBorder="1"/>
    <xf numFmtId="169" fontId="41" fillId="5" borderId="7" xfId="0" applyNumberFormat="1" applyFont="1" applyFill="1" applyBorder="1" applyAlignment="1">
      <alignment horizontal="right"/>
    </xf>
    <xf numFmtId="169" fontId="16" fillId="5" borderId="7" xfId="0" applyNumberFormat="1" applyFont="1" applyFill="1" applyBorder="1"/>
    <xf numFmtId="169" fontId="29" fillId="5" borderId="7" xfId="0" applyNumberFormat="1" applyFont="1" applyFill="1" applyBorder="1"/>
    <xf numFmtId="10" fontId="16" fillId="3" borderId="7" xfId="31" applyNumberFormat="1" applyFont="1" applyFill="1" applyBorder="1"/>
    <xf numFmtId="169" fontId="49" fillId="3" borderId="7" xfId="0" applyNumberFormat="1" applyFont="1" applyFill="1" applyBorder="1" applyAlignment="1">
      <alignment horizontal="right"/>
    </xf>
    <xf numFmtId="10" fontId="16" fillId="3" borderId="7" xfId="31" applyNumberFormat="1" applyFont="1" applyFill="1" applyBorder="1" applyAlignment="1">
      <alignment horizontal="right"/>
    </xf>
    <xf numFmtId="169" fontId="18" fillId="5" borderId="9" xfId="0" applyNumberFormat="1" applyFont="1" applyFill="1" applyBorder="1" applyAlignment="1">
      <alignment horizontal="right"/>
    </xf>
    <xf numFmtId="169" fontId="47" fillId="3" borderId="0" xfId="18" applyNumberFormat="1" applyFont="1" applyFill="1" applyBorder="1" applyAlignment="1">
      <alignment horizontal="right"/>
    </xf>
    <xf numFmtId="169" fontId="18" fillId="5" borderId="0" xfId="18" applyNumberFormat="1" applyFont="1" applyFill="1" applyBorder="1" applyAlignment="1">
      <alignment horizontal="right"/>
    </xf>
    <xf numFmtId="170" fontId="18" fillId="5" borderId="0" xfId="0" applyNumberFormat="1" applyFont="1" applyFill="1" applyBorder="1"/>
    <xf numFmtId="9" fontId="31" fillId="5" borderId="6" xfId="31" applyFont="1" applyFill="1" applyBorder="1" applyAlignment="1">
      <alignment horizontal="right"/>
    </xf>
    <xf numFmtId="0" fontId="18" fillId="5" borderId="6" xfId="0" applyFont="1" applyFill="1" applyBorder="1"/>
    <xf numFmtId="169" fontId="47" fillId="5" borderId="5" xfId="0" applyNumberFormat="1" applyFont="1" applyFill="1" applyBorder="1"/>
    <xf numFmtId="169" fontId="41" fillId="5" borderId="5" xfId="0" applyNumberFormat="1" applyFont="1" applyFill="1" applyBorder="1" applyAlignment="1">
      <alignment horizontal="right"/>
    </xf>
    <xf numFmtId="169" fontId="41" fillId="5" borderId="9" xfId="0" applyNumberFormat="1" applyFont="1" applyFill="1" applyBorder="1" applyAlignment="1">
      <alignment horizontal="right"/>
    </xf>
    <xf numFmtId="170" fontId="16" fillId="5" borderId="0" xfId="31" applyNumberFormat="1" applyFont="1" applyFill="1" applyAlignment="1">
      <alignment horizontal="right"/>
    </xf>
    <xf numFmtId="169" fontId="17" fillId="5" borderId="0" xfId="0" applyNumberFormat="1" applyFont="1" applyFill="1" applyAlignment="1">
      <alignment horizontal="right"/>
    </xf>
    <xf numFmtId="169" fontId="16" fillId="5" borderId="0" xfId="0" applyNumberFormat="1" applyFont="1" applyFill="1" applyAlignment="1">
      <alignment horizontal="right"/>
    </xf>
    <xf numFmtId="169" fontId="16" fillId="5" borderId="0" xfId="0" applyNumberFormat="1" applyFont="1" applyFill="1" applyBorder="1" applyAlignment="1">
      <alignment horizontal="right"/>
    </xf>
    <xf numFmtId="1" fontId="55" fillId="0" borderId="0" xfId="0" applyNumberFormat="1" applyFont="1" applyAlignment="1">
      <alignment horizontal="right"/>
    </xf>
    <xf numFmtId="1" fontId="54" fillId="0" borderId="0" xfId="0" applyNumberFormat="1" applyFont="1" applyAlignment="1">
      <alignment horizontal="right"/>
    </xf>
    <xf numFmtId="0" fontId="50" fillId="0" borderId="0" xfId="0" applyFont="1" applyAlignment="1">
      <alignment horizontal="left" indent="1"/>
    </xf>
    <xf numFmtId="1" fontId="55" fillId="0" borderId="7" xfId="0" applyNumberFormat="1" applyFont="1" applyBorder="1" applyAlignment="1">
      <alignment horizontal="right"/>
    </xf>
    <xf numFmtId="9" fontId="50" fillId="0" borderId="7" xfId="31" applyFont="1" applyBorder="1" applyAlignment="1">
      <alignment horizontal="right"/>
    </xf>
    <xf numFmtId="1" fontId="50" fillId="0" borderId="7" xfId="0" applyNumberFormat="1" applyFont="1" applyBorder="1" applyAlignment="1">
      <alignment horizontal="right"/>
    </xf>
    <xf numFmtId="1" fontId="17" fillId="3" borderId="0" xfId="0" applyNumberFormat="1" applyFont="1" applyFill="1"/>
    <xf numFmtId="1" fontId="17" fillId="3" borderId="0" xfId="0" applyNumberFormat="1" applyFont="1" applyFill="1" applyAlignment="1">
      <alignment horizontal="right"/>
    </xf>
    <xf numFmtId="9" fontId="16" fillId="3" borderId="0" xfId="31" applyFont="1" applyFill="1"/>
    <xf numFmtId="9" fontId="16" fillId="5" borderId="0" xfId="31" applyFont="1" applyFill="1" applyBorder="1"/>
    <xf numFmtId="169" fontId="40" fillId="0" borderId="0" xfId="0" applyNumberFormat="1" applyFont="1" applyAlignment="1">
      <alignment horizontal="right"/>
    </xf>
    <xf numFmtId="169" fontId="40" fillId="0" borderId="7" xfId="0" applyNumberFormat="1" applyFont="1" applyBorder="1" applyAlignment="1">
      <alignment horizontal="right"/>
    </xf>
    <xf numFmtId="0" fontId="40" fillId="0" borderId="0" xfId="0" applyFont="1" applyAlignment="1">
      <alignment horizontal="left" indent="1"/>
    </xf>
    <xf numFmtId="0" fontId="40" fillId="0" borderId="0" xfId="0" applyFont="1" applyAlignment="1">
      <alignment horizontal="center"/>
    </xf>
    <xf numFmtId="0" fontId="40" fillId="0" borderId="0" xfId="0" applyFont="1" applyAlignment="1">
      <alignment horizontal="right"/>
    </xf>
    <xf numFmtId="9" fontId="40" fillId="0" borderId="0" xfId="31" applyFont="1" applyAlignment="1">
      <alignment horizontal="right"/>
    </xf>
    <xf numFmtId="9" fontId="40" fillId="0" borderId="7" xfId="31" applyFont="1" applyBorder="1" applyAlignment="1">
      <alignment horizontal="right"/>
    </xf>
    <xf numFmtId="169" fontId="53" fillId="0" borderId="0" xfId="0" applyNumberFormat="1" applyFont="1" applyAlignment="1">
      <alignment horizontal="right"/>
    </xf>
    <xf numFmtId="9" fontId="54" fillId="0" borderId="0" xfId="31" applyFont="1" applyAlignment="1">
      <alignment horizontal="right"/>
    </xf>
    <xf numFmtId="169" fontId="55" fillId="0" borderId="7" xfId="0" applyNumberFormat="1" applyFont="1" applyBorder="1" applyAlignment="1">
      <alignment horizontal="right"/>
    </xf>
    <xf numFmtId="0" fontId="53" fillId="0" borderId="0" xfId="0" applyFont="1" applyAlignment="1">
      <alignment horizontal="center"/>
    </xf>
    <xf numFmtId="0" fontId="52" fillId="3" borderId="0" xfId="0" applyFont="1" applyFill="1" applyBorder="1"/>
    <xf numFmtId="9" fontId="50" fillId="0" borderId="7" xfId="31" applyNumberFormat="1" applyFont="1" applyBorder="1" applyAlignment="1">
      <alignment horizontal="right"/>
    </xf>
    <xf numFmtId="9" fontId="54" fillId="0" borderId="0" xfId="0" applyNumberFormat="1" applyFont="1" applyAlignment="1">
      <alignment horizontal="right"/>
    </xf>
    <xf numFmtId="0" fontId="18" fillId="5" borderId="0" xfId="0" applyFont="1" applyFill="1" applyBorder="1" applyAlignment="1">
      <alignment horizontal="left"/>
    </xf>
    <xf numFmtId="169" fontId="16" fillId="3" borderId="9" xfId="0" applyNumberFormat="1" applyFont="1" applyFill="1" applyBorder="1"/>
    <xf numFmtId="169" fontId="16" fillId="3" borderId="5" xfId="0" applyNumberFormat="1" applyFont="1" applyFill="1" applyBorder="1"/>
    <xf numFmtId="14" fontId="18" fillId="3" borderId="0" xfId="0" applyNumberFormat="1" applyFont="1" applyFill="1"/>
    <xf numFmtId="169" fontId="29" fillId="3" borderId="7" xfId="0" applyNumberFormat="1" applyFont="1" applyFill="1" applyBorder="1" applyAlignment="1">
      <alignment horizontal="right"/>
    </xf>
    <xf numFmtId="9" fontId="16" fillId="5" borderId="0" xfId="31" applyFont="1" applyFill="1" applyAlignment="1">
      <alignment horizontal="right"/>
    </xf>
    <xf numFmtId="9" fontId="16" fillId="5" borderId="7" xfId="31" applyFont="1" applyFill="1" applyBorder="1"/>
    <xf numFmtId="9" fontId="47" fillId="3" borderId="0" xfId="31" applyFont="1" applyFill="1" applyAlignment="1">
      <alignment horizontal="right"/>
    </xf>
    <xf numFmtId="0" fontId="24" fillId="5" borderId="0" xfId="0" applyFont="1" applyFill="1" applyAlignment="1">
      <alignment horizontal="center"/>
    </xf>
    <xf numFmtId="169" fontId="18" fillId="5" borderId="0" xfId="0" applyNumberFormat="1" applyFont="1" applyFill="1"/>
    <xf numFmtId="169" fontId="18" fillId="5" borderId="0" xfId="0" applyNumberFormat="1" applyFont="1" applyFill="1" applyBorder="1"/>
    <xf numFmtId="0" fontId="24" fillId="5" borderId="5" xfId="0" applyFont="1" applyFill="1" applyBorder="1" applyAlignment="1">
      <alignment horizontal="center"/>
    </xf>
    <xf numFmtId="169" fontId="42" fillId="5" borderId="5" xfId="0" applyNumberFormat="1" applyFont="1" applyFill="1" applyBorder="1"/>
    <xf numFmtId="169" fontId="42" fillId="5" borderId="9" xfId="0" applyNumberFormat="1" applyFont="1" applyFill="1" applyBorder="1"/>
    <xf numFmtId="0" fontId="27" fillId="5" borderId="0" xfId="0" applyFont="1" applyFill="1" applyAlignment="1">
      <alignment horizontal="center"/>
    </xf>
    <xf numFmtId="200" fontId="44" fillId="3" borderId="0" xfId="19" applyNumberFormat="1" applyFont="1" applyFill="1" applyAlignment="1">
      <alignment horizontal="left"/>
    </xf>
    <xf numFmtId="170" fontId="16" fillId="5" borderId="0" xfId="31" applyNumberFormat="1" applyFont="1" applyFill="1" applyBorder="1" applyAlignment="1">
      <alignment horizontal="right"/>
    </xf>
    <xf numFmtId="169" fontId="52" fillId="5" borderId="0" xfId="0" applyNumberFormat="1" applyFont="1" applyFill="1" applyBorder="1" applyAlignment="1">
      <alignment horizontal="right"/>
    </xf>
    <xf numFmtId="0" fontId="24" fillId="5" borderId="0" xfId="0" applyFont="1" applyFill="1" applyBorder="1" applyAlignment="1">
      <alignment horizontal="center"/>
    </xf>
    <xf numFmtId="0" fontId="18" fillId="5" borderId="0" xfId="0" applyFont="1" applyFill="1" applyAlignment="1">
      <alignment horizontal="right"/>
    </xf>
    <xf numFmtId="0" fontId="50" fillId="5" borderId="0" xfId="0" applyFont="1" applyFill="1" applyAlignment="1">
      <alignment horizontal="left" indent="1"/>
    </xf>
    <xf numFmtId="0" fontId="50" fillId="5" borderId="0" xfId="0" applyFont="1" applyFill="1" applyAlignment="1">
      <alignment horizontal="center"/>
    </xf>
    <xf numFmtId="9" fontId="50" fillId="5" borderId="0" xfId="31" applyFont="1" applyFill="1" applyAlignment="1">
      <alignment horizontal="right"/>
    </xf>
    <xf numFmtId="9" fontId="50" fillId="5" borderId="7" xfId="31" applyFont="1" applyFill="1" applyBorder="1" applyAlignment="1">
      <alignment horizontal="right"/>
    </xf>
    <xf numFmtId="2" fontId="18" fillId="5" borderId="0" xfId="0" applyNumberFormat="1" applyFont="1" applyFill="1"/>
    <xf numFmtId="2" fontId="18" fillId="5" borderId="0" xfId="0" applyNumberFormat="1" applyFont="1" applyFill="1" applyBorder="1"/>
    <xf numFmtId="2" fontId="18" fillId="5" borderId="7" xfId="0" applyNumberFormat="1" applyFont="1" applyFill="1" applyBorder="1" applyAlignment="1">
      <alignment horizontal="right"/>
    </xf>
    <xf numFmtId="2" fontId="18" fillId="5" borderId="0" xfId="0" applyNumberFormat="1" applyFont="1" applyFill="1" applyBorder="1" applyAlignment="1">
      <alignment horizontal="right"/>
    </xf>
    <xf numFmtId="169" fontId="17" fillId="5" borderId="7" xfId="0" applyNumberFormat="1" applyFont="1" applyFill="1" applyBorder="1" applyAlignment="1">
      <alignment horizontal="right"/>
    </xf>
    <xf numFmtId="0" fontId="16" fillId="5" borderId="0" xfId="0" applyFont="1" applyFill="1" applyBorder="1" applyAlignment="1">
      <alignment horizontal="center"/>
    </xf>
    <xf numFmtId="170" fontId="16" fillId="5" borderId="7" xfId="31" applyNumberFormat="1" applyFont="1" applyFill="1" applyBorder="1" applyAlignment="1">
      <alignment horizontal="right"/>
    </xf>
    <xf numFmtId="200" fontId="20" fillId="3" borderId="0" xfId="19" applyNumberFormat="1" applyFont="1" applyFill="1" applyAlignment="1">
      <alignment horizontal="left"/>
    </xf>
    <xf numFmtId="9" fontId="18" fillId="0" borderId="0" xfId="31" applyNumberFormat="1" applyFont="1"/>
    <xf numFmtId="1" fontId="18" fillId="0" borderId="0" xfId="0" applyNumberFormat="1" applyFont="1"/>
    <xf numFmtId="0" fontId="18" fillId="3" borderId="0" xfId="28" applyFont="1" applyFill="1" applyAlignment="1">
      <alignment horizontal="left" indent="1"/>
    </xf>
    <xf numFmtId="0" fontId="17" fillId="3" borderId="0" xfId="28" applyFont="1" applyFill="1"/>
    <xf numFmtId="0" fontId="17" fillId="3" borderId="0" xfId="28" applyFont="1" applyFill="1" applyAlignment="1">
      <alignment horizontal="center"/>
    </xf>
    <xf numFmtId="3" fontId="17" fillId="0" borderId="0" xfId="25" applyNumberFormat="1" applyFont="1"/>
    <xf numFmtId="169" fontId="18" fillId="0" borderId="5" xfId="0" applyNumberFormat="1" applyFont="1" applyBorder="1"/>
    <xf numFmtId="9" fontId="50" fillId="0" borderId="0" xfId="31" applyNumberFormat="1" applyFont="1" applyBorder="1" applyAlignment="1">
      <alignment horizontal="right"/>
    </xf>
    <xf numFmtId="0" fontId="50" fillId="0" borderId="0" xfId="0" applyFont="1" applyAlignment="1">
      <alignment horizontal="left"/>
    </xf>
    <xf numFmtId="170" fontId="50" fillId="0" borderId="0" xfId="31" applyNumberFormat="1" applyFont="1" applyAlignment="1">
      <alignment horizontal="right"/>
    </xf>
    <xf numFmtId="9" fontId="47" fillId="3" borderId="0" xfId="31" applyNumberFormat="1" applyFont="1" applyFill="1" applyAlignment="1">
      <alignment horizontal="right"/>
    </xf>
    <xf numFmtId="169" fontId="55" fillId="0" borderId="0" xfId="0" applyNumberFormat="1" applyFont="1" applyAlignment="1">
      <alignment horizontal="right"/>
    </xf>
    <xf numFmtId="9" fontId="54" fillId="0" borderId="0" xfId="31" applyNumberFormat="1" applyFont="1" applyAlignment="1">
      <alignment horizontal="right"/>
    </xf>
    <xf numFmtId="1" fontId="50" fillId="0" borderId="0" xfId="0" applyNumberFormat="1" applyFont="1" applyAlignment="1">
      <alignment horizontal="right"/>
    </xf>
    <xf numFmtId="0" fontId="56" fillId="3" borderId="0" xfId="0" applyFont="1" applyFill="1"/>
    <xf numFmtId="0" fontId="53" fillId="6" borderId="0" xfId="0" applyFont="1" applyFill="1" applyAlignment="1">
      <alignment horizontal="center"/>
    </xf>
    <xf numFmtId="169" fontId="17" fillId="6" borderId="0" xfId="0" applyNumberFormat="1" applyFont="1" applyFill="1" applyAlignment="1">
      <alignment horizontal="right"/>
    </xf>
    <xf numFmtId="9" fontId="35" fillId="6" borderId="0" xfId="31" applyFont="1" applyFill="1" applyAlignment="1">
      <alignment horizontal="right"/>
    </xf>
    <xf numFmtId="0" fontId="17" fillId="6" borderId="0" xfId="0" applyFont="1" applyFill="1" applyAlignment="1">
      <alignment horizontal="left"/>
    </xf>
    <xf numFmtId="0" fontId="17" fillId="6" borderId="0" xfId="0" applyFont="1" applyFill="1" applyAlignment="1">
      <alignment horizontal="center"/>
    </xf>
    <xf numFmtId="169" fontId="49" fillId="6" borderId="7" xfId="0" applyNumberFormat="1" applyFont="1" applyFill="1" applyBorder="1" applyAlignment="1">
      <alignment horizontal="right"/>
    </xf>
    <xf numFmtId="169" fontId="16" fillId="5" borderId="5" xfId="0" applyNumberFormat="1" applyFont="1" applyFill="1" applyBorder="1"/>
    <xf numFmtId="0" fontId="17" fillId="3" borderId="5" xfId="0" applyFont="1" applyFill="1" applyBorder="1"/>
    <xf numFmtId="0" fontId="17" fillId="3" borderId="5" xfId="0" applyFont="1" applyFill="1" applyBorder="1" applyAlignment="1">
      <alignment horizontal="center"/>
    </xf>
    <xf numFmtId="0" fontId="18" fillId="0" borderId="5" xfId="28" applyFont="1" applyFill="1" applyBorder="1"/>
    <xf numFmtId="0" fontId="18" fillId="0" borderId="5" xfId="28" applyFont="1" applyFill="1" applyBorder="1" applyAlignment="1">
      <alignment horizontal="center"/>
    </xf>
    <xf numFmtId="9" fontId="18" fillId="0" borderId="5" xfId="25" applyNumberFormat="1" applyFont="1" applyBorder="1"/>
    <xf numFmtId="0" fontId="18" fillId="3" borderId="0" xfId="28" applyFont="1" applyFill="1" applyBorder="1"/>
    <xf numFmtId="0" fontId="18" fillId="3" borderId="0" xfId="28" applyFont="1" applyFill="1" applyBorder="1" applyAlignment="1">
      <alignment horizontal="center"/>
    </xf>
    <xf numFmtId="9" fontId="18" fillId="0" borderId="0" xfId="25" applyNumberFormat="1" applyFont="1" applyBorder="1"/>
    <xf numFmtId="0" fontId="18" fillId="0" borderId="0" xfId="0" applyFont="1" applyBorder="1"/>
    <xf numFmtId="0" fontId="16" fillId="3" borderId="0" xfId="0" applyFont="1" applyFill="1" applyAlignment="1">
      <alignment horizontal="right"/>
    </xf>
    <xf numFmtId="0" fontId="16" fillId="3" borderId="5" xfId="0" applyFont="1" applyFill="1" applyBorder="1" applyAlignment="1">
      <alignment horizontal="center"/>
    </xf>
    <xf numFmtId="169" fontId="17" fillId="3" borderId="0" xfId="0" applyNumberFormat="1" applyFont="1" applyFill="1" applyBorder="1"/>
    <xf numFmtId="9" fontId="16" fillId="3" borderId="0" xfId="31" applyFont="1" applyFill="1" applyBorder="1" applyAlignment="1">
      <alignment horizontal="right"/>
    </xf>
    <xf numFmtId="9" fontId="16" fillId="3" borderId="7" xfId="31" applyFont="1" applyFill="1" applyBorder="1" applyAlignment="1">
      <alignment horizontal="right"/>
    </xf>
    <xf numFmtId="169" fontId="16" fillId="5" borderId="7" xfId="0" applyNumberFormat="1" applyFont="1" applyFill="1" applyBorder="1" applyAlignment="1">
      <alignment horizontal="right"/>
    </xf>
    <xf numFmtId="169" fontId="16" fillId="3" borderId="5" xfId="18" applyNumberFormat="1" applyFont="1" applyFill="1" applyBorder="1" applyAlignment="1">
      <alignment horizontal="right"/>
    </xf>
    <xf numFmtId="169" fontId="17" fillId="3" borderId="0" xfId="18" applyNumberFormat="1" applyFont="1" applyFill="1" applyBorder="1" applyAlignment="1">
      <alignment horizontal="right"/>
    </xf>
    <xf numFmtId="0" fontId="17" fillId="0" borderId="0" xfId="0" applyFont="1" applyFill="1"/>
    <xf numFmtId="1" fontId="21" fillId="3" borderId="4" xfId="0" applyNumberFormat="1" applyFont="1" applyFill="1" applyBorder="1" applyAlignment="1">
      <alignment horizontal="right" wrapText="1"/>
    </xf>
    <xf numFmtId="9" fontId="16" fillId="6" borderId="0" xfId="31" applyNumberFormat="1" applyFont="1" applyFill="1" applyBorder="1" applyAlignment="1">
      <alignment horizontal="right"/>
    </xf>
    <xf numFmtId="170" fontId="50" fillId="0" borderId="0" xfId="31" applyNumberFormat="1" applyFont="1" applyBorder="1" applyAlignment="1">
      <alignment horizontal="right"/>
    </xf>
    <xf numFmtId="170" fontId="50" fillId="0" borderId="7" xfId="31" applyNumberFormat="1" applyFont="1" applyBorder="1" applyAlignment="1">
      <alignment horizontal="right"/>
    </xf>
    <xf numFmtId="169" fontId="21" fillId="5" borderId="0" xfId="0" applyNumberFormat="1" applyFont="1" applyFill="1"/>
    <xf numFmtId="0" fontId="18" fillId="5" borderId="0" xfId="25" applyFont="1" applyFill="1"/>
    <xf numFmtId="0" fontId="18" fillId="5" borderId="0" xfId="0" applyFont="1" applyFill="1" applyAlignment="1">
      <alignment horizontal="left" indent="1"/>
    </xf>
    <xf numFmtId="0" fontId="18" fillId="5" borderId="0" xfId="0" applyFont="1" applyFill="1" applyAlignment="1">
      <alignment horizontal="center"/>
    </xf>
    <xf numFmtId="170" fontId="18" fillId="5" borderId="0" xfId="31" applyNumberFormat="1" applyFont="1" applyFill="1"/>
    <xf numFmtId="169" fontId="21" fillId="5" borderId="0" xfId="26" applyNumberFormat="1" applyFont="1" applyFill="1" applyBorder="1"/>
    <xf numFmtId="0" fontId="27" fillId="5" borderId="0" xfId="26" applyFont="1" applyFill="1" applyBorder="1" applyAlignment="1">
      <alignment horizontal="center"/>
    </xf>
    <xf numFmtId="171" fontId="21" fillId="5" borderId="0" xfId="25" applyNumberFormat="1" applyFont="1" applyFill="1"/>
    <xf numFmtId="0" fontId="18" fillId="5" borderId="0" xfId="25" applyFont="1" applyFill="1" applyAlignment="1">
      <alignment horizontal="center"/>
    </xf>
    <xf numFmtId="9" fontId="18" fillId="5" borderId="0" xfId="31" applyFont="1" applyFill="1"/>
    <xf numFmtId="0" fontId="21" fillId="0" borderId="0" xfId="0" applyFont="1" applyFill="1" applyAlignment="1">
      <alignment horizontal="center"/>
    </xf>
    <xf numFmtId="169" fontId="18" fillId="5" borderId="3" xfId="0" applyNumberFormat="1" applyFont="1" applyFill="1" applyBorder="1" applyAlignment="1">
      <alignment horizontal="right"/>
    </xf>
    <xf numFmtId="169" fontId="29" fillId="3" borderId="0" xfId="0" applyNumberFormat="1" applyFont="1" applyFill="1" applyBorder="1" applyAlignment="1">
      <alignment horizontal="right"/>
    </xf>
    <xf numFmtId="191" fontId="24" fillId="3" borderId="7" xfId="0" applyNumberFormat="1" applyFont="1" applyFill="1" applyBorder="1" applyAlignment="1">
      <alignment horizontal="right"/>
    </xf>
    <xf numFmtId="169" fontId="40" fillId="0" borderId="0" xfId="0" applyNumberFormat="1" applyFont="1" applyBorder="1" applyAlignment="1">
      <alignment horizontal="right"/>
    </xf>
    <xf numFmtId="9" fontId="50" fillId="0" borderId="0" xfId="31" applyFont="1" applyBorder="1" applyAlignment="1">
      <alignment horizontal="right"/>
    </xf>
    <xf numFmtId="9" fontId="40" fillId="0" borderId="0" xfId="31" applyFont="1" applyBorder="1" applyAlignment="1">
      <alignment horizontal="right"/>
    </xf>
    <xf numFmtId="1" fontId="55" fillId="0" borderId="0" xfId="0" applyNumberFormat="1" applyFont="1" applyBorder="1" applyAlignment="1">
      <alignment horizontal="right"/>
    </xf>
    <xf numFmtId="1" fontId="50" fillId="0" borderId="0" xfId="0" applyNumberFormat="1" applyFont="1" applyBorder="1" applyAlignment="1">
      <alignment horizontal="right"/>
    </xf>
    <xf numFmtId="169" fontId="55" fillId="0" borderId="0" xfId="0" applyNumberFormat="1" applyFont="1" applyBorder="1" applyAlignment="1">
      <alignment horizontal="right"/>
    </xf>
    <xf numFmtId="169" fontId="49" fillId="6" borderId="0" xfId="0" applyNumberFormat="1" applyFont="1" applyFill="1" applyBorder="1" applyAlignment="1">
      <alignment horizontal="right"/>
    </xf>
    <xf numFmtId="9" fontId="50" fillId="5" borderId="0" xfId="31" applyFont="1" applyFill="1" applyBorder="1" applyAlignment="1">
      <alignment horizontal="right"/>
    </xf>
    <xf numFmtId="10" fontId="16" fillId="3" borderId="0" xfId="31" applyNumberFormat="1" applyFont="1" applyFill="1" applyBorder="1" applyAlignment="1">
      <alignment horizontal="right"/>
    </xf>
    <xf numFmtId="1" fontId="51" fillId="0" borderId="7" xfId="0" applyNumberFormat="1" applyFont="1" applyBorder="1" applyAlignment="1">
      <alignment horizontal="right"/>
    </xf>
    <xf numFmtId="170" fontId="47" fillId="3" borderId="7" xfId="31" applyNumberFormat="1" applyFont="1" applyFill="1" applyBorder="1" applyAlignment="1">
      <alignment horizontal="right"/>
    </xf>
    <xf numFmtId="9" fontId="54" fillId="0" borderId="7" xfId="31" applyFont="1" applyBorder="1" applyAlignment="1">
      <alignment horizontal="right"/>
    </xf>
    <xf numFmtId="9" fontId="54" fillId="0" borderId="7" xfId="0" applyNumberFormat="1" applyFont="1" applyBorder="1" applyAlignment="1">
      <alignment horizontal="right"/>
    </xf>
    <xf numFmtId="169" fontId="17" fillId="3" borderId="7" xfId="0" applyNumberFormat="1" applyFont="1" applyFill="1" applyBorder="1"/>
    <xf numFmtId="169" fontId="18" fillId="3" borderId="9" xfId="0" applyNumberFormat="1" applyFont="1" applyFill="1" applyBorder="1"/>
    <xf numFmtId="4" fontId="21" fillId="5" borderId="0" xfId="25" applyNumberFormat="1" applyFont="1" applyFill="1"/>
    <xf numFmtId="165" fontId="16" fillId="3" borderId="0" xfId="0" applyNumberFormat="1" applyFont="1" applyFill="1"/>
    <xf numFmtId="169" fontId="47" fillId="0" borderId="0" xfId="0" applyNumberFormat="1" applyFont="1" applyFill="1" applyAlignment="1">
      <alignment horizontal="right"/>
    </xf>
    <xf numFmtId="0" fontId="21" fillId="6" borderId="5" xfId="0" applyFont="1" applyFill="1" applyBorder="1" applyAlignment="1" applyProtection="1">
      <alignment horizontal="left"/>
    </xf>
    <xf numFmtId="0" fontId="21" fillId="6" borderId="5" xfId="0" applyFont="1" applyFill="1" applyBorder="1" applyAlignment="1" applyProtection="1">
      <alignment horizontal="center"/>
    </xf>
    <xf numFmtId="169" fontId="21" fillId="6" borderId="5" xfId="0" applyNumberFormat="1" applyFont="1" applyFill="1" applyBorder="1" applyAlignment="1">
      <alignment horizontal="right"/>
    </xf>
    <xf numFmtId="169" fontId="21" fillId="6" borderId="9" xfId="0" applyNumberFormat="1" applyFont="1" applyFill="1" applyBorder="1" applyAlignment="1">
      <alignment horizontal="right"/>
    </xf>
    <xf numFmtId="170" fontId="18" fillId="3" borderId="7" xfId="31" applyNumberFormat="1" applyFont="1" applyFill="1" applyBorder="1"/>
    <xf numFmtId="177" fontId="18" fillId="3" borderId="0" xfId="0" applyNumberFormat="1" applyFont="1" applyFill="1"/>
    <xf numFmtId="0" fontId="22" fillId="3" borderId="0" xfId="0" applyFont="1" applyFill="1" applyAlignment="1">
      <alignment horizontal="center"/>
    </xf>
    <xf numFmtId="0" fontId="31" fillId="3" borderId="0" xfId="0" applyFont="1" applyFill="1" applyAlignment="1">
      <alignment horizontal="center"/>
    </xf>
    <xf numFmtId="0" fontId="31" fillId="3" borderId="0" xfId="0" applyFont="1" applyFill="1" applyAlignment="1">
      <alignment horizontal="right"/>
    </xf>
    <xf numFmtId="0" fontId="35" fillId="3" borderId="0" xfId="0" applyFont="1" applyFill="1" applyAlignment="1">
      <alignment horizontal="right"/>
    </xf>
    <xf numFmtId="0" fontId="57" fillId="3" borderId="0" xfId="0" applyFont="1" applyFill="1" applyAlignment="1">
      <alignment horizontal="right"/>
    </xf>
    <xf numFmtId="0" fontId="31" fillId="5" borderId="0" xfId="0" applyFont="1" applyFill="1" applyAlignment="1">
      <alignment horizontal="right"/>
    </xf>
    <xf numFmtId="0" fontId="31" fillId="3" borderId="6" xfId="0" applyFont="1" applyFill="1" applyBorder="1" applyAlignment="1">
      <alignment horizontal="right"/>
    </xf>
    <xf numFmtId="175" fontId="17" fillId="6" borderId="0" xfId="0" applyNumberFormat="1" applyFont="1" applyFill="1"/>
    <xf numFmtId="170" fontId="54" fillId="0" borderId="0" xfId="31" applyNumberFormat="1" applyFont="1" applyAlignment="1">
      <alignment horizontal="right"/>
    </xf>
    <xf numFmtId="169" fontId="24" fillId="3" borderId="0" xfId="0" applyNumberFormat="1" applyFont="1" applyFill="1"/>
    <xf numFmtId="165" fontId="18" fillId="3" borderId="0" xfId="0" applyNumberFormat="1" applyFont="1" applyFill="1"/>
    <xf numFmtId="1" fontId="51" fillId="0" borderId="0" xfId="0" applyNumberFormat="1" applyFont="1" applyBorder="1" applyAlignment="1">
      <alignment horizontal="right"/>
    </xf>
    <xf numFmtId="170" fontId="47" fillId="3" borderId="0" xfId="31" applyNumberFormat="1" applyFont="1" applyFill="1" applyBorder="1" applyAlignment="1">
      <alignment horizontal="right"/>
    </xf>
    <xf numFmtId="1" fontId="54" fillId="0" borderId="0" xfId="0" applyNumberFormat="1" applyFont="1" applyBorder="1" applyAlignment="1">
      <alignment horizontal="right"/>
    </xf>
    <xf numFmtId="169" fontId="53" fillId="0" borderId="0" xfId="0" applyNumberFormat="1" applyFont="1" applyBorder="1" applyAlignment="1">
      <alignment horizontal="right"/>
    </xf>
    <xf numFmtId="9" fontId="54" fillId="0" borderId="0" xfId="31" applyFont="1" applyBorder="1" applyAlignment="1">
      <alignment horizontal="right"/>
    </xf>
    <xf numFmtId="9" fontId="54" fillId="0" borderId="0" xfId="0" applyNumberFormat="1" applyFont="1" applyBorder="1" applyAlignment="1">
      <alignment horizontal="right"/>
    </xf>
    <xf numFmtId="169" fontId="21" fillId="5" borderId="7" xfId="0" applyNumberFormat="1" applyFont="1" applyFill="1" applyBorder="1" applyAlignment="1">
      <alignment horizontal="right"/>
    </xf>
    <xf numFmtId="0" fontId="18" fillId="5" borderId="7" xfId="0" applyFont="1" applyFill="1" applyBorder="1" applyAlignment="1">
      <alignment horizontal="right"/>
    </xf>
    <xf numFmtId="0" fontId="32" fillId="3" borderId="6" xfId="0" applyFont="1" applyFill="1" applyBorder="1" applyAlignment="1">
      <alignment horizontal="right"/>
    </xf>
    <xf numFmtId="170" fontId="18" fillId="5" borderId="7" xfId="31" applyNumberFormat="1" applyFont="1" applyFill="1" applyBorder="1"/>
    <xf numFmtId="0" fontId="18" fillId="5" borderId="0" xfId="0" quotePrefix="1" applyFont="1" applyFill="1"/>
    <xf numFmtId="169" fontId="18" fillId="5" borderId="0" xfId="25" applyNumberFormat="1" applyFont="1" applyFill="1"/>
    <xf numFmtId="0" fontId="18" fillId="5" borderId="5" xfId="25" applyFont="1" applyFill="1" applyBorder="1" applyAlignment="1">
      <alignment horizontal="center"/>
    </xf>
    <xf numFmtId="169" fontId="18" fillId="5" borderId="5" xfId="0" applyNumberFormat="1" applyFont="1" applyFill="1" applyBorder="1"/>
    <xf numFmtId="0" fontId="17" fillId="5" borderId="0" xfId="28" applyFont="1" applyFill="1"/>
    <xf numFmtId="0" fontId="17" fillId="5" borderId="0" xfId="28" applyFont="1" applyFill="1" applyAlignment="1">
      <alignment horizontal="center"/>
    </xf>
    <xf numFmtId="3" fontId="17" fillId="5" borderId="0" xfId="25" applyNumberFormat="1" applyFont="1" applyFill="1"/>
    <xf numFmtId="0" fontId="46" fillId="7" borderId="0" xfId="0" applyFont="1" applyFill="1"/>
    <xf numFmtId="0" fontId="45" fillId="7" borderId="0" xfId="0" applyFont="1" applyFill="1" applyAlignment="1">
      <alignment horizontal="center"/>
    </xf>
    <xf numFmtId="0" fontId="45" fillId="7" borderId="0" xfId="0" applyFont="1" applyFill="1"/>
    <xf numFmtId="0" fontId="45" fillId="7" borderId="0" xfId="0" applyFont="1" applyFill="1" applyBorder="1"/>
    <xf numFmtId="0" fontId="45" fillId="7" borderId="0" xfId="0" applyFont="1" applyFill="1" applyBorder="1" applyAlignment="1">
      <alignment horizontal="right"/>
    </xf>
    <xf numFmtId="0" fontId="45" fillId="7" borderId="7" xfId="0" applyFont="1" applyFill="1" applyBorder="1" applyAlignment="1">
      <alignment horizontal="right"/>
    </xf>
    <xf numFmtId="9" fontId="48" fillId="7" borderId="0" xfId="31" applyFont="1" applyFill="1" applyBorder="1" applyAlignment="1">
      <alignment horizontal="right"/>
    </xf>
    <xf numFmtId="200" fontId="46" fillId="7" borderId="0" xfId="19" applyNumberFormat="1" applyFont="1" applyFill="1" applyAlignment="1">
      <alignment horizontal="left"/>
    </xf>
    <xf numFmtId="0" fontId="46" fillId="7" borderId="5" xfId="0" applyFont="1" applyFill="1" applyBorder="1" applyAlignment="1">
      <alignment horizontal="center"/>
    </xf>
    <xf numFmtId="0" fontId="46" fillId="7" borderId="5" xfId="0" applyFont="1" applyFill="1" applyBorder="1" applyAlignment="1">
      <alignment horizontal="right"/>
    </xf>
    <xf numFmtId="0" fontId="46" fillId="7" borderId="9" xfId="0" applyFont="1" applyFill="1" applyBorder="1" applyAlignment="1">
      <alignment horizontal="right"/>
    </xf>
    <xf numFmtId="9" fontId="48" fillId="7" borderId="5" xfId="31" applyFont="1" applyFill="1" applyBorder="1" applyAlignment="1">
      <alignment horizontal="right"/>
    </xf>
    <xf numFmtId="0" fontId="19" fillId="8" borderId="0" xfId="0" applyFont="1" applyFill="1" applyAlignment="1">
      <alignment horizontal="left"/>
    </xf>
    <xf numFmtId="0" fontId="16" fillId="8" borderId="0" xfId="0" applyFont="1" applyFill="1" applyAlignment="1">
      <alignment horizontal="center"/>
    </xf>
    <xf numFmtId="0" fontId="16" fillId="8" borderId="0" xfId="0" applyFont="1" applyFill="1"/>
    <xf numFmtId="0" fontId="16" fillId="8" borderId="0" xfId="0" applyFont="1" applyFill="1" applyBorder="1"/>
    <xf numFmtId="0" fontId="16" fillId="8" borderId="0" xfId="0" applyFont="1" applyFill="1" applyBorder="1" applyAlignment="1">
      <alignment horizontal="right"/>
    </xf>
    <xf numFmtId="0" fontId="16" fillId="8" borderId="7" xfId="0" applyFont="1" applyFill="1" applyBorder="1" applyAlignment="1">
      <alignment horizontal="right"/>
    </xf>
    <xf numFmtId="0" fontId="16" fillId="8" borderId="0" xfId="0" applyFont="1" applyFill="1" applyAlignment="1">
      <alignment horizontal="right"/>
    </xf>
    <xf numFmtId="9" fontId="31" fillId="8" borderId="0" xfId="31" applyFont="1" applyFill="1" applyAlignment="1">
      <alignment horizontal="right"/>
    </xf>
    <xf numFmtId="0" fontId="58" fillId="3" borderId="0" xfId="0" applyFont="1" applyFill="1"/>
    <xf numFmtId="0" fontId="18" fillId="5" borderId="0" xfId="0" applyFont="1" applyFill="1" applyBorder="1" applyAlignment="1">
      <alignment horizontal="right"/>
    </xf>
    <xf numFmtId="0" fontId="17" fillId="9" borderId="0" xfId="0" quotePrefix="1" applyFont="1" applyFill="1"/>
    <xf numFmtId="0" fontId="17" fillId="9" borderId="0" xfId="0" applyFont="1" applyFill="1" applyAlignment="1">
      <alignment horizontal="center"/>
    </xf>
    <xf numFmtId="169" fontId="17" fillId="9" borderId="0" xfId="18" applyNumberFormat="1" applyFont="1" applyFill="1" applyBorder="1" applyAlignment="1">
      <alignment horizontal="right"/>
    </xf>
    <xf numFmtId="169" fontId="17" fillId="9" borderId="7" xfId="18" applyNumberFormat="1" applyFont="1" applyFill="1" applyBorder="1" applyAlignment="1">
      <alignment horizontal="right"/>
    </xf>
    <xf numFmtId="0" fontId="21" fillId="9" borderId="0" xfId="0" applyFont="1" applyFill="1" applyBorder="1"/>
    <xf numFmtId="0" fontId="21" fillId="9" borderId="0" xfId="0" applyFont="1" applyFill="1" applyBorder="1" applyAlignment="1">
      <alignment horizontal="center"/>
    </xf>
    <xf numFmtId="169" fontId="21" fillId="9" borderId="0" xfId="18" applyNumberFormat="1" applyFont="1" applyFill="1" applyBorder="1" applyAlignment="1">
      <alignment horizontal="right"/>
    </xf>
    <xf numFmtId="169" fontId="21" fillId="9" borderId="7" xfId="18" applyNumberFormat="1" applyFont="1" applyFill="1" applyBorder="1" applyAlignment="1">
      <alignment horizontal="right"/>
    </xf>
    <xf numFmtId="9" fontId="21" fillId="9" borderId="0" xfId="31" applyFont="1" applyFill="1" applyBorder="1" applyAlignment="1">
      <alignment horizontal="left"/>
    </xf>
    <xf numFmtId="169" fontId="21" fillId="9" borderId="0" xfId="31" applyNumberFormat="1" applyFont="1" applyFill="1" applyBorder="1" applyAlignment="1">
      <alignment horizontal="right"/>
    </xf>
    <xf numFmtId="169" fontId="21" fillId="9" borderId="7" xfId="31" applyNumberFormat="1" applyFont="1" applyFill="1" applyBorder="1" applyAlignment="1">
      <alignment horizontal="right"/>
    </xf>
    <xf numFmtId="169" fontId="21" fillId="9" borderId="0" xfId="0" applyNumberFormat="1" applyFont="1" applyFill="1" applyBorder="1"/>
    <xf numFmtId="0" fontId="27" fillId="9" borderId="0" xfId="0" applyFont="1" applyFill="1" applyBorder="1" applyAlignment="1">
      <alignment horizontal="center"/>
    </xf>
    <xf numFmtId="176" fontId="21" fillId="9" borderId="0" xfId="18" applyNumberFormat="1" applyFont="1" applyFill="1" applyBorder="1" applyAlignment="1">
      <alignment horizontal="right"/>
    </xf>
    <xf numFmtId="176" fontId="21" fillId="9" borderId="7" xfId="18" applyNumberFormat="1" applyFont="1" applyFill="1" applyBorder="1" applyAlignment="1">
      <alignment horizontal="right"/>
    </xf>
    <xf numFmtId="169" fontId="49" fillId="9" borderId="0" xfId="0" applyNumberFormat="1" applyFont="1" applyFill="1" applyAlignment="1">
      <alignment horizontal="right"/>
    </xf>
    <xf numFmtId="169" fontId="17" fillId="9" borderId="0" xfId="0" applyNumberFormat="1" applyFont="1" applyFill="1" applyAlignment="1">
      <alignment horizontal="right"/>
    </xf>
    <xf numFmtId="169" fontId="49" fillId="9" borderId="0" xfId="0" applyNumberFormat="1" applyFont="1" applyFill="1" applyBorder="1" applyAlignment="1">
      <alignment horizontal="right"/>
    </xf>
    <xf numFmtId="169" fontId="21" fillId="9" borderId="0" xfId="0" applyNumberFormat="1" applyFont="1" applyFill="1" applyBorder="1" applyAlignment="1">
      <alignment horizontal="right"/>
    </xf>
    <xf numFmtId="176" fontId="27" fillId="9" borderId="0" xfId="0" applyNumberFormat="1" applyFont="1" applyFill="1" applyBorder="1" applyAlignment="1">
      <alignment horizontal="right"/>
    </xf>
    <xf numFmtId="9" fontId="17" fillId="9" borderId="0" xfId="31" applyFont="1" applyFill="1" applyAlignment="1">
      <alignment horizontal="right"/>
    </xf>
    <xf numFmtId="9" fontId="18" fillId="3" borderId="7" xfId="31" applyFont="1" applyFill="1" applyBorder="1"/>
    <xf numFmtId="169" fontId="17" fillId="9" borderId="0" xfId="0" applyNumberFormat="1" applyFont="1" applyFill="1" applyBorder="1" applyAlignment="1" applyProtection="1">
      <alignment horizontal="left"/>
    </xf>
    <xf numFmtId="0" fontId="17" fillId="9" borderId="0" xfId="0" applyFont="1" applyFill="1" applyBorder="1" applyAlignment="1">
      <alignment horizontal="center"/>
    </xf>
    <xf numFmtId="169" fontId="17" fillId="9" borderId="0" xfId="0" applyNumberFormat="1" applyFont="1" applyFill="1" applyBorder="1" applyAlignment="1">
      <alignment horizontal="right"/>
    </xf>
    <xf numFmtId="169" fontId="17" fillId="9" borderId="7" xfId="0" applyNumberFormat="1" applyFont="1" applyFill="1" applyBorder="1" applyAlignment="1">
      <alignment horizontal="right"/>
    </xf>
    <xf numFmtId="0" fontId="17" fillId="9" borderId="0" xfId="25" applyFont="1" applyFill="1" applyAlignment="1">
      <alignment horizontal="center"/>
    </xf>
    <xf numFmtId="169" fontId="17" fillId="9" borderId="0" xfId="25" applyNumberFormat="1" applyFont="1" applyFill="1"/>
    <xf numFmtId="49" fontId="21" fillId="9" borderId="0" xfId="25" applyNumberFormat="1" applyFont="1" applyFill="1"/>
    <xf numFmtId="0" fontId="21" fillId="9" borderId="0" xfId="25" applyFont="1" applyFill="1" applyAlignment="1">
      <alignment horizontal="center"/>
    </xf>
    <xf numFmtId="169" fontId="21" fillId="9" borderId="0" xfId="25" applyNumberFormat="1" applyFont="1" applyFill="1"/>
    <xf numFmtId="0" fontId="17" fillId="9" borderId="0" xfId="28" applyFont="1" applyFill="1"/>
    <xf numFmtId="0" fontId="17" fillId="9" borderId="0" xfId="28" applyFont="1" applyFill="1" applyAlignment="1">
      <alignment horizontal="center"/>
    </xf>
    <xf numFmtId="3" fontId="17" fillId="9" borderId="0" xfId="25" applyNumberFormat="1" applyFont="1" applyFill="1"/>
    <xf numFmtId="0" fontId="21" fillId="0" borderId="15" xfId="25" applyFont="1" applyBorder="1" applyAlignment="1">
      <alignment horizontal="right"/>
    </xf>
    <xf numFmtId="169" fontId="18" fillId="0" borderId="7" xfId="25" applyNumberFormat="1" applyFont="1" applyBorder="1"/>
    <xf numFmtId="169" fontId="18" fillId="5" borderId="7" xfId="25" applyNumberFormat="1" applyFont="1" applyFill="1" applyBorder="1"/>
    <xf numFmtId="169" fontId="18" fillId="0" borderId="9" xfId="25" applyNumberFormat="1" applyFont="1" applyBorder="1"/>
    <xf numFmtId="169" fontId="17" fillId="9" borderId="7" xfId="25" applyNumberFormat="1" applyFont="1" applyFill="1" applyBorder="1"/>
    <xf numFmtId="170" fontId="18" fillId="0" borderId="7" xfId="31" applyNumberFormat="1" applyFont="1" applyBorder="1"/>
    <xf numFmtId="169" fontId="21" fillId="0" borderId="7" xfId="25" applyNumberFormat="1" applyFont="1" applyBorder="1"/>
    <xf numFmtId="0" fontId="18" fillId="0" borderId="7" xfId="0" applyFont="1" applyBorder="1"/>
    <xf numFmtId="9" fontId="18" fillId="0" borderId="7" xfId="31" applyFont="1" applyBorder="1"/>
    <xf numFmtId="169" fontId="18" fillId="0" borderId="7" xfId="0" applyNumberFormat="1" applyFont="1" applyBorder="1"/>
    <xf numFmtId="169" fontId="18" fillId="5" borderId="9" xfId="0" applyNumberFormat="1" applyFont="1" applyFill="1" applyBorder="1"/>
    <xf numFmtId="169" fontId="21" fillId="9" borderId="7" xfId="25" applyNumberFormat="1" applyFont="1" applyFill="1" applyBorder="1"/>
    <xf numFmtId="171" fontId="16" fillId="0" borderId="7" xfId="25" applyNumberFormat="1" applyFont="1" applyBorder="1"/>
    <xf numFmtId="171" fontId="18" fillId="0" borderId="7" xfId="25" applyNumberFormat="1" applyFont="1" applyBorder="1"/>
    <xf numFmtId="171" fontId="21" fillId="0" borderId="7" xfId="25" applyNumberFormat="1" applyFont="1" applyBorder="1"/>
    <xf numFmtId="169" fontId="21" fillId="0" borderId="7" xfId="0" applyNumberFormat="1" applyFont="1" applyBorder="1"/>
    <xf numFmtId="169" fontId="21" fillId="5" borderId="7" xfId="0" applyNumberFormat="1" applyFont="1" applyFill="1" applyBorder="1"/>
    <xf numFmtId="4" fontId="21" fillId="5" borderId="7" xfId="25" applyNumberFormat="1" applyFont="1" applyFill="1" applyBorder="1"/>
    <xf numFmtId="9" fontId="18" fillId="5" borderId="7" xfId="31" applyFont="1" applyFill="1" applyBorder="1"/>
    <xf numFmtId="1" fontId="18" fillId="0" borderId="7" xfId="0" applyNumberFormat="1" applyFont="1" applyBorder="1"/>
    <xf numFmtId="0" fontId="18" fillId="0" borderId="7" xfId="25" applyFont="1" applyBorder="1"/>
    <xf numFmtId="3" fontId="17" fillId="9" borderId="7" xfId="25" applyNumberFormat="1" applyFont="1" applyFill="1" applyBorder="1"/>
    <xf numFmtId="3" fontId="18" fillId="0" borderId="7" xfId="25" applyNumberFormat="1" applyFont="1" applyBorder="1"/>
    <xf numFmtId="3" fontId="17" fillId="0" borderId="7" xfId="25" applyNumberFormat="1" applyFont="1" applyBorder="1"/>
    <xf numFmtId="3" fontId="17" fillId="5" borderId="7" xfId="25" applyNumberFormat="1" applyFont="1" applyFill="1" applyBorder="1"/>
    <xf numFmtId="4" fontId="18" fillId="0" borderId="7" xfId="25" applyNumberFormat="1" applyFont="1" applyBorder="1"/>
    <xf numFmtId="9" fontId="18" fillId="0" borderId="7" xfId="25" applyNumberFormat="1" applyFont="1" applyBorder="1"/>
    <xf numFmtId="9" fontId="18" fillId="0" borderId="9" xfId="25" applyNumberFormat="1" applyFont="1" applyBorder="1"/>
    <xf numFmtId="3" fontId="18" fillId="0" borderId="9" xfId="25" applyNumberFormat="1" applyFont="1" applyBorder="1"/>
    <xf numFmtId="3" fontId="21" fillId="0" borderId="7" xfId="25" applyNumberFormat="1" applyFont="1" applyBorder="1"/>
    <xf numFmtId="3" fontId="21" fillId="0" borderId="14" xfId="25" applyNumberFormat="1" applyFont="1" applyBorder="1"/>
    <xf numFmtId="1" fontId="21" fillId="0" borderId="9" xfId="25" applyNumberFormat="1" applyFont="1" applyBorder="1"/>
    <xf numFmtId="171" fontId="18" fillId="3" borderId="7" xfId="25" applyNumberFormat="1" applyFont="1" applyFill="1" applyBorder="1"/>
    <xf numFmtId="169" fontId="18" fillId="0" borderId="9" xfId="0" applyNumberFormat="1" applyFont="1" applyBorder="1"/>
    <xf numFmtId="169" fontId="18" fillId="3" borderId="7" xfId="25" applyNumberFormat="1" applyFont="1" applyFill="1" applyBorder="1"/>
    <xf numFmtId="169" fontId="21" fillId="0" borderId="14" xfId="25" applyNumberFormat="1" applyFont="1" applyBorder="1"/>
    <xf numFmtId="171" fontId="17" fillId="0" borderId="7" xfId="0" applyNumberFormat="1" applyFont="1" applyBorder="1"/>
    <xf numFmtId="0" fontId="18" fillId="0" borderId="9" xfId="0" applyFont="1" applyBorder="1"/>
    <xf numFmtId="169" fontId="18" fillId="5" borderId="8" xfId="0" applyNumberFormat="1" applyFont="1" applyFill="1" applyBorder="1" applyAlignment="1">
      <alignment horizontal="right"/>
    </xf>
    <xf numFmtId="169" fontId="26" fillId="0" borderId="7" xfId="0" applyNumberFormat="1" applyFont="1" applyFill="1" applyBorder="1" applyAlignment="1">
      <alignment horizontal="right"/>
    </xf>
    <xf numFmtId="169" fontId="18" fillId="5" borderId="7" xfId="0" applyNumberFormat="1" applyFont="1" applyFill="1" applyBorder="1"/>
    <xf numFmtId="1" fontId="18" fillId="3" borderId="7" xfId="0" applyNumberFormat="1" applyFont="1" applyFill="1" applyBorder="1"/>
    <xf numFmtId="9" fontId="18" fillId="3" borderId="7" xfId="31" applyNumberFormat="1" applyFont="1" applyFill="1" applyBorder="1" applyAlignment="1">
      <alignment horizontal="right"/>
    </xf>
    <xf numFmtId="9" fontId="18" fillId="3" borderId="7" xfId="0" applyNumberFormat="1" applyFont="1" applyFill="1" applyBorder="1"/>
    <xf numFmtId="170" fontId="47" fillId="5" borderId="7" xfId="31" applyNumberFormat="1" applyFont="1" applyFill="1" applyBorder="1" applyAlignment="1">
      <alignment horizontal="right"/>
    </xf>
    <xf numFmtId="9" fontId="54" fillId="5" borderId="7" xfId="0" applyNumberFormat="1" applyFont="1" applyFill="1" applyBorder="1" applyAlignment="1">
      <alignment horizontal="right"/>
    </xf>
    <xf numFmtId="170" fontId="47" fillId="5" borderId="0" xfId="31" applyNumberFormat="1" applyFont="1" applyFill="1" applyAlignment="1">
      <alignment horizontal="right"/>
    </xf>
    <xf numFmtId="169" fontId="16" fillId="6" borderId="0" xfId="18" applyNumberFormat="1" applyFont="1" applyFill="1" applyBorder="1" applyAlignment="1">
      <alignment horizontal="right"/>
    </xf>
    <xf numFmtId="169" fontId="18" fillId="6" borderId="5" xfId="18" applyNumberFormat="1" applyFont="1" applyFill="1" applyBorder="1" applyAlignment="1">
      <alignment horizontal="right"/>
    </xf>
    <xf numFmtId="169" fontId="24" fillId="6" borderId="0" xfId="0" applyNumberFormat="1" applyFont="1" applyFill="1" applyAlignment="1">
      <alignment horizontal="right"/>
    </xf>
    <xf numFmtId="177" fontId="24" fillId="6" borderId="0" xfId="17" applyNumberFormat="1" applyFont="1" applyFill="1" applyAlignment="1">
      <alignment horizontal="right"/>
    </xf>
    <xf numFmtId="0" fontId="18" fillId="6" borderId="0" xfId="0" applyFont="1" applyFill="1" applyAlignment="1">
      <alignment horizontal="right"/>
    </xf>
    <xf numFmtId="9" fontId="18" fillId="6" borderId="0" xfId="31" applyFont="1" applyFill="1" applyAlignment="1">
      <alignment horizontal="right"/>
    </xf>
    <xf numFmtId="9" fontId="24" fillId="6" borderId="0" xfId="31" applyFont="1" applyFill="1" applyAlignment="1">
      <alignment horizontal="right"/>
    </xf>
    <xf numFmtId="9" fontId="16" fillId="6" borderId="0" xfId="31" applyFont="1" applyFill="1" applyBorder="1" applyAlignment="1">
      <alignment horizontal="right"/>
    </xf>
    <xf numFmtId="169" fontId="17" fillId="6" borderId="0" xfId="18" applyNumberFormat="1" applyFont="1" applyFill="1" applyBorder="1" applyAlignment="1">
      <alignment horizontal="right"/>
    </xf>
    <xf numFmtId="169" fontId="16" fillId="6" borderId="0" xfId="0" applyNumberFormat="1" applyFont="1" applyFill="1" applyBorder="1" applyAlignment="1">
      <alignment horizontal="right"/>
    </xf>
    <xf numFmtId="169" fontId="16" fillId="6" borderId="5" xfId="0" applyNumberFormat="1" applyFont="1" applyFill="1" applyBorder="1" applyAlignment="1">
      <alignment horizontal="right"/>
    </xf>
    <xf numFmtId="169" fontId="17" fillId="9" borderId="0" xfId="31" applyNumberFormat="1" applyFont="1" applyFill="1" applyBorder="1" applyAlignment="1">
      <alignment horizontal="right"/>
    </xf>
    <xf numFmtId="176" fontId="16" fillId="3" borderId="0" xfId="0" applyNumberFormat="1" applyFont="1" applyFill="1" applyBorder="1" applyAlignment="1">
      <alignment horizontal="right"/>
    </xf>
    <xf numFmtId="169" fontId="16" fillId="6" borderId="0" xfId="0" applyNumberFormat="1" applyFont="1" applyFill="1" applyAlignment="1">
      <alignment horizontal="right"/>
    </xf>
    <xf numFmtId="176" fontId="17" fillId="9" borderId="0" xfId="18" applyNumberFormat="1" applyFont="1" applyFill="1" applyBorder="1" applyAlignment="1">
      <alignment horizontal="right"/>
    </xf>
    <xf numFmtId="176" fontId="17" fillId="9" borderId="0" xfId="0" applyNumberFormat="1" applyFont="1" applyFill="1" applyBorder="1" applyAlignment="1">
      <alignment horizontal="right"/>
    </xf>
    <xf numFmtId="169" fontId="16" fillId="5" borderId="0" xfId="18" applyNumberFormat="1" applyFont="1" applyFill="1" applyBorder="1" applyAlignment="1">
      <alignment horizontal="right"/>
    </xf>
    <xf numFmtId="176" fontId="16" fillId="6" borderId="0" xfId="18" applyNumberFormat="1" applyFont="1" applyFill="1" applyBorder="1" applyAlignment="1">
      <alignment horizontal="right"/>
    </xf>
    <xf numFmtId="1" fontId="24" fillId="6" borderId="0" xfId="0" applyNumberFormat="1" applyFont="1" applyFill="1" applyAlignment="1">
      <alignment horizontal="right"/>
    </xf>
    <xf numFmtId="1" fontId="24" fillId="3" borderId="0" xfId="17" applyNumberFormat="1" applyFont="1" applyFill="1" applyAlignment="1">
      <alignment horizontal="right"/>
    </xf>
    <xf numFmtId="169" fontId="49" fillId="3" borderId="0" xfId="18" applyNumberFormat="1" applyFont="1" applyFill="1" applyBorder="1" applyAlignment="1">
      <alignment horizontal="right"/>
    </xf>
    <xf numFmtId="1" fontId="16" fillId="5" borderId="0" xfId="0" applyNumberFormat="1" applyFont="1" applyFill="1" applyBorder="1"/>
    <xf numFmtId="9" fontId="16" fillId="5" borderId="0" xfId="31" applyFont="1" applyFill="1" applyBorder="1" applyAlignment="1">
      <alignment horizontal="right"/>
    </xf>
    <xf numFmtId="169" fontId="47" fillId="5" borderId="0" xfId="0" applyNumberFormat="1" applyFont="1" applyFill="1" applyBorder="1" applyAlignment="1">
      <alignment horizontal="right"/>
    </xf>
    <xf numFmtId="169" fontId="59" fillId="5" borderId="0" xfId="0" applyNumberFormat="1" applyFont="1" applyFill="1" applyBorder="1" applyAlignment="1">
      <alignment horizontal="right"/>
    </xf>
    <xf numFmtId="175" fontId="16" fillId="5" borderId="0" xfId="16" applyNumberFormat="1" applyFont="1" applyFill="1"/>
    <xf numFmtId="165" fontId="16" fillId="5" borderId="0" xfId="0" applyNumberFormat="1" applyFont="1" applyFill="1"/>
    <xf numFmtId="169" fontId="17" fillId="3" borderId="8" xfId="0" applyNumberFormat="1" applyFont="1" applyFill="1" applyBorder="1" applyAlignment="1">
      <alignment horizontal="right"/>
    </xf>
    <xf numFmtId="0" fontId="1" fillId="0" borderId="0" xfId="0" applyFont="1"/>
    <xf numFmtId="49" fontId="60" fillId="0" borderId="0" xfId="0" applyNumberFormat="1" applyFont="1"/>
    <xf numFmtId="49" fontId="60" fillId="0" borderId="0" xfId="0" applyNumberFormat="1" applyFont="1" applyAlignment="1"/>
    <xf numFmtId="49" fontId="61" fillId="0" borderId="0" xfId="0" applyNumberFormat="1" applyFont="1" applyAlignment="1"/>
    <xf numFmtId="49" fontId="1" fillId="0" borderId="0" xfId="0" applyNumberFormat="1" applyFont="1" applyAlignment="1"/>
    <xf numFmtId="49" fontId="62" fillId="0" borderId="0" xfId="0" applyNumberFormat="1" applyFont="1" applyAlignment="1"/>
    <xf numFmtId="49" fontId="1" fillId="0" borderId="13" xfId="0" applyNumberFormat="1" applyFont="1" applyBorder="1" applyAlignment="1"/>
    <xf numFmtId="49" fontId="1" fillId="0" borderId="13" xfId="0" applyNumberFormat="1" applyFont="1" applyBorder="1" applyAlignment="1"/>
    <xf numFmtId="49" fontId="1" fillId="0" borderId="0" xfId="0" applyNumberFormat="1" applyFont="1" applyAlignment="1">
      <alignment horizontal="left" vertical="center"/>
    </xf>
    <xf numFmtId="2" fontId="60" fillId="0" borderId="0" xfId="0" applyNumberFormat="1" applyFont="1"/>
    <xf numFmtId="49" fontId="63" fillId="10" borderId="0" xfId="0" applyNumberFormat="1" applyFont="1" applyFill="1" applyAlignment="1">
      <alignment wrapText="1"/>
    </xf>
    <xf numFmtId="0" fontId="0" fillId="10" borderId="0" xfId="0" applyFill="1"/>
    <xf numFmtId="49" fontId="64" fillId="10" borderId="0" xfId="0" applyNumberFormat="1" applyFont="1" applyFill="1" applyAlignment="1">
      <alignment wrapText="1"/>
    </xf>
  </cellXfs>
  <cellStyles count="44">
    <cellStyle name=" 1" xfId="1" xr:uid="{00000000-0005-0000-0000-000000000000}"/>
    <cellStyle name=" 1 2" xfId="2" xr:uid="{00000000-0005-0000-0000-000001000000}"/>
    <cellStyle name=" 1 3" xfId="3" xr:uid="{00000000-0005-0000-0000-000002000000}"/>
    <cellStyle name="—_GS_Cash " xfId="4" xr:uid="{00000000-0005-0000-0000-000003000000}"/>
    <cellStyle name="_MWA RR_1-pager " xfId="5" xr:uid="{00000000-0005-0000-0000-000004000000}"/>
    <cellStyle name="_RRS1_1_1-pager " xfId="6" xr:uid="{00000000-0005-0000-0000-000005000000}"/>
    <cellStyle name="_RRS10_1_1-pager " xfId="7" xr:uid="{00000000-0005-0000-0000-000006000000}"/>
    <cellStyle name="_SUMMARY " xfId="8" xr:uid="{00000000-0005-0000-0000-000007000000}"/>
    <cellStyle name="_SUMMARY _1-pager " xfId="9" xr:uid="{00000000-0005-0000-0000-000008000000}"/>
    <cellStyle name="_Wireline Tel Forecast " xfId="10" xr:uid="{00000000-0005-0000-0000-000009000000}"/>
    <cellStyle name="0_Capex &amp; Depreciation " xfId="11" xr:uid="{00000000-0005-0000-0000-00000A000000}"/>
    <cellStyle name="0_Valuing BP " xfId="12" xr:uid="{00000000-0005-0000-0000-00000B000000}"/>
    <cellStyle name="0_Wireline Tel Forecast " xfId="13" xr:uid="{00000000-0005-0000-0000-00000C000000}"/>
    <cellStyle name="AFE" xfId="14" xr:uid="{00000000-0005-0000-0000-00000D000000}"/>
    <cellStyle name="c_HardInc " xfId="15" xr:uid="{00000000-0005-0000-0000-00000E000000}"/>
    <cellStyle name="Comma" xfId="16" builtinId="3"/>
    <cellStyle name="Comma_MS_CRZ_Model_14Feb2012" xfId="17" xr:uid="{00000000-0005-0000-0000-000010000000}"/>
    <cellStyle name="Comma_SEV_mod1" xfId="18" xr:uid="{00000000-0005-0000-0000-000011000000}"/>
    <cellStyle name="Currency_MS_CRZ_Model_14Feb2012" xfId="19" xr:uid="{00000000-0005-0000-0000-000012000000}"/>
    <cellStyle name="Input" xfId="20" builtinId="20" customBuiltin="1"/>
    <cellStyle name="Millares_2AV_M_M " xfId="21" xr:uid="{00000000-0005-0000-0000-000016000000}"/>
    <cellStyle name="Minor Heading_bmc_model" xfId="22" xr:uid="{00000000-0005-0000-0000-000017000000}"/>
    <cellStyle name="Moneda [0]_2AV_M_M " xfId="23" xr:uid="{00000000-0005-0000-0000-000018000000}"/>
    <cellStyle name="Normal" xfId="0" builtinId="0" customBuiltin="1"/>
    <cellStyle name="Normal 7" xfId="24" xr:uid="{00000000-0005-0000-0000-00001A000000}"/>
    <cellStyle name="Normal_1B. Financial Summary" xfId="25" xr:uid="{00000000-0005-0000-0000-00001B000000}"/>
    <cellStyle name="Normal_2. Income" xfId="26" xr:uid="{00000000-0005-0000-0000-00001C000000}"/>
    <cellStyle name="Normal_3. Cashflow" xfId="27" xr:uid="{00000000-0005-0000-0000-00001D000000}"/>
    <cellStyle name="Normal_4. Balance Sheet" xfId="28" xr:uid="{00000000-0005-0000-0000-00001E000000}"/>
    <cellStyle name="Normal_TPSHELLH" xfId="29" xr:uid="{00000000-0005-0000-0000-000022000000}"/>
    <cellStyle name="p " xfId="30" xr:uid="{00000000-0005-0000-0000-000023000000}"/>
    <cellStyle name="Percent" xfId="31" builtinId="5"/>
    <cellStyle name="Percent 2 2" xfId="32" xr:uid="{00000000-0005-0000-0000-000025000000}"/>
    <cellStyle name="Percent 3" xfId="33" xr:uid="{00000000-0005-0000-0000-000026000000}"/>
    <cellStyle name="s_DCFLBO Code_Wireline Tel Forecast " xfId="34" xr:uid="{00000000-0005-0000-0000-000027000000}"/>
    <cellStyle name="s_HardInc " xfId="35" xr:uid="{00000000-0005-0000-0000-000028000000}"/>
    <cellStyle name="s_Valuation " xfId="36" xr:uid="{00000000-0005-0000-0000-000029000000}"/>
    <cellStyle name="ssp " xfId="37" xr:uid="{00000000-0005-0000-0000-00002A000000}"/>
    <cellStyle name="Style 1" xfId="38" xr:uid="{00000000-0005-0000-0000-00002B000000}"/>
    <cellStyle name="TableBody_Deutsche Telekom " xfId="39" xr:uid="{00000000-0005-0000-0000-00002C000000}"/>
    <cellStyle name="TableColHeads_Deutsche Telekom " xfId="40" xr:uid="{00000000-0005-0000-0000-00002D000000}"/>
    <cellStyle name="Title" xfId="41" builtinId="15" customBuiltin="1"/>
    <cellStyle name="뷭?_BOOKSHIP_상세일정 (2) (2) " xfId="42" xr:uid="{00000000-0005-0000-0000-00002F000000}"/>
    <cellStyle name="표준_0N-HANDLING " xfId="43" xr:uid="{00000000-0005-0000-0000-000030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MS EBIT (1-t) / TA</c:v>
          </c:tx>
          <c:spPr>
            <a:ln w="381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multiLvlStrRef>
              <c:f>'4. Balance Sheet'!$E$5:$G$5</c:f>
            </c:multiLvlStrRef>
          </c:cat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F8-4B92-B16B-B11AF4655D5B}"/>
            </c:ext>
          </c:extLst>
        </c:ser>
        <c:ser>
          <c:idx val="1"/>
          <c:order val="1"/>
          <c:tx>
            <c:v>Consensus EBIT(1-t) / TA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multiLvlStrRef>
              <c:f>'4. Balance Sheet'!$E$5:$G$5</c:f>
            </c:multiLvlStrRef>
          </c:cat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F8-4B92-B16B-B11AF4655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311272"/>
        <c:axId val="1"/>
      </c:lineChart>
      <c:catAx>
        <c:axId val="1442311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2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7.0000000000000007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44231127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5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225" b="1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MS EBIT (1-t) / TA</c:v>
          </c:tx>
          <c:spPr>
            <a:ln w="381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multiLvlStrRef>
              <c:f>'4. Balance Sheet'!$E$5:$G$5</c:f>
            </c:multiLvlStrRef>
          </c:cat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DBA-471A-9DD3-3DF22F8FBAC5}"/>
            </c:ext>
          </c:extLst>
        </c:ser>
        <c:ser>
          <c:idx val="1"/>
          <c:order val="1"/>
          <c:tx>
            <c:v>Consensus EBIT(1-t) / TA</c:v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multiLvlStrRef>
              <c:f>'4. Balance Sheet'!$E$5:$G$5</c:f>
            </c:multiLvlStrRef>
          </c:cat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DBA-471A-9DD3-3DF22F8FBAC5}"/>
            </c:ext>
          </c:extLst>
        </c:ser>
        <c:ser>
          <c:idx val="2"/>
          <c:order val="2"/>
          <c:tx>
            <c:v>WACC</c:v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cat>
            <c:multiLvlStrRef>
              <c:f>'4. Balance Sheet'!$E$5:$G$5</c:f>
            </c:multiLvlStrRef>
          </c:cat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DBA-471A-9DD3-3DF22F8FB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2312912"/>
        <c:axId val="1"/>
      </c:lineChart>
      <c:catAx>
        <c:axId val="144231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2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.0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4423129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225" b="1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Return Above WACC </c:v>
          </c:tx>
          <c:spPr>
            <a:solidFill>
              <a:srgbClr val="9DC9D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'4. Balance Sheet'!#REF!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6F4-4AC9-929C-7A2395D49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307664"/>
        <c:axId val="1"/>
      </c:barChart>
      <c:lineChart>
        <c:grouping val="standard"/>
        <c:varyColors val="0"/>
        <c:ser>
          <c:idx val="0"/>
          <c:order val="1"/>
          <c:tx>
            <c:v>% Outperformance vs. ASX200</c:v>
          </c:tx>
          <c:spPr>
            <a:ln w="38100">
              <a:solidFill>
                <a:srgbClr val="333399"/>
              </a:solidFill>
              <a:prstDash val="solid"/>
            </a:ln>
          </c:spPr>
          <c:marker>
            <c:symbol val="none"/>
          </c:marker>
          <c:val>
            <c:numRef>
              <c:f>'4. Balance Sheet'!#REF!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'4. Balance Sheet'!#REF!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76F4-4AC9-929C-7A2395D49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4423076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144230766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3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5756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208AB0-BA9B-E80B-363D-D5B720D00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186</xdr:row>
      <xdr:rowOff>1</xdr:rowOff>
    </xdr:from>
    <xdr:to>
      <xdr:col>10</xdr:col>
      <xdr:colOff>527050</xdr:colOff>
      <xdr:row>208</xdr:row>
      <xdr:rowOff>150496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CD6D960-5883-6687-1ACD-CD2C16511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1546801"/>
          <a:ext cx="6496050" cy="3838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9</xdr:row>
      <xdr:rowOff>0</xdr:rowOff>
    </xdr:from>
    <xdr:to>
      <xdr:col>37</xdr:col>
      <xdr:colOff>76200</xdr:colOff>
      <xdr:row>10</xdr:row>
      <xdr:rowOff>38100</xdr:rowOff>
    </xdr:to>
    <xdr:sp macro="" textlink="">
      <xdr:nvSpPr>
        <xdr:cNvPr id="31008008" name="Text Box 8">
          <a:extLst>
            <a:ext uri="{FF2B5EF4-FFF2-40B4-BE49-F238E27FC236}">
              <a16:creationId xmlns:a16="http://schemas.microsoft.com/office/drawing/2014/main" id="{00000000-0008-0000-0200-00000825D901}"/>
            </a:ext>
          </a:extLst>
        </xdr:cNvPr>
        <xdr:cNvSpPr txBox="1">
          <a:spLocks noChangeArrowheads="1"/>
        </xdr:cNvSpPr>
      </xdr:nvSpPr>
      <xdr:spPr bwMode="auto">
        <a:xfrm>
          <a:off x="18726150" y="2628900"/>
          <a:ext cx="76200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49</xdr:col>
      <xdr:colOff>0</xdr:colOff>
      <xdr:row>9</xdr:row>
      <xdr:rowOff>0</xdr:rowOff>
    </xdr:from>
    <xdr:to>
      <xdr:col>49</xdr:col>
      <xdr:colOff>76200</xdr:colOff>
      <xdr:row>10</xdr:row>
      <xdr:rowOff>38100</xdr:rowOff>
    </xdr:to>
    <xdr:sp macro="" textlink="">
      <xdr:nvSpPr>
        <xdr:cNvPr id="31008009" name="Text Box 8">
          <a:extLst>
            <a:ext uri="{FF2B5EF4-FFF2-40B4-BE49-F238E27FC236}">
              <a16:creationId xmlns:a16="http://schemas.microsoft.com/office/drawing/2014/main" id="{00000000-0008-0000-0200-00000925D901}"/>
            </a:ext>
          </a:extLst>
        </xdr:cNvPr>
        <xdr:cNvSpPr txBox="1">
          <a:spLocks noChangeArrowheads="1"/>
        </xdr:cNvSpPr>
      </xdr:nvSpPr>
      <xdr:spPr bwMode="auto">
        <a:xfrm>
          <a:off x="28032075" y="2628900"/>
          <a:ext cx="76200" cy="209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31</xdr:col>
      <xdr:colOff>0</xdr:colOff>
      <xdr:row>9</xdr:row>
      <xdr:rowOff>0</xdr:rowOff>
    </xdr:from>
    <xdr:ext cx="76200" cy="204788"/>
    <xdr:sp macro="" textlink="">
      <xdr:nvSpPr>
        <xdr:cNvPr id="4" name="Text Box 8">
          <a:extLst>
            <a:ext uri="{FF2B5EF4-FFF2-40B4-BE49-F238E27FC236}">
              <a16:creationId xmlns:a16="http://schemas.microsoft.com/office/drawing/2014/main" id="{7A2E5A43-26CB-4B65-B15F-EB62E89D3631}"/>
            </a:ext>
          </a:extLst>
        </xdr:cNvPr>
        <xdr:cNvSpPr txBox="1">
          <a:spLocks noChangeArrowheads="1"/>
        </xdr:cNvSpPr>
      </xdr:nvSpPr>
      <xdr:spPr bwMode="auto">
        <a:xfrm>
          <a:off x="13620750" y="1678781"/>
          <a:ext cx="76200" cy="2047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31</xdr:col>
      <xdr:colOff>0</xdr:colOff>
      <xdr:row>9</xdr:row>
      <xdr:rowOff>0</xdr:rowOff>
    </xdr:from>
    <xdr:ext cx="76200" cy="204788"/>
    <xdr:sp macro="" textlink="">
      <xdr:nvSpPr>
        <xdr:cNvPr id="5" name="Text Box 8">
          <a:extLst>
            <a:ext uri="{FF2B5EF4-FFF2-40B4-BE49-F238E27FC236}">
              <a16:creationId xmlns:a16="http://schemas.microsoft.com/office/drawing/2014/main" id="{6F9997D1-3537-4F42-BF7B-06FD24704051}"/>
            </a:ext>
          </a:extLst>
        </xdr:cNvPr>
        <xdr:cNvSpPr txBox="1">
          <a:spLocks noChangeArrowheads="1"/>
        </xdr:cNvSpPr>
      </xdr:nvSpPr>
      <xdr:spPr bwMode="auto">
        <a:xfrm>
          <a:off x="13620750" y="1678781"/>
          <a:ext cx="76200" cy="2047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76200" cy="204788"/>
    <xdr:sp macro="" textlink="">
      <xdr:nvSpPr>
        <xdr:cNvPr id="6" name="Text Box 8">
          <a:extLst>
            <a:ext uri="{FF2B5EF4-FFF2-40B4-BE49-F238E27FC236}">
              <a16:creationId xmlns:a16="http://schemas.microsoft.com/office/drawing/2014/main" id="{6347E733-10AC-4813-A6C5-9600BFC4E5A3}"/>
            </a:ext>
          </a:extLst>
        </xdr:cNvPr>
        <xdr:cNvSpPr txBox="1">
          <a:spLocks noChangeArrowheads="1"/>
        </xdr:cNvSpPr>
      </xdr:nvSpPr>
      <xdr:spPr bwMode="auto">
        <a:xfrm>
          <a:off x="13620750" y="1678781"/>
          <a:ext cx="76200" cy="2047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37</xdr:col>
      <xdr:colOff>0</xdr:colOff>
      <xdr:row>9</xdr:row>
      <xdr:rowOff>0</xdr:rowOff>
    </xdr:from>
    <xdr:ext cx="76200" cy="204788"/>
    <xdr:sp macro="" textlink="">
      <xdr:nvSpPr>
        <xdr:cNvPr id="2" name="Text Box 8">
          <a:extLst>
            <a:ext uri="{FF2B5EF4-FFF2-40B4-BE49-F238E27FC236}">
              <a16:creationId xmlns:a16="http://schemas.microsoft.com/office/drawing/2014/main" id="{80B8A2BC-63AA-4C87-8F27-6C4FE49B2D2B}"/>
            </a:ext>
          </a:extLst>
        </xdr:cNvPr>
        <xdr:cNvSpPr txBox="1">
          <a:spLocks noChangeArrowheads="1"/>
        </xdr:cNvSpPr>
      </xdr:nvSpPr>
      <xdr:spPr bwMode="auto">
        <a:xfrm>
          <a:off x="15740063" y="1678781"/>
          <a:ext cx="76200" cy="2047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40</xdr:col>
      <xdr:colOff>0</xdr:colOff>
      <xdr:row>9</xdr:row>
      <xdr:rowOff>0</xdr:rowOff>
    </xdr:from>
    <xdr:ext cx="76200" cy="204788"/>
    <xdr:sp macro="" textlink="">
      <xdr:nvSpPr>
        <xdr:cNvPr id="3" name="Text Box 8">
          <a:extLst>
            <a:ext uri="{FF2B5EF4-FFF2-40B4-BE49-F238E27FC236}">
              <a16:creationId xmlns:a16="http://schemas.microsoft.com/office/drawing/2014/main" id="{A034532A-7F68-4597-A77C-DD8277F81357}"/>
            </a:ext>
          </a:extLst>
        </xdr:cNvPr>
        <xdr:cNvSpPr txBox="1">
          <a:spLocks noChangeArrowheads="1"/>
        </xdr:cNvSpPr>
      </xdr:nvSpPr>
      <xdr:spPr bwMode="auto">
        <a:xfrm>
          <a:off x="17383125" y="1678781"/>
          <a:ext cx="76200" cy="2047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43</xdr:col>
      <xdr:colOff>0</xdr:colOff>
      <xdr:row>9</xdr:row>
      <xdr:rowOff>0</xdr:rowOff>
    </xdr:from>
    <xdr:ext cx="76200" cy="204788"/>
    <xdr:sp macro="" textlink="">
      <xdr:nvSpPr>
        <xdr:cNvPr id="7" name="Text Box 8">
          <a:extLst>
            <a:ext uri="{FF2B5EF4-FFF2-40B4-BE49-F238E27FC236}">
              <a16:creationId xmlns:a16="http://schemas.microsoft.com/office/drawing/2014/main" id="{EDE27815-2546-402E-8D4F-732BF5A9AFEF}"/>
            </a:ext>
          </a:extLst>
        </xdr:cNvPr>
        <xdr:cNvSpPr txBox="1">
          <a:spLocks noChangeArrowheads="1"/>
        </xdr:cNvSpPr>
      </xdr:nvSpPr>
      <xdr:spPr bwMode="auto">
        <a:xfrm>
          <a:off x="16097250" y="1685925"/>
          <a:ext cx="76200" cy="2047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FF0000" mc:Ignorable="a14" a14:legacySpreadsheetColorIndex="10"/>
              </a:solidFill>
              <a:prstDash val="dashDot"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75</xdr:row>
      <xdr:rowOff>0</xdr:rowOff>
    </xdr:from>
    <xdr:to>
      <xdr:col>7</xdr:col>
      <xdr:colOff>200025</xdr:colOff>
      <xdr:row>75</xdr:row>
      <xdr:rowOff>0</xdr:rowOff>
    </xdr:to>
    <xdr:graphicFrame macro="">
      <xdr:nvGraphicFramePr>
        <xdr:cNvPr id="1446940" name="Chart 745">
          <a:extLst>
            <a:ext uri="{FF2B5EF4-FFF2-40B4-BE49-F238E27FC236}">
              <a16:creationId xmlns:a16="http://schemas.microsoft.com/office/drawing/2014/main" id="{00000000-0008-0000-0400-00001C141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7</xdr:col>
      <xdr:colOff>419100</xdr:colOff>
      <xdr:row>75</xdr:row>
      <xdr:rowOff>0</xdr:rowOff>
    </xdr:to>
    <xdr:graphicFrame macro="">
      <xdr:nvGraphicFramePr>
        <xdr:cNvPr id="1446941" name="Chart 750">
          <a:extLst>
            <a:ext uri="{FF2B5EF4-FFF2-40B4-BE49-F238E27FC236}">
              <a16:creationId xmlns:a16="http://schemas.microsoft.com/office/drawing/2014/main" id="{00000000-0008-0000-0400-00001D141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75</xdr:row>
      <xdr:rowOff>0</xdr:rowOff>
    </xdr:from>
    <xdr:to>
      <xdr:col>8</xdr:col>
      <xdr:colOff>161925</xdr:colOff>
      <xdr:row>75</xdr:row>
      <xdr:rowOff>0</xdr:rowOff>
    </xdr:to>
    <xdr:graphicFrame macro="">
      <xdr:nvGraphicFramePr>
        <xdr:cNvPr id="1446942" name="Chart 752">
          <a:extLst>
            <a:ext uri="{FF2B5EF4-FFF2-40B4-BE49-F238E27FC236}">
              <a16:creationId xmlns:a16="http://schemas.microsoft.com/office/drawing/2014/main" id="{00000000-0008-0000-0400-00001E141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0.64326</cdr:x>
      <cdr:y>0.13911</cdr:y>
    </cdr:from>
    <cdr:to>
      <cdr:x>0.64326</cdr:x>
      <cdr:y>0.59419</cdr:y>
    </cdr:to>
    <cdr:sp macro="" textlink="">
      <cdr:nvSpPr>
        <cdr:cNvPr id="41985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54673" y="105204"/>
          <a:ext cx="0" cy="33376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  <cdr:relSizeAnchor xmlns:cdr="http://schemas.openxmlformats.org/drawingml/2006/chartDrawing">
    <cdr:from>
      <cdr:x>1</cdr:x>
      <cdr:y>0.55384</cdr:y>
    </cdr:from>
    <cdr:to>
      <cdr:x>1</cdr:x>
      <cdr:y>1</cdr:y>
    </cdr:to>
    <cdr:sp macro="" textlink="">
      <cdr:nvSpPr>
        <cdr:cNvPr id="41987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6507750" y="8281183"/>
          <a:ext cx="0" cy="32722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0.65949</cdr:x>
      <cdr:y>0.09256</cdr:y>
    </cdr:from>
    <cdr:to>
      <cdr:x>0.66094</cdr:x>
      <cdr:y>0.56613</cdr:y>
    </cdr:to>
    <cdr:sp macro="" textlink="">
      <cdr:nvSpPr>
        <cdr:cNvPr id="47105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768061" y="71062"/>
          <a:ext cx="7551" cy="347327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  <cdr:relSizeAnchor xmlns:cdr="http://schemas.openxmlformats.org/drawingml/2006/chartDrawing">
    <cdr:from>
      <cdr:x>1</cdr:x>
      <cdr:y>0.55297</cdr:y>
    </cdr:from>
    <cdr:to>
      <cdr:x>1</cdr:x>
      <cdr:y>1</cdr:y>
    </cdr:to>
    <cdr:sp macro="" textlink="">
      <cdr:nvSpPr>
        <cdr:cNvPr id="47106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6781927" y="8280545"/>
          <a:ext cx="0" cy="32786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AU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Users/Banks/rwiles/Banks%20New/CBA/CBA%20MODE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joe/AppData/Local/Microsoft/Windows/Temporary%20Internet%20Files/Content.Outlook/CD3LYUYI/KMD%20-%20FY19%20Results%20-%20WIP%20post%20trading%20upd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areSettings"/>
      <sheetName val="mwareValPrintout"/>
      <sheetName val="Audit"/>
      <sheetName val="SUMMARY"/>
      <sheetName val="Mini SUMMARY"/>
      <sheetName val="Revisions"/>
      <sheetName val="MODEL"/>
      <sheetName val="BalSheet"/>
      <sheetName val="Av BS"/>
      <sheetName val="Credit Quality"/>
      <sheetName val="Capital"/>
      <sheetName val="Externally Linked Data"/>
      <sheetName val="Valuation"/>
      <sheetName val="New PT"/>
      <sheetName val="MWA RR"/>
      <sheetName val="Open Platform"/>
      <sheetName val="Open Platform Summary "/>
      <sheetName val="Modelware"/>
      <sheetName val="mwareDates"/>
      <sheetName val="ROA Decomp"/>
      <sheetName val="MW-Cache"/>
      <sheetName val="Returns"/>
      <sheetName val="Divisions"/>
      <sheetName val="Divisions BT"/>
      <sheetName val="Div Summary"/>
      <sheetName val="mwareTaxoPres"/>
      <sheetName val="Reconciliation"/>
      <sheetName val="Rev and Exp Growth"/>
      <sheetName val="Tables"/>
      <sheetName val="Step1-Update Data"/>
      <sheetName val="NEW MODEL"/>
      <sheetName val="NEW SUMMARY"/>
      <sheetName val="NEW Valuation"/>
      <sheetName val="NEW"/>
      <sheetName val="new outstanding"/>
      <sheetName val="Sensitivity"/>
      <sheetName val="MSSB Summary"/>
      <sheetName val="Old Price Target"/>
      <sheetName val="Scenario Inputs"/>
      <sheetName val="Chart data"/>
      <sheetName val="Charts"/>
      <sheetName val="Bear_to_Bull_Chart"/>
      <sheetName val="Bear_to_Bull_Data"/>
      <sheetName val="AP"/>
      <sheetName val="MSSB"/>
      <sheetName val="Price Target"/>
      <sheetName val="CBA MODEL"/>
      <sheetName val="MWA RR old"/>
      <sheetName val="Risk Reward Outcomes"/>
      <sheetName val="mwarePreview"/>
      <sheetName val="DBTemplate"/>
      <sheetName val="Sheet1"/>
      <sheetName val="Log"/>
      <sheetName val="#REF"/>
      <sheetName val="GUIDANCE"/>
      <sheetName val="Preview"/>
      <sheetName val="FY Comments"/>
      <sheetName val="ROE and PBV"/>
      <sheetName val="PT NEW"/>
      <sheetName val="Price Target Detail"/>
      <sheetName val="Bull Bear"/>
    </sheetNames>
    <sheetDataSet>
      <sheetData sheetId="0"/>
      <sheetData sheetId="1"/>
      <sheetData sheetId="2"/>
      <sheetData sheetId="3" refreshError="1">
        <row r="2">
          <cell r="C2" t="str">
            <v>COMMONWEALTH BANK OF AUSTRALIA (CBA)</v>
          </cell>
        </row>
        <row r="4">
          <cell r="C4" t="str">
            <v>INCOME STATEMENT (A$m)</v>
          </cell>
          <cell r="BP4" t="str">
            <v>SHARE RATIOS &amp; VALUATION</v>
          </cell>
          <cell r="BT4" t="str">
            <v>SHARE RATIOS &amp; VALUATION</v>
          </cell>
          <cell r="BX4" t="str">
            <v>SHARE RATIOS &amp; VALUATION</v>
          </cell>
        </row>
        <row r="5">
          <cell r="C5" t="str">
            <v>Year End 30 June</v>
          </cell>
          <cell r="AH5" t="str">
            <v>FY06</v>
          </cell>
          <cell r="AJ5" t="str">
            <v>1H07</v>
          </cell>
          <cell r="AK5" t="str">
            <v>2H07E</v>
          </cell>
          <cell r="AL5" t="str">
            <v>FY07</v>
          </cell>
          <cell r="AN5" t="str">
            <v>1H08</v>
          </cell>
          <cell r="AO5" t="str">
            <v>2H08</v>
          </cell>
          <cell r="AP5" t="str">
            <v>FY08</v>
          </cell>
          <cell r="AR5" t="str">
            <v>1H09</v>
          </cell>
          <cell r="AS5" t="str">
            <v>2H09</v>
          </cell>
          <cell r="AT5" t="str">
            <v>FY09</v>
          </cell>
          <cell r="AV5" t="str">
            <v>1H10</v>
          </cell>
          <cell r="AW5" t="str">
            <v>2H10</v>
          </cell>
          <cell r="AX5" t="str">
            <v>FY10</v>
          </cell>
          <cell r="AZ5" t="str">
            <v>1H11</v>
          </cell>
          <cell r="BA5" t="str">
            <v>2H11</v>
          </cell>
          <cell r="BB5" t="str">
            <v>FY11</v>
          </cell>
          <cell r="BD5" t="str">
            <v>1H12</v>
          </cell>
          <cell r="BE5" t="str">
            <v>2H12</v>
          </cell>
          <cell r="BF5" t="str">
            <v>FY12</v>
          </cell>
          <cell r="BH5" t="str">
            <v>1H13E</v>
          </cell>
          <cell r="BI5" t="str">
            <v>2H13E</v>
          </cell>
          <cell r="BJ5" t="str">
            <v>FY13E</v>
          </cell>
          <cell r="BL5" t="str">
            <v>1H14E</v>
          </cell>
          <cell r="BM5" t="str">
            <v>2H14E</v>
          </cell>
          <cell r="BN5" t="str">
            <v>FY14E</v>
          </cell>
          <cell r="BP5" t="str">
            <v>1H15E</v>
          </cell>
          <cell r="BQ5" t="str">
            <v>2H15E</v>
          </cell>
          <cell r="BR5" t="str">
            <v>FY15E</v>
          </cell>
          <cell r="BS5" t="str">
            <v>FY08</v>
          </cell>
          <cell r="BT5" t="str">
            <v>Year End 30 June</v>
          </cell>
          <cell r="BU5" t="str">
            <v>1H08</v>
          </cell>
          <cell r="BV5" t="str">
            <v>2H08</v>
          </cell>
          <cell r="BW5" t="str">
            <v>FY08</v>
          </cell>
          <cell r="BX5" t="str">
            <v>Year End 30 June</v>
          </cell>
          <cell r="BY5" t="str">
            <v>1H09</v>
          </cell>
          <cell r="BZ5" t="str">
            <v>2H09</v>
          </cell>
          <cell r="CA5" t="str">
            <v>FY09</v>
          </cell>
          <cell r="CC5" t="str">
            <v>1H10</v>
          </cell>
          <cell r="CD5" t="str">
            <v>2H10</v>
          </cell>
          <cell r="CE5" t="str">
            <v>FY10</v>
          </cell>
          <cell r="CG5" t="str">
            <v>1H11</v>
          </cell>
          <cell r="CH5" t="str">
            <v>2H11</v>
          </cell>
          <cell r="CI5" t="str">
            <v>FY11</v>
          </cell>
          <cell r="CK5" t="str">
            <v>1H12</v>
          </cell>
          <cell r="CL5" t="str">
            <v>2H12</v>
          </cell>
          <cell r="CM5" t="str">
            <v>FY12</v>
          </cell>
          <cell r="CO5" t="str">
            <v>1H13E</v>
          </cell>
          <cell r="CP5" t="str">
            <v>2H13E</v>
          </cell>
          <cell r="CQ5" t="str">
            <v>FY13E</v>
          </cell>
        </row>
        <row r="7">
          <cell r="C7" t="str">
            <v>Income</v>
          </cell>
          <cell r="BP7" t="str">
            <v>Current Share Price (A$)</v>
          </cell>
          <cell r="BT7" t="str">
            <v>Current Share Price (A$)</v>
          </cell>
          <cell r="BX7" t="str">
            <v>Current Share Price (A$)</v>
          </cell>
          <cell r="CE7">
            <v>53.51</v>
          </cell>
          <cell r="CM7">
            <v>62.2</v>
          </cell>
        </row>
        <row r="8">
          <cell r="C8" t="str">
            <v>Interest Income</v>
          </cell>
          <cell r="AH8">
            <v>19758</v>
          </cell>
          <cell r="AJ8">
            <v>11565</v>
          </cell>
          <cell r="AK8">
            <v>12297</v>
          </cell>
          <cell r="AL8">
            <v>23862</v>
          </cell>
          <cell r="AN8">
            <v>13781</v>
          </cell>
          <cell r="AO8">
            <v>15453</v>
          </cell>
          <cell r="AP8">
            <v>29234</v>
          </cell>
          <cell r="AR8">
            <v>16462</v>
          </cell>
          <cell r="AS8">
            <v>15057</v>
          </cell>
          <cell r="AT8">
            <v>31519</v>
          </cell>
          <cell r="AV8">
            <v>15290</v>
          </cell>
          <cell r="AW8">
            <v>16925</v>
          </cell>
          <cell r="AX8">
            <v>32215</v>
          </cell>
          <cell r="AZ8">
            <v>18579</v>
          </cell>
          <cell r="BA8">
            <v>18924</v>
          </cell>
          <cell r="BB8">
            <v>37503</v>
          </cell>
          <cell r="BD8">
            <v>19490</v>
          </cell>
          <cell r="BE8">
            <v>18811</v>
          </cell>
          <cell r="BF8">
            <v>38301</v>
          </cell>
          <cell r="BH8">
            <v>19365.840774392356</v>
          </cell>
          <cell r="BI8">
            <v>19571.58574145204</v>
          </cell>
          <cell r="BJ8">
            <v>38937.426515844396</v>
          </cell>
          <cell r="BL8">
            <v>20272.834388910749</v>
          </cell>
          <cell r="BM8">
            <v>20278.14053185012</v>
          </cell>
          <cell r="BN8">
            <v>40550.974920760869</v>
          </cell>
          <cell r="BP8">
            <v>20979.101254659181</v>
          </cell>
          <cell r="BQ8">
            <v>20938.580088785275</v>
          </cell>
          <cell r="BR8">
            <v>41917.681343444456</v>
          </cell>
          <cell r="BS8">
            <v>15.598268595883431</v>
          </cell>
          <cell r="BT8" t="str">
            <v>Modelware P/E Multiple (x)</v>
          </cell>
          <cell r="BU8">
            <v>17.479562043795621</v>
          </cell>
          <cell r="BV8">
            <v>18.308357230643182</v>
          </cell>
          <cell r="BW8">
            <v>18.131420419808435</v>
          </cell>
          <cell r="BX8" t="str">
            <v>Modelware P/E Multiple (x)</v>
          </cell>
          <cell r="BY8">
            <v>22.767268408551068</v>
          </cell>
          <cell r="BZ8">
            <v>20.616368442622949</v>
          </cell>
          <cell r="CA8">
            <v>21.273768536853684</v>
          </cell>
          <cell r="CC8">
            <v>16.800433767100433</v>
          </cell>
          <cell r="CD8">
            <v>15.928333846627657</v>
          </cell>
          <cell r="CE8">
            <v>16.375813581037796</v>
          </cell>
          <cell r="CG8">
            <v>15.119691232158464</v>
          </cell>
          <cell r="CH8">
            <v>14.464311543810851</v>
          </cell>
          <cell r="CI8">
            <v>14.788873079112125</v>
          </cell>
          <cell r="CK8">
            <v>14.207431693989072</v>
          </cell>
          <cell r="CL8">
            <v>14.533434903047091</v>
          </cell>
          <cell r="CM8">
            <v>14.347922971114169</v>
          </cell>
          <cell r="CO8">
            <v>13.609368000480773</v>
          </cell>
          <cell r="CP8">
            <v>13.456541640385458</v>
          </cell>
          <cell r="CQ8">
            <v>13.532305296230639</v>
          </cell>
        </row>
        <row r="9">
          <cell r="C9" t="str">
            <v>Interest Expense</v>
          </cell>
          <cell r="AH9">
            <v>-13244</v>
          </cell>
          <cell r="AJ9">
            <v>-8080</v>
          </cell>
          <cell r="AK9">
            <v>-8746</v>
          </cell>
          <cell r="AL9">
            <v>-16826</v>
          </cell>
          <cell r="AN9">
            <v>-9882</v>
          </cell>
          <cell r="AO9">
            <v>-11445</v>
          </cell>
          <cell r="AP9">
            <v>-21327</v>
          </cell>
          <cell r="AR9">
            <v>-11919</v>
          </cell>
          <cell r="AS9">
            <v>-9414</v>
          </cell>
          <cell r="AT9">
            <v>-21333</v>
          </cell>
          <cell r="AV9">
            <v>-9228</v>
          </cell>
          <cell r="AW9">
            <v>-11119</v>
          </cell>
          <cell r="AX9">
            <v>-20347</v>
          </cell>
          <cell r="AZ9">
            <v>-12402</v>
          </cell>
          <cell r="BA9">
            <v>-12456</v>
          </cell>
          <cell r="BB9">
            <v>-24858</v>
          </cell>
          <cell r="BD9">
            <v>-12846</v>
          </cell>
          <cell r="BE9">
            <v>-12298</v>
          </cell>
          <cell r="BF9">
            <v>-25144</v>
          </cell>
          <cell r="BH9">
            <v>-12620.301035733519</v>
          </cell>
          <cell r="BI9">
            <v>-12681.455311127704</v>
          </cell>
          <cell r="BJ9">
            <v>-25301.756346861221</v>
          </cell>
          <cell r="BL9">
            <v>-13170.400987892242</v>
          </cell>
          <cell r="BM9">
            <v>-13196.593109056395</v>
          </cell>
          <cell r="BN9">
            <v>-26366.994096948638</v>
          </cell>
          <cell r="BP9">
            <v>-13644.191805916375</v>
          </cell>
          <cell r="BQ9">
            <v>-13646.960307016401</v>
          </cell>
          <cell r="BR9">
            <v>-27291.152112932774</v>
          </cell>
          <cell r="BS9">
            <v>14.991937246531482</v>
          </cell>
          <cell r="BT9" t="str">
            <v>Basic P/E Multiple (x)</v>
          </cell>
          <cell r="BU9">
            <v>17.210423728813559</v>
          </cell>
          <cell r="BV9">
            <v>17.64607311827957</v>
          </cell>
          <cell r="BW9">
            <v>17.426621131270011</v>
          </cell>
          <cell r="BX9" t="str">
            <v>Basic P/E Multiple (x)</v>
          </cell>
          <cell r="BY9">
            <v>21.25505787619527</v>
          </cell>
          <cell r="BZ9">
            <v>19.616085617882753</v>
          </cell>
          <cell r="CA9">
            <v>20.352730610371729</v>
          </cell>
          <cell r="CC9">
            <v>16.226550188420692</v>
          </cell>
          <cell r="CD9">
            <v>15.267272727272726</v>
          </cell>
          <cell r="CE9">
            <v>15.728771060455898</v>
          </cell>
          <cell r="CG9">
            <v>14.512707515846666</v>
          </cell>
          <cell r="CH9">
            <v>13.86094827586207</v>
          </cell>
          <cell r="CI9">
            <v>14.174238186368321</v>
          </cell>
          <cell r="CK9">
            <v>13.678402699662543</v>
          </cell>
          <cell r="CL9">
            <v>14.006059743954482</v>
          </cell>
          <cell r="CM9">
            <v>13.836883043416773</v>
          </cell>
          <cell r="CO9">
            <v>13.133177329421164</v>
          </cell>
          <cell r="CP9">
            <v>13.066078668397237</v>
          </cell>
          <cell r="CQ9">
            <v>13.099393054179703</v>
          </cell>
        </row>
        <row r="10">
          <cell r="C10" t="str">
            <v>Net Interest Income</v>
          </cell>
          <cell r="AH10">
            <v>6514</v>
          </cell>
          <cell r="AJ10">
            <v>3485</v>
          </cell>
          <cell r="AK10">
            <v>3551</v>
          </cell>
          <cell r="AL10">
            <v>7036</v>
          </cell>
          <cell r="AN10">
            <v>3899</v>
          </cell>
          <cell r="AO10">
            <v>4008</v>
          </cell>
          <cell r="AP10">
            <v>7907</v>
          </cell>
          <cell r="AR10">
            <v>4543</v>
          </cell>
          <cell r="AS10">
            <v>5643</v>
          </cell>
          <cell r="AT10">
            <v>10186</v>
          </cell>
          <cell r="AV10">
            <v>6062</v>
          </cell>
          <cell r="AW10">
            <v>5806</v>
          </cell>
          <cell r="AX10">
            <v>11868</v>
          </cell>
          <cell r="AZ10">
            <v>6177</v>
          </cell>
          <cell r="BA10">
            <v>6468</v>
          </cell>
          <cell r="BB10">
            <v>12645</v>
          </cell>
          <cell r="BD10">
            <v>6644</v>
          </cell>
          <cell r="BE10">
            <v>6513</v>
          </cell>
          <cell r="BF10">
            <v>13157</v>
          </cell>
          <cell r="BH10">
            <v>6745.5397386588375</v>
          </cell>
          <cell r="BI10">
            <v>6890.130430324336</v>
          </cell>
          <cell r="BJ10">
            <v>13635.670168983175</v>
          </cell>
          <cell r="BL10">
            <v>7102.4334010185066</v>
          </cell>
          <cell r="BM10">
            <v>7081.5474227937248</v>
          </cell>
          <cell r="BN10">
            <v>14183.980823812231</v>
          </cell>
          <cell r="BP10">
            <v>7334.9094487428065</v>
          </cell>
          <cell r="BQ10">
            <v>7291.6197817688735</v>
          </cell>
          <cell r="BR10">
            <v>14626.529230511682</v>
          </cell>
          <cell r="BS10">
            <v>9.5952494535519115</v>
          </cell>
          <cell r="BT10" t="str">
            <v>P/UP Multiple (x)</v>
          </cell>
          <cell r="BU10">
            <v>11.164540956569544</v>
          </cell>
          <cell r="BV10">
            <v>11.14261814231396</v>
          </cell>
          <cell r="BW10">
            <v>11.153513661202185</v>
          </cell>
          <cell r="BX10" t="str">
            <v>P/UP Multiple (x)</v>
          </cell>
          <cell r="BY10">
            <v>9.8631013545072399</v>
          </cell>
          <cell r="BZ10">
            <v>9.7484256969188863</v>
          </cell>
          <cell r="CA10">
            <v>9.7975477742184918</v>
          </cell>
          <cell r="CC10">
            <v>8.7325405604719766</v>
          </cell>
          <cell r="CD10">
            <v>9.5079261025029798</v>
          </cell>
          <cell r="CE10">
            <v>9.1051807228915678</v>
          </cell>
          <cell r="CG10">
            <v>9.0190583380228855</v>
          </cell>
          <cell r="CH10">
            <v>8.8718226963398941</v>
          </cell>
          <cell r="CI10">
            <v>8.9418276374442804</v>
          </cell>
          <cell r="CK10">
            <v>8.838887879338543</v>
          </cell>
          <cell r="CL10">
            <v>9.0316088791047502</v>
          </cell>
          <cell r="CM10">
            <v>8.9319517984297985</v>
          </cell>
          <cell r="CO10">
            <v>8.4745282006466152</v>
          </cell>
          <cell r="CP10">
            <v>8.3660471930003144</v>
          </cell>
          <cell r="CQ10">
            <v>8.4196973818981995</v>
          </cell>
        </row>
        <row r="11">
          <cell r="C11" t="str">
            <v>Net Interest Margin</v>
          </cell>
          <cell r="AJ11">
            <v>2.0760173656092416E-2</v>
          </cell>
          <cell r="AK11">
            <v>1.9964303726664381E-2</v>
          </cell>
          <cell r="AL11">
            <v>2.0344903364600563E-2</v>
          </cell>
          <cell r="AN11">
            <v>2.0132752801532081E-2</v>
          </cell>
          <cell r="AO11">
            <v>1.9510365021069037E-2</v>
          </cell>
          <cell r="AP11">
            <v>1.9812375029441685E-2</v>
          </cell>
          <cell r="AR11">
            <v>2.0136724668186289E-2</v>
          </cell>
          <cell r="AS11">
            <v>2.1062322220075799E-2</v>
          </cell>
          <cell r="AT11">
            <v>2.063919501871225E-2</v>
          </cell>
          <cell r="AV11">
            <v>2.1505802541814154E-2</v>
          </cell>
          <cell r="AW11">
            <v>2.0528584881594591E-2</v>
          </cell>
          <cell r="AX11">
            <v>2.1016394487712104E-2</v>
          </cell>
          <cell r="AZ11">
            <v>2.1012961163854135E-2</v>
          </cell>
          <cell r="BA11">
            <v>2.2142065564287886E-2</v>
          </cell>
          <cell r="BB11">
            <v>2.116650987770461E-2</v>
          </cell>
          <cell r="BD11">
            <v>2.1216607869499745E-2</v>
          </cell>
          <cell r="BE11">
            <v>2.0575969140647007E-2</v>
          </cell>
          <cell r="BF11">
            <v>2.0894574271262612E-2</v>
          </cell>
          <cell r="BG11">
            <v>0</v>
          </cell>
          <cell r="BH11">
            <v>2.0744099638070796E-2</v>
          </cell>
          <cell r="BI11">
            <v>2.0988283220190761E-2</v>
          </cell>
          <cell r="BJ11">
            <v>2.0864546991016766E-2</v>
          </cell>
          <cell r="BK11">
            <v>0</v>
          </cell>
          <cell r="BL11">
            <v>2.0768261438247868E-2</v>
          </cell>
          <cell r="BM11">
            <v>2.0613012541993835E-2</v>
          </cell>
          <cell r="BN11">
            <v>2.0688674768096632E-2</v>
          </cell>
          <cell r="BO11">
            <v>0</v>
          </cell>
          <cell r="BP11">
            <v>2.063044133120405E-2</v>
          </cell>
          <cell r="BQ11">
            <v>2.0530843642264963E-2</v>
          </cell>
          <cell r="BR11">
            <v>2.0579370387099994E-2</v>
          </cell>
          <cell r="BS11">
            <v>12.383393136241709</v>
          </cell>
          <cell r="BT11" t="str">
            <v>NTA per Share (A$)</v>
          </cell>
          <cell r="BU11">
            <v>12.139405734758311</v>
          </cell>
          <cell r="BV11">
            <v>12.383393136241709</v>
          </cell>
          <cell r="BW11">
            <v>12.383393136241709</v>
          </cell>
          <cell r="BX11" t="str">
            <v>NTA per Share (A$)</v>
          </cell>
          <cell r="BY11">
            <v>13.623577612818831</v>
          </cell>
          <cell r="BZ11">
            <v>13.654191074315078</v>
          </cell>
          <cell r="CA11">
            <v>13.654191074315078</v>
          </cell>
          <cell r="CC11">
            <v>14.861370850155446</v>
          </cell>
          <cell r="CD11">
            <v>15.940727210732373</v>
          </cell>
          <cell r="CE11">
            <v>15.940727210732373</v>
          </cell>
          <cell r="CG11">
            <v>15.755625634130199</v>
          </cell>
          <cell r="CH11">
            <v>16.820462940252952</v>
          </cell>
          <cell r="CI11">
            <v>16.820462940252952</v>
          </cell>
          <cell r="CK11">
            <v>17.316344816482548</v>
          </cell>
          <cell r="CL11">
            <v>18.729962924835736</v>
          </cell>
          <cell r="CM11">
            <v>18.729962924835736</v>
          </cell>
          <cell r="CO11">
            <v>19.502739061336253</v>
          </cell>
          <cell r="CP11">
            <v>20.509377956123679</v>
          </cell>
          <cell r="CQ11">
            <v>20.509377956123679</v>
          </cell>
        </row>
        <row r="12">
          <cell r="C12" t="str">
            <v>Fees and Commissions</v>
          </cell>
          <cell r="AH12">
            <v>2435</v>
          </cell>
          <cell r="AJ12">
            <v>1276</v>
          </cell>
          <cell r="AK12">
            <v>1349</v>
          </cell>
          <cell r="AL12">
            <v>2625</v>
          </cell>
          <cell r="AN12">
            <v>1377</v>
          </cell>
          <cell r="AO12">
            <v>1426</v>
          </cell>
          <cell r="AP12">
            <v>2803</v>
          </cell>
          <cell r="AR12">
            <v>1594</v>
          </cell>
          <cell r="AS12">
            <v>1829</v>
          </cell>
          <cell r="AT12">
            <v>3423</v>
          </cell>
          <cell r="AV12">
            <v>1753</v>
          </cell>
          <cell r="AW12">
            <v>1688</v>
          </cell>
          <cell r="AX12">
            <v>3441</v>
          </cell>
          <cell r="AZ12">
            <v>1458</v>
          </cell>
          <cell r="BA12">
            <v>1470</v>
          </cell>
          <cell r="BB12">
            <v>2928</v>
          </cell>
          <cell r="BD12">
            <v>1470</v>
          </cell>
          <cell r="BE12">
            <v>1524</v>
          </cell>
          <cell r="BF12">
            <v>2994</v>
          </cell>
          <cell r="BH12">
            <v>1574.8974211524751</v>
          </cell>
          <cell r="BI12">
            <v>1559.2232291753498</v>
          </cell>
          <cell r="BJ12">
            <v>3134.1206503278249</v>
          </cell>
          <cell r="BL12">
            <v>1589.0595849120582</v>
          </cell>
          <cell r="BM12">
            <v>1609.9451018303157</v>
          </cell>
          <cell r="BN12">
            <v>3199.0046867423744</v>
          </cell>
          <cell r="BP12">
            <v>1638.7165323566526</v>
          </cell>
          <cell r="BQ12">
            <v>1668.7728323184658</v>
          </cell>
          <cell r="BR12">
            <v>3307.4893646751184</v>
          </cell>
          <cell r="BS12">
            <v>18.610531153479808</v>
          </cell>
          <cell r="BT12" t="str">
            <v>Book Value per Share (A$)</v>
          </cell>
          <cell r="BU12">
            <v>18.380466097798688</v>
          </cell>
          <cell r="BV12">
            <v>18.610531153479808</v>
          </cell>
          <cell r="BW12">
            <v>18.610531153479808</v>
          </cell>
          <cell r="BX12" t="str">
            <v>Book Value per Share (A$)</v>
          </cell>
          <cell r="BY12">
            <v>19.391660216340291</v>
          </cell>
          <cell r="BZ12">
            <v>19.741229191879111</v>
          </cell>
          <cell r="CA12">
            <v>19.741229191879111</v>
          </cell>
          <cell r="CC12">
            <v>20.937319232469775</v>
          </cell>
          <cell r="CD12">
            <v>22.023101251768463</v>
          </cell>
          <cell r="CE12">
            <v>22.023101251768463</v>
          </cell>
          <cell r="CG12">
            <v>21.877361507873132</v>
          </cell>
          <cell r="CH12">
            <v>22.981614315896586</v>
          </cell>
          <cell r="CI12">
            <v>22.981614315896586</v>
          </cell>
          <cell r="CK12">
            <v>23.656775505623372</v>
          </cell>
          <cell r="CL12">
            <v>25.187249696917029</v>
          </cell>
          <cell r="CM12">
            <v>25.187249696917029</v>
          </cell>
          <cell r="CO12">
            <v>25.891395392797655</v>
          </cell>
          <cell r="CP12">
            <v>26.852844242671743</v>
          </cell>
          <cell r="CQ12">
            <v>26.852844242671747</v>
          </cell>
        </row>
        <row r="13">
          <cell r="C13" t="str">
            <v>Trading Income</v>
          </cell>
          <cell r="AH13">
            <v>505</v>
          </cell>
          <cell r="AJ13">
            <v>306</v>
          </cell>
          <cell r="AK13">
            <v>249</v>
          </cell>
          <cell r="AL13">
            <v>555</v>
          </cell>
          <cell r="AN13">
            <v>200</v>
          </cell>
          <cell r="AO13">
            <v>346</v>
          </cell>
          <cell r="AP13">
            <v>546</v>
          </cell>
          <cell r="AR13">
            <v>448</v>
          </cell>
          <cell r="AS13">
            <v>293</v>
          </cell>
          <cell r="AT13">
            <v>741</v>
          </cell>
          <cell r="AV13">
            <v>291</v>
          </cell>
          <cell r="AW13">
            <v>306</v>
          </cell>
          <cell r="AX13">
            <v>597</v>
          </cell>
          <cell r="AZ13">
            <v>426</v>
          </cell>
          <cell r="BA13">
            <v>291</v>
          </cell>
          <cell r="BB13">
            <v>717</v>
          </cell>
          <cell r="BD13">
            <v>241</v>
          </cell>
          <cell r="BE13">
            <v>281</v>
          </cell>
          <cell r="BF13">
            <v>522</v>
          </cell>
          <cell r="BH13">
            <v>339.30120000000005</v>
          </cell>
          <cell r="BI13">
            <v>377.52388974999997</v>
          </cell>
          <cell r="BJ13">
            <v>716.82508974999996</v>
          </cell>
          <cell r="BL13">
            <v>380.05476689249991</v>
          </cell>
          <cell r="BM13">
            <v>391.98103623936242</v>
          </cell>
          <cell r="BN13">
            <v>772.03580313186239</v>
          </cell>
          <cell r="BP13">
            <v>403.73397970557971</v>
          </cell>
          <cell r="BQ13">
            <v>415.29161859220812</v>
          </cell>
          <cell r="BR13">
            <v>819.02559829778784</v>
          </cell>
          <cell r="BS13">
            <v>4.3211096838551946</v>
          </cell>
          <cell r="BT13" t="str">
            <v>Price/NTA (x)</v>
          </cell>
          <cell r="BU13">
            <v>5.1238092999812208</v>
          </cell>
          <cell r="BV13">
            <v>5.0228559584338086</v>
          </cell>
          <cell r="BW13">
            <v>5.0228559584338086</v>
          </cell>
          <cell r="BX13" t="str">
            <v>Price/NTA (x)</v>
          </cell>
          <cell r="BY13">
            <v>4.5656142437559257</v>
          </cell>
          <cell r="BZ13">
            <v>4.5553778807888907</v>
          </cell>
          <cell r="CA13">
            <v>4.5553778807888907</v>
          </cell>
          <cell r="CC13">
            <v>4.1853474102188502</v>
          </cell>
          <cell r="CD13">
            <v>3.9019549847213222</v>
          </cell>
          <cell r="CE13">
            <v>3.9019549847213222</v>
          </cell>
          <cell r="CG13">
            <v>3.9477962630224552</v>
          </cell>
          <cell r="CH13">
            <v>3.697876819498799</v>
          </cell>
          <cell r="CI13">
            <v>3.697876819498799</v>
          </cell>
          <cell r="CK13">
            <v>3.5919820642977141</v>
          </cell>
          <cell r="CL13">
            <v>3.3208821741725636</v>
          </cell>
          <cell r="CM13">
            <v>3.3208821741725636</v>
          </cell>
          <cell r="CO13">
            <v>3.1892956063443476</v>
          </cell>
          <cell r="CP13">
            <v>3.0327589716795074</v>
          </cell>
          <cell r="CQ13">
            <v>3.0327589716795074</v>
          </cell>
        </row>
        <row r="14">
          <cell r="C14" t="str">
            <v>Other Income</v>
          </cell>
          <cell r="AH14">
            <v>96</v>
          </cell>
          <cell r="AJ14">
            <v>130</v>
          </cell>
          <cell r="AK14">
            <v>11</v>
          </cell>
          <cell r="AL14">
            <v>141</v>
          </cell>
          <cell r="AN14">
            <v>-36</v>
          </cell>
          <cell r="AO14">
            <v>-1</v>
          </cell>
          <cell r="AP14">
            <v>-37</v>
          </cell>
          <cell r="AR14">
            <v>-6</v>
          </cell>
          <cell r="AS14">
            <v>18</v>
          </cell>
          <cell r="AT14">
            <v>12</v>
          </cell>
          <cell r="AV14">
            <v>34</v>
          </cell>
          <cell r="AW14">
            <v>40</v>
          </cell>
          <cell r="AX14">
            <v>74</v>
          </cell>
          <cell r="AZ14">
            <v>168</v>
          </cell>
          <cell r="BA14">
            <v>183</v>
          </cell>
          <cell r="BB14">
            <v>351</v>
          </cell>
          <cell r="BD14">
            <v>216</v>
          </cell>
          <cell r="BE14">
            <v>195</v>
          </cell>
          <cell r="BF14">
            <v>411</v>
          </cell>
          <cell r="BH14">
            <v>205.00000000000028</v>
          </cell>
          <cell r="BI14">
            <v>209.0999999999998</v>
          </cell>
          <cell r="BJ14">
            <v>414.10000000000014</v>
          </cell>
          <cell r="BL14">
            <v>213.28199999999987</v>
          </cell>
          <cell r="BM14">
            <v>217.54764000000011</v>
          </cell>
          <cell r="BN14">
            <v>430.82963999999947</v>
          </cell>
          <cell r="BP14">
            <v>221.89859279999996</v>
          </cell>
          <cell r="BQ14">
            <v>226.33656465599984</v>
          </cell>
          <cell r="BR14">
            <v>448.23515745600025</v>
          </cell>
          <cell r="BS14">
            <v>2.8752537774825768</v>
          </cell>
          <cell r="BT14" t="str">
            <v>Price/Book (x)</v>
          </cell>
          <cell r="BU14">
            <v>3.3840273510501078</v>
          </cell>
          <cell r="BV14">
            <v>3.3421937013533225</v>
          </cell>
          <cell r="BW14">
            <v>3.3421937013533225</v>
          </cell>
          <cell r="BX14" t="str">
            <v>Price/Book (x)</v>
          </cell>
          <cell r="BY14">
            <v>3.2075644532791197</v>
          </cell>
          <cell r="BZ14">
            <v>3.1507663173064739</v>
          </cell>
          <cell r="CA14">
            <v>3.1507663173064739</v>
          </cell>
          <cell r="CC14">
            <v>2.970771917330262</v>
          </cell>
          <cell r="CD14">
            <v>2.8243070441773193</v>
          </cell>
          <cell r="CE14">
            <v>2.8243070441773193</v>
          </cell>
          <cell r="CG14">
            <v>2.8431216432390958</v>
          </cell>
          <cell r="CH14">
            <v>2.706511350552764</v>
          </cell>
          <cell r="CI14">
            <v>2.706511350552764</v>
          </cell>
          <cell r="CK14">
            <v>2.6292678807902052</v>
          </cell>
          <cell r="CL14">
            <v>2.4695034491047831</v>
          </cell>
          <cell r="CM14">
            <v>2.4695034491047831</v>
          </cell>
          <cell r="CO14">
            <v>2.4023425179047129</v>
          </cell>
          <cell r="CP14">
            <v>2.3163281862395135</v>
          </cell>
          <cell r="CQ14">
            <v>2.3163281862395131</v>
          </cell>
        </row>
        <row r="15">
          <cell r="C15" t="str">
            <v>Banking Non Interest Income</v>
          </cell>
          <cell r="AH15">
            <v>3036</v>
          </cell>
          <cell r="AJ15">
            <v>1712</v>
          </cell>
          <cell r="AK15">
            <v>1609</v>
          </cell>
          <cell r="AL15">
            <v>3321</v>
          </cell>
          <cell r="AN15">
            <v>1541</v>
          </cell>
          <cell r="AO15">
            <v>1771</v>
          </cell>
          <cell r="AP15">
            <v>3312</v>
          </cell>
          <cell r="AR15">
            <v>2036</v>
          </cell>
          <cell r="AS15">
            <v>2140</v>
          </cell>
          <cell r="AT15">
            <v>4176</v>
          </cell>
          <cell r="AV15">
            <v>2078</v>
          </cell>
          <cell r="AW15">
            <v>2034</v>
          </cell>
          <cell r="AX15">
            <v>4112</v>
          </cell>
          <cell r="AZ15">
            <v>2052</v>
          </cell>
          <cell r="BA15">
            <v>1944</v>
          </cell>
          <cell r="BB15">
            <v>3996</v>
          </cell>
          <cell r="BD15">
            <v>1927</v>
          </cell>
          <cell r="BE15">
            <v>2000</v>
          </cell>
          <cell r="BF15">
            <v>3927</v>
          </cell>
          <cell r="BH15">
            <v>2119.1986211524754</v>
          </cell>
          <cell r="BI15">
            <v>2145.8471189253496</v>
          </cell>
          <cell r="BJ15">
            <v>4265.045740077825</v>
          </cell>
          <cell r="BL15">
            <v>2182.396351804558</v>
          </cell>
          <cell r="BM15">
            <v>2219.4737780696782</v>
          </cell>
          <cell r="BN15">
            <v>4401.8701298742362</v>
          </cell>
          <cell r="BP15">
            <v>2264.3491048622323</v>
          </cell>
          <cell r="BQ15">
            <v>2310.4010155666738</v>
          </cell>
          <cell r="BR15">
            <v>4574.7501204289065</v>
          </cell>
          <cell r="BS15">
            <v>266</v>
          </cell>
          <cell r="BT15" t="str">
            <v>Dividend per Share (¢)</v>
          </cell>
          <cell r="BU15">
            <v>113</v>
          </cell>
          <cell r="BV15">
            <v>153</v>
          </cell>
          <cell r="BW15">
            <v>266</v>
          </cell>
          <cell r="BX15" t="str">
            <v>Dividend per Share (¢)</v>
          </cell>
          <cell r="BY15">
            <v>113</v>
          </cell>
          <cell r="BZ15">
            <v>115</v>
          </cell>
          <cell r="CA15">
            <v>228</v>
          </cell>
          <cell r="CC15">
            <v>120</v>
          </cell>
          <cell r="CD15">
            <v>170</v>
          </cell>
          <cell r="CE15">
            <v>290</v>
          </cell>
          <cell r="CG15">
            <v>132</v>
          </cell>
          <cell r="CH15">
            <v>188</v>
          </cell>
          <cell r="CI15">
            <v>320</v>
          </cell>
          <cell r="CK15">
            <v>137</v>
          </cell>
          <cell r="CL15">
            <v>197</v>
          </cell>
          <cell r="CM15">
            <v>334</v>
          </cell>
          <cell r="CO15">
            <v>163</v>
          </cell>
          <cell r="CP15">
            <v>194</v>
          </cell>
          <cell r="CQ15">
            <v>357</v>
          </cell>
        </row>
        <row r="16">
          <cell r="C16" t="str">
            <v>Banking Income</v>
          </cell>
          <cell r="AH16">
            <v>9550</v>
          </cell>
          <cell r="AJ16">
            <v>5197</v>
          </cell>
          <cell r="AK16">
            <v>5160</v>
          </cell>
          <cell r="AL16">
            <v>10357</v>
          </cell>
          <cell r="AN16">
            <v>5440</v>
          </cell>
          <cell r="AO16">
            <v>5779</v>
          </cell>
          <cell r="AP16">
            <v>11219</v>
          </cell>
          <cell r="AQ16">
            <v>0</v>
          </cell>
          <cell r="AR16">
            <v>6579</v>
          </cell>
          <cell r="AS16">
            <v>7783</v>
          </cell>
          <cell r="AT16">
            <v>14362</v>
          </cell>
          <cell r="AU16">
            <v>0</v>
          </cell>
          <cell r="AV16">
            <v>8140</v>
          </cell>
          <cell r="AW16">
            <v>7840</v>
          </cell>
          <cell r="AX16">
            <v>15980</v>
          </cell>
          <cell r="AY16">
            <v>0</v>
          </cell>
          <cell r="AZ16">
            <v>8229</v>
          </cell>
          <cell r="BA16">
            <v>8412</v>
          </cell>
          <cell r="BB16">
            <v>16641</v>
          </cell>
          <cell r="BD16">
            <v>8571</v>
          </cell>
          <cell r="BE16">
            <v>8513</v>
          </cell>
          <cell r="BF16">
            <v>17084</v>
          </cell>
          <cell r="BH16">
            <v>8864.738359811312</v>
          </cell>
          <cell r="BI16">
            <v>9035.9775492496847</v>
          </cell>
          <cell r="BJ16">
            <v>17900.715909061</v>
          </cell>
          <cell r="BL16">
            <v>9284.8297528230651</v>
          </cell>
          <cell r="BM16">
            <v>9301.0212008634026</v>
          </cell>
          <cell r="BN16">
            <v>18585.850953686466</v>
          </cell>
          <cell r="BP16">
            <v>9599.2585536050392</v>
          </cell>
          <cell r="BQ16">
            <v>9602.0207973355464</v>
          </cell>
          <cell r="BR16">
            <v>19201.279350940589</v>
          </cell>
          <cell r="BT16" t="str">
            <v>Franking (%)</v>
          </cell>
          <cell r="BU16">
            <v>10771.787423578444</v>
          </cell>
          <cell r="BV16">
            <v>21438.119306976161</v>
          </cell>
          <cell r="BW16">
            <v>100</v>
          </cell>
          <cell r="BX16" t="str">
            <v>Franking (%)</v>
          </cell>
          <cell r="CA16">
            <v>100</v>
          </cell>
          <cell r="CE16">
            <v>100</v>
          </cell>
          <cell r="CI16">
            <v>100</v>
          </cell>
          <cell r="CM16">
            <v>100</v>
          </cell>
          <cell r="CQ16">
            <v>100</v>
          </cell>
        </row>
        <row r="17">
          <cell r="C17" t="str">
            <v>Funds Management Income</v>
          </cell>
          <cell r="AH17">
            <v>1543</v>
          </cell>
          <cell r="AJ17">
            <v>893</v>
          </cell>
          <cell r="AK17">
            <v>981</v>
          </cell>
          <cell r="AL17">
            <v>1874</v>
          </cell>
          <cell r="AN17">
            <v>1141</v>
          </cell>
          <cell r="AO17">
            <v>1166</v>
          </cell>
          <cell r="AP17">
            <v>2307</v>
          </cell>
          <cell r="AR17">
            <v>1005</v>
          </cell>
          <cell r="AS17">
            <v>808</v>
          </cell>
          <cell r="AT17">
            <v>1813</v>
          </cell>
          <cell r="AU17">
            <v>0</v>
          </cell>
          <cell r="AV17">
            <v>947</v>
          </cell>
          <cell r="AW17">
            <v>951</v>
          </cell>
          <cell r="AX17">
            <v>1898</v>
          </cell>
          <cell r="AY17">
            <v>0</v>
          </cell>
          <cell r="AZ17">
            <v>1017</v>
          </cell>
          <cell r="BA17">
            <v>1024</v>
          </cell>
          <cell r="BB17">
            <v>2041</v>
          </cell>
          <cell r="BD17">
            <v>977</v>
          </cell>
          <cell r="BE17">
            <v>980</v>
          </cell>
          <cell r="BF17">
            <v>1957</v>
          </cell>
          <cell r="BH17">
            <v>1043.9723939797641</v>
          </cell>
          <cell r="BI17">
            <v>1112.7007418835806</v>
          </cell>
          <cell r="BJ17">
            <v>2156.6731358633447</v>
          </cell>
          <cell r="BL17">
            <v>1166.2411674047385</v>
          </cell>
          <cell r="BM17">
            <v>1203.8382536396537</v>
          </cell>
          <cell r="BN17">
            <v>2370.0794210443919</v>
          </cell>
          <cell r="BP17">
            <v>1257.6550839753552</v>
          </cell>
          <cell r="BQ17">
            <v>1293.9138207858223</v>
          </cell>
          <cell r="BR17">
            <v>2551.5689047611777</v>
          </cell>
          <cell r="BS17">
            <v>75.048401572892203</v>
          </cell>
          <cell r="BT17" t="str">
            <v>Dividend Payout Ratio (%)</v>
          </cell>
          <cell r="BU17">
            <v>63.010058130508476</v>
          </cell>
          <cell r="BV17">
            <v>87.267967389677423</v>
          </cell>
          <cell r="BW17">
            <v>75.048401572892203</v>
          </cell>
          <cell r="BX17" t="str">
            <v>Dividend Payout Ratio (%)</v>
          </cell>
          <cell r="BY17">
            <v>83.666602291897334</v>
          </cell>
          <cell r="BZ17">
            <v>73.666015577815287</v>
          </cell>
          <cell r="CA17">
            <v>78.225714017668665</v>
          </cell>
          <cell r="CC17">
            <v>63.072809126413155</v>
          </cell>
          <cell r="CD17">
            <v>83.982568925039871</v>
          </cell>
          <cell r="CE17">
            <v>73.900707535513703</v>
          </cell>
          <cell r="CG17">
            <v>61.713170470268643</v>
          </cell>
          <cell r="CH17">
            <v>84.202241917241366</v>
          </cell>
          <cell r="CI17">
            <v>73.23414332989843</v>
          </cell>
          <cell r="CK17">
            <v>60.92110271119234</v>
          </cell>
          <cell r="CL17">
            <v>89.233141297297294</v>
          </cell>
          <cell r="CM17">
            <v>74.995040715740345</v>
          </cell>
          <cell r="CO17">
            <v>69.200797478657563</v>
          </cell>
          <cell r="CP17">
            <v>81.7947292658056</v>
          </cell>
          <cell r="CQ17">
            <v>75.541860793131193</v>
          </cell>
        </row>
        <row r="18">
          <cell r="C18" t="str">
            <v>Insurance Income</v>
          </cell>
          <cell r="AH18">
            <v>742</v>
          </cell>
          <cell r="AJ18">
            <v>382</v>
          </cell>
          <cell r="AK18">
            <v>435</v>
          </cell>
          <cell r="AL18">
            <v>817</v>
          </cell>
          <cell r="AN18">
            <v>393</v>
          </cell>
          <cell r="AO18">
            <v>439</v>
          </cell>
          <cell r="AP18">
            <v>832</v>
          </cell>
          <cell r="AR18">
            <v>432</v>
          </cell>
          <cell r="AS18">
            <v>478</v>
          </cell>
          <cell r="AT18">
            <v>910</v>
          </cell>
          <cell r="AU18">
            <v>0</v>
          </cell>
          <cell r="AV18">
            <v>463</v>
          </cell>
          <cell r="AW18">
            <v>482</v>
          </cell>
          <cell r="AX18">
            <v>945</v>
          </cell>
          <cell r="AY18">
            <v>0</v>
          </cell>
          <cell r="AZ18">
            <v>458</v>
          </cell>
          <cell r="BA18">
            <v>398</v>
          </cell>
          <cell r="BB18">
            <v>856</v>
          </cell>
          <cell r="BD18">
            <v>501</v>
          </cell>
          <cell r="BE18">
            <v>459</v>
          </cell>
          <cell r="BF18">
            <v>960</v>
          </cell>
          <cell r="BH18">
            <v>541.85399895135993</v>
          </cell>
          <cell r="BI18">
            <v>520.30835121067446</v>
          </cell>
          <cell r="BJ18">
            <v>1062.1623501620343</v>
          </cell>
          <cell r="BL18">
            <v>584.16239885415155</v>
          </cell>
          <cell r="BM18">
            <v>562.27545258000453</v>
          </cell>
          <cell r="BN18">
            <v>1146.4378514341561</v>
          </cell>
          <cell r="BP18">
            <v>625.95092284197187</v>
          </cell>
          <cell r="BQ18">
            <v>602.84143676262647</v>
          </cell>
          <cell r="BR18">
            <v>1228.7923596045985</v>
          </cell>
          <cell r="BS18">
            <v>4.9710334516912731</v>
          </cell>
          <cell r="BT18" t="str">
            <v>Dividend Yield (%)</v>
          </cell>
          <cell r="BU18">
            <v>3.633440514469453</v>
          </cell>
          <cell r="BV18">
            <v>4.919614147909968</v>
          </cell>
          <cell r="BW18">
            <v>4.2765273311897101</v>
          </cell>
          <cell r="BX18" t="str">
            <v>Dividend Yield (%)</v>
          </cell>
          <cell r="BY18">
            <v>3.633440514469453</v>
          </cell>
          <cell r="BZ18">
            <v>3.697749196141479</v>
          </cell>
          <cell r="CA18">
            <v>3.665594855305466</v>
          </cell>
          <cell r="CC18">
            <v>3.858520900321543</v>
          </cell>
          <cell r="CD18">
            <v>5.4662379421221861</v>
          </cell>
          <cell r="CE18">
            <v>4.662379421221865</v>
          </cell>
          <cell r="CG18">
            <v>4.244372990353698</v>
          </cell>
          <cell r="CH18">
            <v>6.045016077170418</v>
          </cell>
          <cell r="CI18">
            <v>5.144694533762058</v>
          </cell>
          <cell r="CK18">
            <v>4.405144694533762</v>
          </cell>
          <cell r="CL18">
            <v>6.3344051446945331</v>
          </cell>
          <cell r="CM18">
            <v>5.369774919614148</v>
          </cell>
          <cell r="CO18">
            <v>5.2411575562700961</v>
          </cell>
          <cell r="CP18">
            <v>6.237942122186495</v>
          </cell>
          <cell r="CQ18">
            <v>5.739549839228296</v>
          </cell>
        </row>
        <row r="19">
          <cell r="C19" t="str">
            <v>Investment Experience</v>
          </cell>
          <cell r="AH19">
            <v>101</v>
          </cell>
          <cell r="AJ19">
            <v>85</v>
          </cell>
          <cell r="AK19">
            <v>64</v>
          </cell>
          <cell r="AL19">
            <v>149</v>
          </cell>
          <cell r="AN19">
            <v>42</v>
          </cell>
          <cell r="AO19">
            <v>-59</v>
          </cell>
          <cell r="AP19">
            <v>-17</v>
          </cell>
          <cell r="AR19">
            <v>-183</v>
          </cell>
          <cell r="AS19">
            <v>-84</v>
          </cell>
          <cell r="AT19">
            <v>-267</v>
          </cell>
          <cell r="AU19">
            <v>0</v>
          </cell>
          <cell r="AV19">
            <v>142</v>
          </cell>
          <cell r="AW19">
            <v>94</v>
          </cell>
          <cell r="AX19">
            <v>236</v>
          </cell>
          <cell r="AY19">
            <v>0</v>
          </cell>
          <cell r="AZ19">
            <v>35</v>
          </cell>
          <cell r="BA19">
            <v>86</v>
          </cell>
          <cell r="BB19">
            <v>121</v>
          </cell>
          <cell r="BD19">
            <v>56</v>
          </cell>
          <cell r="BE19">
            <v>93</v>
          </cell>
          <cell r="BF19">
            <v>149</v>
          </cell>
          <cell r="BH19">
            <v>76.239013698630131</v>
          </cell>
          <cell r="BI19">
            <v>77.245865890410954</v>
          </cell>
          <cell r="BJ19">
            <v>153.4848795890411</v>
          </cell>
          <cell r="BL19">
            <v>96.249543863123293</v>
          </cell>
          <cell r="BM19">
            <v>99.979169730227127</v>
          </cell>
          <cell r="BN19">
            <v>196.22871359335042</v>
          </cell>
          <cell r="BP19">
            <v>101.07327980826301</v>
          </cell>
          <cell r="BQ19">
            <v>106.12694379867617</v>
          </cell>
          <cell r="BR19">
            <v>207.20022360693918</v>
          </cell>
          <cell r="BS19">
            <v>1326.1308770000001</v>
          </cell>
          <cell r="BT19" t="str">
            <v>Issued Shares (m)</v>
          </cell>
          <cell r="BU19">
            <v>1315.962276</v>
          </cell>
          <cell r="BV19">
            <v>1326.1308770000001</v>
          </cell>
          <cell r="BW19">
            <v>1326.1308770000001</v>
          </cell>
          <cell r="BX19" t="str">
            <v>Issued Shares (m)</v>
          </cell>
          <cell r="BY19">
            <v>1471.199458</v>
          </cell>
          <cell r="BZ19">
            <v>1518.8010690000001</v>
          </cell>
          <cell r="CA19">
            <v>1518.8010690000001</v>
          </cell>
          <cell r="CC19">
            <v>1534.2460819999999</v>
          </cell>
          <cell r="CD19">
            <v>1548.737374</v>
          </cell>
          <cell r="CE19">
            <v>1548.737374</v>
          </cell>
          <cell r="CG19">
            <v>1548.907074</v>
          </cell>
          <cell r="CH19">
            <v>1558.637244</v>
          </cell>
          <cell r="CI19">
            <v>1558.637244</v>
          </cell>
          <cell r="CK19">
            <v>1581.280593</v>
          </cell>
          <cell r="CL19">
            <v>1592.1547800000001</v>
          </cell>
          <cell r="CM19">
            <v>1592.1547800000001</v>
          </cell>
          <cell r="CO19">
            <v>1609.2585774837294</v>
          </cell>
          <cell r="CP19">
            <v>1620.7227303787924</v>
          </cell>
          <cell r="CQ19">
            <v>1620.7227303787922</v>
          </cell>
        </row>
        <row r="20">
          <cell r="C20" t="str">
            <v>Wealth Management Income</v>
          </cell>
          <cell r="AH20">
            <v>2531</v>
          </cell>
          <cell r="AJ20">
            <v>1360</v>
          </cell>
          <cell r="AK20">
            <v>1480</v>
          </cell>
          <cell r="AL20">
            <v>2840</v>
          </cell>
          <cell r="AN20">
            <v>1576</v>
          </cell>
          <cell r="AO20">
            <v>1546</v>
          </cell>
          <cell r="AP20">
            <v>3122</v>
          </cell>
          <cell r="AR20">
            <v>1254</v>
          </cell>
          <cell r="AS20">
            <v>1202</v>
          </cell>
          <cell r="AT20">
            <v>2456</v>
          </cell>
          <cell r="AV20">
            <v>1552</v>
          </cell>
          <cell r="AW20">
            <v>1527</v>
          </cell>
          <cell r="AX20">
            <v>3079</v>
          </cell>
          <cell r="AZ20">
            <v>1510</v>
          </cell>
          <cell r="BA20">
            <v>1508</v>
          </cell>
          <cell r="BB20">
            <v>3018</v>
          </cell>
          <cell r="BD20">
            <v>1534</v>
          </cell>
          <cell r="BE20">
            <v>1532</v>
          </cell>
          <cell r="BF20">
            <v>3066</v>
          </cell>
          <cell r="BH20">
            <v>1662.0654066297543</v>
          </cell>
          <cell r="BI20">
            <v>1710.2549589846658</v>
          </cell>
          <cell r="BJ20">
            <v>3372.3203656144206</v>
          </cell>
          <cell r="BL20">
            <v>1846.6531101220135</v>
          </cell>
          <cell r="BM20">
            <v>1866.0928759498852</v>
          </cell>
          <cell r="BN20">
            <v>3712.7459860718986</v>
          </cell>
          <cell r="BP20">
            <v>1984.6792866255901</v>
          </cell>
          <cell r="BQ20">
            <v>2002.8822013471249</v>
          </cell>
          <cell r="BR20">
            <v>3987.561487972715</v>
          </cell>
          <cell r="BS20">
            <v>1312.6</v>
          </cell>
          <cell r="BT20" t="str">
            <v>Weighted Average Shares (m)</v>
          </cell>
          <cell r="BU20">
            <v>1306</v>
          </cell>
          <cell r="BV20">
            <v>1319.2</v>
          </cell>
          <cell r="BW20">
            <v>1312.6</v>
          </cell>
          <cell r="BX20" t="str">
            <v>Weighted Average Shares (m)</v>
          </cell>
          <cell r="BY20">
            <v>1358</v>
          </cell>
          <cell r="BZ20">
            <v>1495.49</v>
          </cell>
          <cell r="CA20">
            <v>1426</v>
          </cell>
          <cell r="CC20">
            <v>1523</v>
          </cell>
          <cell r="CD20">
            <v>1539</v>
          </cell>
          <cell r="CE20">
            <v>1530.9</v>
          </cell>
          <cell r="CG20">
            <v>1546</v>
          </cell>
          <cell r="CH20">
            <v>1551</v>
          </cell>
          <cell r="CI20">
            <v>1548</v>
          </cell>
          <cell r="CK20">
            <v>1564</v>
          </cell>
          <cell r="CL20">
            <v>1583</v>
          </cell>
          <cell r="CM20">
            <v>1573</v>
          </cell>
          <cell r="CO20">
            <v>1600.7066787418648</v>
          </cell>
          <cell r="CP20">
            <v>1614.990653931261</v>
          </cell>
          <cell r="CQ20">
            <v>1607.8486663365629</v>
          </cell>
        </row>
        <row r="21">
          <cell r="C21" t="str">
            <v>Total Income</v>
          </cell>
          <cell r="AH21">
            <v>12081</v>
          </cell>
          <cell r="AJ21">
            <v>6557</v>
          </cell>
          <cell r="AK21">
            <v>6640</v>
          </cell>
          <cell r="AL21">
            <v>13197</v>
          </cell>
          <cell r="AN21">
            <v>7016</v>
          </cell>
          <cell r="AO21">
            <v>7325</v>
          </cell>
          <cell r="AP21">
            <v>14341</v>
          </cell>
          <cell r="AR21">
            <v>7833</v>
          </cell>
          <cell r="AS21">
            <v>8985</v>
          </cell>
          <cell r="AT21">
            <v>16818</v>
          </cell>
          <cell r="AV21">
            <v>9692</v>
          </cell>
          <cell r="AW21">
            <v>9367</v>
          </cell>
          <cell r="AX21">
            <v>19059</v>
          </cell>
          <cell r="AZ21">
            <v>9739</v>
          </cell>
          <cell r="BA21">
            <v>9920</v>
          </cell>
          <cell r="BB21">
            <v>19659</v>
          </cell>
          <cell r="BD21">
            <v>10105</v>
          </cell>
          <cell r="BE21">
            <v>10045</v>
          </cell>
          <cell r="BF21">
            <v>20150</v>
          </cell>
          <cell r="BH21">
            <v>10526.803766441066</v>
          </cell>
          <cell r="BI21">
            <v>10746.23250823435</v>
          </cell>
          <cell r="BJ21">
            <v>21273.036274675422</v>
          </cell>
          <cell r="BL21">
            <v>11131.482862945079</v>
          </cell>
          <cell r="BM21">
            <v>11167.114076813288</v>
          </cell>
          <cell r="BN21">
            <v>22298.596939758365</v>
          </cell>
          <cell r="BP21">
            <v>11583.937840230628</v>
          </cell>
          <cell r="BQ21">
            <v>11604.902998682672</v>
          </cell>
          <cell r="BR21">
            <v>23188.840838913304</v>
          </cell>
          <cell r="BS21">
            <v>1430.3999999999999</v>
          </cell>
          <cell r="BT21">
            <v>12427.724118022597</v>
          </cell>
          <cell r="BU21">
            <v>1541</v>
          </cell>
          <cell r="BV21">
            <v>1617.49</v>
          </cell>
          <cell r="BW21">
            <v>1554.49</v>
          </cell>
          <cell r="BY21">
            <v>1619</v>
          </cell>
          <cell r="BZ21">
            <v>1663</v>
          </cell>
          <cell r="CA21">
            <v>1643.9</v>
          </cell>
          <cell r="CC21">
            <v>1669</v>
          </cell>
          <cell r="CD21">
            <v>1672</v>
          </cell>
          <cell r="CE21">
            <v>1671</v>
          </cell>
          <cell r="CG21">
            <v>1672</v>
          </cell>
          <cell r="CH21">
            <v>1689.2225538201853</v>
          </cell>
          <cell r="CI21">
            <v>1680.6112769100928</v>
          </cell>
          <cell r="CK21">
            <v>1667.6672635837092</v>
          </cell>
          <cell r="CL21">
            <v>1673.4156564889108</v>
          </cell>
          <cell r="CM21">
            <v>1670.5414600363101</v>
          </cell>
          <cell r="CO21">
            <v>1661.4136472222146</v>
          </cell>
          <cell r="CP21">
            <v>1649.3526266518782</v>
          </cell>
          <cell r="CQ21">
            <v>1655.3831369370464</v>
          </cell>
        </row>
        <row r="22">
          <cell r="C22" t="str">
            <v>Personnel Expenses</v>
          </cell>
          <cell r="AH22">
            <v>-2823</v>
          </cell>
          <cell r="AJ22">
            <v>-1587</v>
          </cell>
          <cell r="AK22">
            <v>-1642</v>
          </cell>
          <cell r="AL22">
            <v>-3229</v>
          </cell>
          <cell r="AN22">
            <v>-1780</v>
          </cell>
          <cell r="AO22">
            <v>-1881</v>
          </cell>
          <cell r="AP22">
            <v>-3661</v>
          </cell>
          <cell r="AR22">
            <v>-1881</v>
          </cell>
          <cell r="AS22">
            <v>-2099</v>
          </cell>
          <cell r="AT22">
            <v>-3980</v>
          </cell>
          <cell r="AV22">
            <v>-2289</v>
          </cell>
          <cell r="AW22">
            <v>-2294</v>
          </cell>
          <cell r="AX22">
            <v>-4583</v>
          </cell>
          <cell r="AZ22">
            <v>-2417</v>
          </cell>
          <cell r="BA22">
            <v>-2370</v>
          </cell>
          <cell r="BB22">
            <v>-4787</v>
          </cell>
          <cell r="BD22">
            <v>-2478</v>
          </cell>
          <cell r="BE22">
            <v>-2469</v>
          </cell>
          <cell r="BF22">
            <v>-4947</v>
          </cell>
          <cell r="BH22">
            <v>-2485.4376669534709</v>
          </cell>
          <cell r="BI22">
            <v>-2530.3426762868985</v>
          </cell>
          <cell r="BJ22">
            <v>-5015.7803432403689</v>
          </cell>
          <cell r="BL22">
            <v>-2590.1585300841148</v>
          </cell>
          <cell r="BM22">
            <v>-2651.3851113223359</v>
          </cell>
          <cell r="BN22">
            <v>-5241.5436414064498</v>
          </cell>
          <cell r="BP22">
            <v>-2662.429864611096</v>
          </cell>
          <cell r="BQ22">
            <v>-2670.5572051370623</v>
          </cell>
          <cell r="BR22">
            <v>-5332.9870697481583</v>
          </cell>
          <cell r="BT22" t="str">
            <v>PERFORMANCE ANALYSIS (%)</v>
          </cell>
          <cell r="BU22">
            <v>-2941.8812079472532</v>
          </cell>
          <cell r="BV22">
            <v>-5868.9434451375128</v>
          </cell>
          <cell r="BX22" t="str">
            <v>PERFORMANCE ANALYSIS (%)</v>
          </cell>
        </row>
        <row r="23">
          <cell r="C23" t="str">
            <v>Occupancy &amp; Equipment</v>
          </cell>
          <cell r="AH23">
            <v>-1606</v>
          </cell>
          <cell r="AJ23">
            <v>-762</v>
          </cell>
          <cell r="AK23">
            <v>-809</v>
          </cell>
          <cell r="AL23">
            <v>-1571</v>
          </cell>
          <cell r="AN23">
            <v>-789</v>
          </cell>
          <cell r="AO23">
            <v>-804</v>
          </cell>
          <cell r="AP23">
            <v>-1593</v>
          </cell>
          <cell r="AR23">
            <v>-789</v>
          </cell>
          <cell r="AS23">
            <v>-994</v>
          </cell>
          <cell r="AT23">
            <v>-1783</v>
          </cell>
          <cell r="AV23">
            <v>-967</v>
          </cell>
          <cell r="AW23">
            <v>-1039</v>
          </cell>
          <cell r="AX23">
            <v>-2006</v>
          </cell>
          <cell r="AZ23">
            <v>-1045</v>
          </cell>
          <cell r="BA23">
            <v>-1141</v>
          </cell>
          <cell r="BB23">
            <v>-2186</v>
          </cell>
          <cell r="BD23">
            <v>-1102</v>
          </cell>
          <cell r="BE23">
            <v>-1113</v>
          </cell>
          <cell r="BF23">
            <v>-2215</v>
          </cell>
          <cell r="BH23">
            <v>-1135.2600000000002</v>
          </cell>
          <cell r="BI23">
            <v>-1157.9652000000001</v>
          </cell>
          <cell r="BJ23">
            <v>-2293.2251999999999</v>
          </cell>
          <cell r="BL23">
            <v>-1175.3346780000002</v>
          </cell>
          <cell r="BM23">
            <v>-1192.9646981699998</v>
          </cell>
          <cell r="BN23">
            <v>-2368.29937617</v>
          </cell>
          <cell r="BP23">
            <v>-1210.8591686425498</v>
          </cell>
          <cell r="BQ23">
            <v>-1229.0220561721878</v>
          </cell>
          <cell r="BR23">
            <v>-2439.8812248147378</v>
          </cell>
          <cell r="BT23">
            <v>-1279.7709352499999</v>
          </cell>
          <cell r="BU23">
            <v>-1298.9674992787498</v>
          </cell>
          <cell r="BV23">
            <v>-2578.7384345287496</v>
          </cell>
        </row>
        <row r="24">
          <cell r="C24" t="str">
            <v>Other Expenses</v>
          </cell>
          <cell r="AH24">
            <v>-1565</v>
          </cell>
          <cell r="AJ24">
            <v>-795</v>
          </cell>
          <cell r="AK24">
            <v>-832</v>
          </cell>
          <cell r="AL24">
            <v>-1627</v>
          </cell>
          <cell r="AN24">
            <v>-809</v>
          </cell>
          <cell r="AO24">
            <v>-958</v>
          </cell>
          <cell r="AP24">
            <v>-1767</v>
          </cell>
          <cell r="AR24">
            <v>-881</v>
          </cell>
          <cell r="AS24">
            <v>-1121</v>
          </cell>
          <cell r="AT24">
            <v>-2002</v>
          </cell>
          <cell r="AV24">
            <v>-1012</v>
          </cell>
          <cell r="AW24">
            <v>-1000</v>
          </cell>
          <cell r="AX24">
            <v>-2012</v>
          </cell>
          <cell r="AZ24">
            <v>-946</v>
          </cell>
          <cell r="BA24">
            <v>-972</v>
          </cell>
          <cell r="BB24">
            <v>-1918</v>
          </cell>
          <cell r="BD24">
            <v>-1022</v>
          </cell>
          <cell r="BE24">
            <v>-1012</v>
          </cell>
          <cell r="BF24">
            <v>-2034</v>
          </cell>
          <cell r="BH24">
            <v>-1031.7994088716418</v>
          </cell>
          <cell r="BI24">
            <v>-1054.3475329220769</v>
          </cell>
          <cell r="BJ24">
            <v>-2086.1469417937178</v>
          </cell>
          <cell r="BL24">
            <v>-1049.8944593987312</v>
          </cell>
          <cell r="BM24">
            <v>-1051.4522441071563</v>
          </cell>
          <cell r="BN24">
            <v>-2101.3467035058875</v>
          </cell>
          <cell r="BP24">
            <v>-1066.4437051774353</v>
          </cell>
          <cell r="BQ24">
            <v>-1082.5822256640765</v>
          </cell>
          <cell r="BR24">
            <v>-2149.0259308415125</v>
          </cell>
          <cell r="BT24" t="str">
            <v>Profitability</v>
          </cell>
          <cell r="BU24">
            <v>-805.0993659336475</v>
          </cell>
          <cell r="BV24">
            <v>-1592.9316676761468</v>
          </cell>
          <cell r="BX24" t="str">
            <v>Profitability</v>
          </cell>
        </row>
        <row r="25">
          <cell r="C25" t="str">
            <v>Total Operating Expenses</v>
          </cell>
          <cell r="AH25">
            <v>-5994</v>
          </cell>
          <cell r="AJ25">
            <v>-3144</v>
          </cell>
          <cell r="AK25">
            <v>-3283</v>
          </cell>
          <cell r="AL25">
            <v>-6427</v>
          </cell>
          <cell r="AN25">
            <v>-3378</v>
          </cell>
          <cell r="AO25">
            <v>-3643</v>
          </cell>
          <cell r="AP25">
            <v>-7021</v>
          </cell>
          <cell r="AR25">
            <v>-3551</v>
          </cell>
          <cell r="AS25">
            <v>-4214</v>
          </cell>
          <cell r="AT25">
            <v>-7765</v>
          </cell>
          <cell r="AV25">
            <v>-4268</v>
          </cell>
          <cell r="AW25">
            <v>-4333</v>
          </cell>
          <cell r="AX25">
            <v>-8601</v>
          </cell>
          <cell r="AZ25">
            <v>-4408</v>
          </cell>
          <cell r="BA25">
            <v>-4483</v>
          </cell>
          <cell r="BB25">
            <v>-8891</v>
          </cell>
          <cell r="BD25">
            <v>-4602</v>
          </cell>
          <cell r="BE25">
            <v>-4594</v>
          </cell>
          <cell r="BF25">
            <v>-9196</v>
          </cell>
          <cell r="BH25">
            <v>-4652.4970758251129</v>
          </cell>
          <cell r="BI25">
            <v>-4742.6554092089755</v>
          </cell>
          <cell r="BJ25">
            <v>-9395.1524850340866</v>
          </cell>
          <cell r="BL25">
            <v>-4815.3876674828462</v>
          </cell>
          <cell r="BM25">
            <v>-4895.802053599492</v>
          </cell>
          <cell r="BN25">
            <v>-9711.1897210823372</v>
          </cell>
          <cell r="BP25">
            <v>-4939.7327384310811</v>
          </cell>
          <cell r="BQ25">
            <v>-4982.1614869733266</v>
          </cell>
          <cell r="BR25">
            <v>-9921.8942254044086</v>
          </cell>
          <cell r="BT25" t="str">
            <v>Income / Avg Assets (%)</v>
          </cell>
          <cell r="BU25">
            <v>3.0436263228560461</v>
          </cell>
          <cell r="BV25">
            <v>2.9860907282392457</v>
          </cell>
          <cell r="BW25">
            <v>3.014474353530725</v>
          </cell>
          <cell r="BX25" t="str">
            <v>Income / Avg Assets (%)</v>
          </cell>
          <cell r="BY25">
            <v>2.915054789855922</v>
          </cell>
          <cell r="BZ25">
            <v>2.8172149549120187</v>
          </cell>
          <cell r="CA25">
            <v>2.8639642523857853</v>
          </cell>
          <cell r="CC25">
            <v>3.0660795181332725</v>
          </cell>
          <cell r="CD25">
            <v>2.8876626179172575</v>
          </cell>
          <cell r="CE25">
            <v>2.9760296806611941</v>
          </cell>
          <cell r="CG25">
            <v>2.9900235327347557</v>
          </cell>
          <cell r="CH25">
            <v>2.9659661365600174</v>
          </cell>
          <cell r="CI25">
            <v>2.9781625650464698</v>
          </cell>
          <cell r="CK25">
            <v>2.8891652728338406</v>
          </cell>
          <cell r="CL25">
            <v>2.8134851224195132</v>
          </cell>
          <cell r="CM25">
            <v>2.851095018578103</v>
          </cell>
          <cell r="CO25">
            <v>2.9014569564699006</v>
          </cell>
          <cell r="CP25">
            <v>2.8938671723461518</v>
          </cell>
          <cell r="CQ25">
            <v>2.8976179512213105</v>
          </cell>
        </row>
        <row r="26">
          <cell r="C26" t="str">
            <v>Cost to Income Ratio</v>
          </cell>
          <cell r="AH26">
            <v>-5994</v>
          </cell>
          <cell r="AJ26">
            <v>-3144</v>
          </cell>
          <cell r="AK26">
            <v>-3283</v>
          </cell>
          <cell r="AL26">
            <v>-6427</v>
          </cell>
          <cell r="AN26">
            <v>-3378</v>
          </cell>
          <cell r="AO26">
            <v>-3643</v>
          </cell>
          <cell r="AP26">
            <v>-7021</v>
          </cell>
          <cell r="AR26">
            <v>-3551</v>
          </cell>
          <cell r="AS26">
            <v>-4214</v>
          </cell>
          <cell r="AT26">
            <v>-7765</v>
          </cell>
          <cell r="AV26">
            <v>-4268</v>
          </cell>
          <cell r="AW26">
            <v>-4333</v>
          </cell>
          <cell r="AX26">
            <v>-8601</v>
          </cell>
          <cell r="AZ26">
            <v>-4408</v>
          </cell>
          <cell r="BA26">
            <v>-4483</v>
          </cell>
          <cell r="BB26">
            <v>-8891</v>
          </cell>
          <cell r="BD26">
            <v>0.45541810984661057</v>
          </cell>
          <cell r="BE26">
            <v>0.45734196117471376</v>
          </cell>
          <cell r="BF26">
            <v>0.45637717121588089</v>
          </cell>
          <cell r="BG26">
            <v>0</v>
          </cell>
          <cell r="BH26">
            <v>0.44196673359268313</v>
          </cell>
          <cell r="BI26">
            <v>0.44133191847234771</v>
          </cell>
          <cell r="BJ26">
            <v>0.44164605201273438</v>
          </cell>
          <cell r="BK26">
            <v>0</v>
          </cell>
          <cell r="BL26">
            <v>0.43259175141099121</v>
          </cell>
          <cell r="BM26">
            <v>0.43841246896231101</v>
          </cell>
          <cell r="BN26">
            <v>0.43550676068624289</v>
          </cell>
          <cell r="BO26">
            <v>0</v>
          </cell>
          <cell r="BP26">
            <v>0.42642949285134757</v>
          </cell>
          <cell r="BQ26">
            <v>0.42931522025982255</v>
          </cell>
          <cell r="BR26">
            <v>0.42787366105659025</v>
          </cell>
          <cell r="BS26">
            <v>3.014474353530725</v>
          </cell>
          <cell r="BT26" t="str">
            <v>Expenses / Avg Assets (%)</v>
          </cell>
          <cell r="BU26">
            <v>1.4654175767684896</v>
          </cell>
          <cell r="BV26">
            <v>1.4850960440922285</v>
          </cell>
          <cell r="BW26">
            <v>1.4758123168634836</v>
          </cell>
          <cell r="BX26" t="str">
            <v>Expenses / Avg Assets (%)</v>
          </cell>
          <cell r="BY26">
            <v>1.3215063907542932</v>
          </cell>
          <cell r="BZ26">
            <v>1.3212847879798828</v>
          </cell>
          <cell r="CA26">
            <v>1.3223143310605079</v>
          </cell>
          <cell r="CC26">
            <v>1.3501885455419735</v>
          </cell>
          <cell r="CD26">
            <v>1.335779024600777</v>
          </cell>
          <cell r="CE26">
            <v>1.3430311812459694</v>
          </cell>
          <cell r="CG26">
            <v>1.3533241331034811</v>
          </cell>
          <cell r="CH26">
            <v>1.34036554336679</v>
          </cell>
          <cell r="CI26">
            <v>1.3469069314730231</v>
          </cell>
          <cell r="CK26">
            <v>1.3157781875884547</v>
          </cell>
          <cell r="CL26">
            <v>1.2867248036232199</v>
          </cell>
          <cell r="CM26">
            <v>1.3011746794463641</v>
          </cell>
          <cell r="CO26">
            <v>1.2823474537107697</v>
          </cell>
          <cell r="CP26">
            <v>1.2771559509756751</v>
          </cell>
          <cell r="CQ26">
            <v>1.2797215283981196</v>
          </cell>
        </row>
        <row r="27">
          <cell r="C27" t="str">
            <v>Pre-Provision Profit</v>
          </cell>
          <cell r="AH27">
            <v>6087</v>
          </cell>
          <cell r="AJ27">
            <v>3413</v>
          </cell>
          <cell r="AK27">
            <v>3357</v>
          </cell>
          <cell r="AL27">
            <v>6770</v>
          </cell>
          <cell r="AN27">
            <v>3638</v>
          </cell>
          <cell r="AO27">
            <v>3682</v>
          </cell>
          <cell r="AP27">
            <v>7320</v>
          </cell>
          <cell r="AR27">
            <v>4282</v>
          </cell>
          <cell r="AS27">
            <v>4771</v>
          </cell>
          <cell r="AT27">
            <v>9053</v>
          </cell>
          <cell r="AV27">
            <v>5424</v>
          </cell>
          <cell r="AW27">
            <v>5034</v>
          </cell>
          <cell r="AX27">
            <v>10458</v>
          </cell>
          <cell r="AZ27">
            <v>5331</v>
          </cell>
          <cell r="BA27">
            <v>5437</v>
          </cell>
          <cell r="BB27">
            <v>10768</v>
          </cell>
          <cell r="BD27">
            <v>5503</v>
          </cell>
          <cell r="BE27">
            <v>5451</v>
          </cell>
          <cell r="BF27">
            <v>10954</v>
          </cell>
          <cell r="BH27">
            <v>5874.3066906159529</v>
          </cell>
          <cell r="BI27">
            <v>6003.577099025375</v>
          </cell>
          <cell r="BJ27">
            <v>11877.883789641335</v>
          </cell>
          <cell r="BL27">
            <v>6316.0951954622324</v>
          </cell>
          <cell r="BM27">
            <v>6271.3120232137962</v>
          </cell>
          <cell r="BN27">
            <v>12587.407218676028</v>
          </cell>
          <cell r="BP27">
            <v>6644.2051017995473</v>
          </cell>
          <cell r="BQ27">
            <v>6622.7415117093451</v>
          </cell>
          <cell r="BR27">
            <v>13266.946613508895</v>
          </cell>
          <cell r="BS27">
            <v>1.4758123168634836</v>
          </cell>
          <cell r="BT27" t="str">
            <v>Underlying Profit / Avg Assets  (%)</v>
          </cell>
          <cell r="BU27">
            <v>1.5782087460875565</v>
          </cell>
          <cell r="BV27">
            <v>1.5009946841470176</v>
          </cell>
          <cell r="BW27">
            <v>1.5386620366672412</v>
          </cell>
          <cell r="BX27" t="str">
            <v>Underlying Profit / Avg Assets  (%)</v>
          </cell>
          <cell r="BY27">
            <v>1.5935483991016286</v>
          </cell>
          <cell r="BZ27">
            <v>1.4959301669321361</v>
          </cell>
          <cell r="CA27">
            <v>1.5416499213252772</v>
          </cell>
          <cell r="CC27">
            <v>1.715890972591299</v>
          </cell>
          <cell r="CD27">
            <v>1.5518835933164807</v>
          </cell>
          <cell r="CE27">
            <v>1.6329984994152249</v>
          </cell>
          <cell r="CG27">
            <v>1.6366993996312744</v>
          </cell>
          <cell r="CH27">
            <v>1.6256005931932271</v>
          </cell>
          <cell r="CI27">
            <v>1.6312556335734467</v>
          </cell>
          <cell r="CK27">
            <v>1.5733870852453862</v>
          </cell>
          <cell r="CL27">
            <v>1.5267603187962933</v>
          </cell>
          <cell r="CM27">
            <v>1.5499203391317389</v>
          </cell>
          <cell r="CO27">
            <v>1.6191095027591307</v>
          </cell>
          <cell r="CP27">
            <v>1.6167112213704764</v>
          </cell>
          <cell r="CQ27">
            <v>1.6178964228231907</v>
          </cell>
        </row>
        <row r="28">
          <cell r="C28" t="str">
            <v>Impairment Charges</v>
          </cell>
          <cell r="AH28">
            <v>-398</v>
          </cell>
          <cell r="AJ28">
            <v>-195</v>
          </cell>
          <cell r="AK28">
            <v>-239</v>
          </cell>
          <cell r="AL28">
            <v>-434</v>
          </cell>
          <cell r="AN28">
            <v>-333</v>
          </cell>
          <cell r="AO28">
            <v>-597</v>
          </cell>
          <cell r="AP28">
            <v>-930</v>
          </cell>
          <cell r="AR28">
            <v>-1607</v>
          </cell>
          <cell r="AS28">
            <v>-1441</v>
          </cell>
          <cell r="AT28">
            <v>-3048</v>
          </cell>
          <cell r="AV28">
            <v>-1383</v>
          </cell>
          <cell r="AW28">
            <v>-692</v>
          </cell>
          <cell r="AX28">
            <v>-2075</v>
          </cell>
          <cell r="AZ28">
            <v>-722</v>
          </cell>
          <cell r="BA28">
            <v>-558</v>
          </cell>
          <cell r="BB28">
            <v>-1280</v>
          </cell>
          <cell r="BD28">
            <v>-545</v>
          </cell>
          <cell r="BE28">
            <v>-544</v>
          </cell>
          <cell r="BF28">
            <v>-1089</v>
          </cell>
          <cell r="BH28">
            <v>-608.20167674158733</v>
          </cell>
          <cell r="BI28">
            <v>-664.56183983368214</v>
          </cell>
          <cell r="BJ28">
            <v>-1272.7635165752695</v>
          </cell>
          <cell r="BL28">
            <v>-767.07200275132118</v>
          </cell>
          <cell r="BM28">
            <v>-861.93893386309242</v>
          </cell>
          <cell r="BN28">
            <v>-1629.0109366144136</v>
          </cell>
          <cell r="BP28">
            <v>-920.88147494368377</v>
          </cell>
          <cell r="BQ28">
            <v>-942.38228869130307</v>
          </cell>
          <cell r="BR28">
            <v>-1863.2637636349868</v>
          </cell>
          <cell r="BS28">
            <v>1.5386620366672412</v>
          </cell>
          <cell r="BT28" t="str">
            <v>Return on Avg Assets (ROA) (%)</v>
          </cell>
          <cell r="BU28">
            <v>1.0237967676653745</v>
          </cell>
          <cell r="BV28">
            <v>0.94780354172781522</v>
          </cell>
          <cell r="BW28">
            <v>0.98478574341339142</v>
          </cell>
          <cell r="BX28" t="str">
            <v>Return on Avg Assets (ROA) (%)</v>
          </cell>
          <cell r="BY28">
            <v>0.73946302405766851</v>
          </cell>
          <cell r="BZ28">
            <v>0.74341865977700572</v>
          </cell>
          <cell r="CA28">
            <v>0.74213082482442938</v>
          </cell>
          <cell r="CC28">
            <v>0.92343026345759627</v>
          </cell>
          <cell r="CD28">
            <v>0.96645909118934592</v>
          </cell>
          <cell r="CE28">
            <v>0.9453215639185093</v>
          </cell>
          <cell r="CG28">
            <v>1.017142208024463</v>
          </cell>
          <cell r="CH28">
            <v>1.0404800559706513</v>
          </cell>
          <cell r="CI28">
            <v>1.0290787071753735</v>
          </cell>
          <cell r="CK28">
            <v>1.0167116981887321</v>
          </cell>
          <cell r="CL28">
            <v>0.98450972676003867</v>
          </cell>
          <cell r="CM28">
            <v>1.0005008871645542</v>
          </cell>
          <cell r="CO28">
            <v>1.0447730048027855</v>
          </cell>
          <cell r="CP28">
            <v>1.0351600291641057</v>
          </cell>
          <cell r="CQ28">
            <v>1.0399106446447428</v>
          </cell>
        </row>
        <row r="29">
          <cell r="C29" t="str">
            <v>Pre-Tax Operating Profit</v>
          </cell>
          <cell r="AH29">
            <v>5689</v>
          </cell>
          <cell r="AJ29">
            <v>3218</v>
          </cell>
          <cell r="AK29">
            <v>3118</v>
          </cell>
          <cell r="AL29">
            <v>6336</v>
          </cell>
          <cell r="AN29">
            <v>3305</v>
          </cell>
          <cell r="AO29">
            <v>3085</v>
          </cell>
          <cell r="AP29">
            <v>6390</v>
          </cell>
          <cell r="AR29">
            <v>2675</v>
          </cell>
          <cell r="AS29">
            <v>3330</v>
          </cell>
          <cell r="AT29">
            <v>6005</v>
          </cell>
          <cell r="AV29">
            <v>4041</v>
          </cell>
          <cell r="AW29">
            <v>4342</v>
          </cell>
          <cell r="AX29">
            <v>8383</v>
          </cell>
          <cell r="AZ29">
            <v>4609</v>
          </cell>
          <cell r="BA29">
            <v>4879</v>
          </cell>
          <cell r="BB29">
            <v>9488</v>
          </cell>
          <cell r="BD29">
            <v>4958</v>
          </cell>
          <cell r="BE29">
            <v>4907</v>
          </cell>
          <cell r="BF29">
            <v>9865</v>
          </cell>
          <cell r="BH29">
            <v>5266.1050138743658</v>
          </cell>
          <cell r="BI29">
            <v>5339.0152591916931</v>
          </cell>
          <cell r="BJ29">
            <v>10605.120273066066</v>
          </cell>
          <cell r="BL29">
            <v>5549.0231927109107</v>
          </cell>
          <cell r="BM29">
            <v>5409.3730893507036</v>
          </cell>
          <cell r="BN29">
            <v>10958.396282061614</v>
          </cell>
          <cell r="BP29">
            <v>5723.323626855863</v>
          </cell>
          <cell r="BQ29">
            <v>5680.359223018042</v>
          </cell>
          <cell r="BR29">
            <v>11403.682849873909</v>
          </cell>
          <cell r="BS29">
            <v>0.98478574341339142</v>
          </cell>
          <cell r="BT29" t="str">
            <v>Gearing (x)</v>
          </cell>
          <cell r="BU29">
            <v>19.54299400182277</v>
          </cell>
          <cell r="BV29">
            <v>20.171782168040622</v>
          </cell>
          <cell r="BW29">
            <v>19.860482591633964</v>
          </cell>
          <cell r="BX29" t="str">
            <v>Gearing (x)</v>
          </cell>
          <cell r="BY29">
            <v>20.200229284519533</v>
          </cell>
          <cell r="BZ29">
            <v>22.090145625183983</v>
          </cell>
          <cell r="CA29">
            <v>21.175868161984781</v>
          </cell>
          <cell r="CC29">
            <v>20.358671325293443</v>
          </cell>
          <cell r="CD29">
            <v>19.594672143525926</v>
          </cell>
          <cell r="CE29">
            <v>19.967013523520009</v>
          </cell>
          <cell r="CG29">
            <v>19.151626512222727</v>
          </cell>
          <cell r="CH29">
            <v>19.001846433542596</v>
          </cell>
          <cell r="CI29">
            <v>19.075284819499934</v>
          </cell>
          <cell r="CK29">
            <v>19.105508972222982</v>
          </cell>
          <cell r="CL29">
            <v>18.327348793039281</v>
          </cell>
          <cell r="CM29">
            <v>18.706263027295286</v>
          </cell>
          <cell r="CO29">
            <v>17.748321048265748</v>
          </cell>
          <cell r="CP29">
            <v>17.436707583642352</v>
          </cell>
          <cell r="CQ29">
            <v>17.589323600903029</v>
          </cell>
        </row>
        <row r="30">
          <cell r="C30" t="str">
            <v>Tax Expense</v>
          </cell>
          <cell r="AH30">
            <v>-1605</v>
          </cell>
          <cell r="AJ30">
            <v>-909</v>
          </cell>
          <cell r="AK30">
            <v>-873</v>
          </cell>
          <cell r="AL30">
            <v>-1782</v>
          </cell>
          <cell r="AN30">
            <v>-905</v>
          </cell>
          <cell r="AO30">
            <v>-721</v>
          </cell>
          <cell r="AP30">
            <v>-1626</v>
          </cell>
          <cell r="AR30">
            <v>-646</v>
          </cell>
          <cell r="AS30">
            <v>-914</v>
          </cell>
          <cell r="AT30">
            <v>-1560</v>
          </cell>
          <cell r="AV30">
            <v>-1089</v>
          </cell>
          <cell r="AW30">
            <v>-1177</v>
          </cell>
          <cell r="AX30">
            <v>-2266</v>
          </cell>
          <cell r="AZ30">
            <v>-1265</v>
          </cell>
          <cell r="BA30">
            <v>-1372</v>
          </cell>
          <cell r="BB30">
            <v>-2637</v>
          </cell>
          <cell r="BD30">
            <v>-1373</v>
          </cell>
          <cell r="BE30">
            <v>-1363</v>
          </cell>
          <cell r="BF30">
            <v>-2736</v>
          </cell>
          <cell r="BH30">
            <v>-1446.5540710077412</v>
          </cell>
          <cell r="BI30">
            <v>-1465.9997276807965</v>
          </cell>
          <cell r="BJ30">
            <v>-2912.5537986885374</v>
          </cell>
          <cell r="BL30">
            <v>-1523.31902755391</v>
          </cell>
          <cell r="BM30">
            <v>-1484.540538507058</v>
          </cell>
          <cell r="BN30">
            <v>-3007.8595660609681</v>
          </cell>
          <cell r="BP30">
            <v>-1570.4316109920621</v>
          </cell>
          <cell r="BQ30">
            <v>-1559.2448256324908</v>
          </cell>
          <cell r="BR30">
            <v>-3129.6764366245529</v>
          </cell>
          <cell r="BS30">
            <v>19.860482591633964</v>
          </cell>
          <cell r="BT30" t="str">
            <v>Return on Ordinary Equity (ROE) (%)</v>
          </cell>
          <cell r="BU30">
            <v>20.008054089569953</v>
          </cell>
          <cell r="BV30">
            <v>19.118886581830889</v>
          </cell>
          <cell r="BW30">
            <v>19.558320113550973</v>
          </cell>
          <cell r="BX30" t="str">
            <v>Return on Ordinary Equity (ROE) (%)</v>
          </cell>
          <cell r="BY30">
            <v>14.937322633389089</v>
          </cell>
          <cell r="BZ30">
            <v>16.422226454953162</v>
          </cell>
          <cell r="CA30">
            <v>15.71526450542714</v>
          </cell>
          <cell r="CC30">
            <v>18.799813225562335</v>
          </cell>
          <cell r="CD30">
            <v>18.93744903198526</v>
          </cell>
          <cell r="CE30">
            <v>18.875248450835961</v>
          </cell>
          <cell r="CG30">
            <v>19.479927677902069</v>
          </cell>
          <cell r="CH30">
            <v>19.771042240718121</v>
          </cell>
          <cell r="CI30">
            <v>19.629969441053021</v>
          </cell>
          <cell r="CK30">
            <v>19.424794471908886</v>
          </cell>
          <cell r="CL30">
            <v>18.043453152471027</v>
          </cell>
          <cell r="CM30">
            <v>18.715632754342433</v>
          </cell>
          <cell r="CO30">
            <v>18.542966711801128</v>
          </cell>
          <cell r="CP30">
            <v>18.049782730809198</v>
          </cell>
          <cell r="CQ30">
            <v>18.291324844680059</v>
          </cell>
        </row>
        <row r="31">
          <cell r="C31" t="str">
            <v xml:space="preserve">Minority Interests </v>
          </cell>
          <cell r="AH31">
            <v>-31</v>
          </cell>
          <cell r="AJ31">
            <v>-13</v>
          </cell>
          <cell r="AK31">
            <v>-14</v>
          </cell>
          <cell r="AL31">
            <v>-27</v>
          </cell>
          <cell r="AN31">
            <v>-15</v>
          </cell>
          <cell r="AO31">
            <v>-16</v>
          </cell>
          <cell r="AP31">
            <v>-31</v>
          </cell>
          <cell r="AR31">
            <v>-16</v>
          </cell>
          <cell r="AS31">
            <v>-14</v>
          </cell>
          <cell r="AT31">
            <v>-30</v>
          </cell>
          <cell r="AV31">
            <v>-9</v>
          </cell>
          <cell r="AW31">
            <v>-7</v>
          </cell>
          <cell r="AX31">
            <v>-16</v>
          </cell>
          <cell r="AZ31">
            <v>-9</v>
          </cell>
          <cell r="BA31">
            <v>-7</v>
          </cell>
          <cell r="BB31">
            <v>-16</v>
          </cell>
          <cell r="BD31">
            <v>-9</v>
          </cell>
          <cell r="BE31">
            <v>-7</v>
          </cell>
          <cell r="BF31">
            <v>-16</v>
          </cell>
          <cell r="BH31">
            <v>-7</v>
          </cell>
          <cell r="BI31">
            <v>-7</v>
          </cell>
          <cell r="BJ31">
            <v>-14</v>
          </cell>
          <cell r="BL31">
            <v>-7</v>
          </cell>
          <cell r="BM31">
            <v>-7</v>
          </cell>
          <cell r="BN31">
            <v>-14</v>
          </cell>
          <cell r="BP31">
            <v>-7</v>
          </cell>
          <cell r="BQ31">
            <v>-7</v>
          </cell>
          <cell r="BR31">
            <v>-14</v>
          </cell>
          <cell r="BS31">
            <v>19.558320113550973</v>
          </cell>
          <cell r="BT31" t="str">
            <v>Return on Net Tangible Assets (RoNTA) (%)</v>
          </cell>
          <cell r="BU31">
            <v>14.937322633389089</v>
          </cell>
          <cell r="BV31">
            <v>16.422226454953162</v>
          </cell>
          <cell r="BW31">
            <v>15.71526450542714</v>
          </cell>
          <cell r="BX31" t="str">
            <v>Return on Net Tangible Assets (RoNTA) (%)</v>
          </cell>
          <cell r="BY31">
            <v>18.799813225562335</v>
          </cell>
          <cell r="BZ31">
            <v>18.93744903198526</v>
          </cell>
          <cell r="CA31">
            <v>18.875248450835961</v>
          </cell>
          <cell r="CC31">
            <v>19.479927677902069</v>
          </cell>
          <cell r="CD31">
            <v>19.771042240718121</v>
          </cell>
          <cell r="CE31">
            <v>19.629969441053021</v>
          </cell>
          <cell r="CG31">
            <v>20.24365251053171</v>
          </cell>
          <cell r="CH31">
            <v>18.062670648754295</v>
          </cell>
          <cell r="CI31">
            <v>19.105700286139832</v>
          </cell>
          <cell r="CK31">
            <v>18.595295513967265</v>
          </cell>
          <cell r="CL31">
            <v>18.298832452162994</v>
          </cell>
          <cell r="CM31">
            <v>25.437768124544696</v>
          </cell>
          <cell r="CN31">
            <v>0</v>
          </cell>
          <cell r="CO31">
            <v>24.772434284602156</v>
          </cell>
          <cell r="CP31">
            <v>23.792758863976555</v>
          </cell>
          <cell r="CQ31">
            <v>24.26928694767857</v>
          </cell>
        </row>
        <row r="32">
          <cell r="C32" t="str">
            <v>Significant Items Post Tax</v>
          </cell>
          <cell r="AH32">
            <v>0</v>
          </cell>
          <cell r="AJ32">
            <v>0</v>
          </cell>
          <cell r="AK32">
            <v>0</v>
          </cell>
          <cell r="AL32">
            <v>0</v>
          </cell>
          <cell r="AN32">
            <v>0</v>
          </cell>
          <cell r="AO32">
            <v>31</v>
          </cell>
          <cell r="AP32">
            <v>31</v>
          </cell>
          <cell r="AQ32">
            <v>0</v>
          </cell>
          <cell r="AR32">
            <v>547</v>
          </cell>
          <cell r="AS32">
            <v>44</v>
          </cell>
          <cell r="AT32">
            <v>591</v>
          </cell>
          <cell r="AU32">
            <v>0</v>
          </cell>
          <cell r="AV32">
            <v>-154</v>
          </cell>
          <cell r="AW32">
            <v>-256</v>
          </cell>
          <cell r="AX32">
            <v>-410</v>
          </cell>
          <cell r="AY32">
            <v>0</v>
          </cell>
          <cell r="AZ32">
            <v>-55</v>
          </cell>
          <cell r="BA32">
            <v>-99</v>
          </cell>
          <cell r="BB32">
            <v>-154</v>
          </cell>
          <cell r="BD32">
            <v>-68</v>
          </cell>
          <cell r="BE32">
            <v>-64</v>
          </cell>
          <cell r="BF32">
            <v>-132</v>
          </cell>
          <cell r="BH32">
            <v>0</v>
          </cell>
          <cell r="BI32">
            <v>0</v>
          </cell>
          <cell r="BJ32">
            <v>0</v>
          </cell>
          <cell r="BL32">
            <v>0</v>
          </cell>
          <cell r="BM32">
            <v>0</v>
          </cell>
          <cell r="BN32">
            <v>0</v>
          </cell>
          <cell r="BP32">
            <v>0</v>
          </cell>
          <cell r="BQ32">
            <v>0</v>
          </cell>
          <cell r="BR32">
            <v>0</v>
          </cell>
          <cell r="BT32" t="str">
            <v>Net Int Margin (%)</v>
          </cell>
          <cell r="BU32">
            <v>2.0132752801532079</v>
          </cell>
          <cell r="BV32">
            <v>1.9510365021069038</v>
          </cell>
          <cell r="BW32">
            <v>1.9812375029441684</v>
          </cell>
          <cell r="BX32" t="str">
            <v>Net Int Margin (%)</v>
          </cell>
          <cell r="BY32">
            <v>2.0136724668186288</v>
          </cell>
          <cell r="BZ32">
            <v>2.1062322220075798</v>
          </cell>
          <cell r="CA32">
            <v>2.0639195018712249</v>
          </cell>
          <cell r="CC32">
            <v>2.1505802541814152</v>
          </cell>
          <cell r="CD32">
            <v>2.0528584881594591</v>
          </cell>
          <cell r="CE32">
            <v>2.1016394487712104</v>
          </cell>
          <cell r="CG32">
            <v>2.1012961163854134</v>
          </cell>
          <cell r="CH32">
            <v>2.2142065564287887</v>
          </cell>
          <cell r="CI32">
            <v>2.1166509877704609</v>
          </cell>
          <cell r="CK32">
            <v>2.1216607869499744</v>
          </cell>
          <cell r="CL32">
            <v>2.0575969140647006</v>
          </cell>
          <cell r="CM32">
            <v>2.0894574271262614</v>
          </cell>
          <cell r="CO32">
            <v>2.0744099638070796</v>
          </cell>
          <cell r="CP32">
            <v>2.098828322019076</v>
          </cell>
          <cell r="CQ32">
            <v>2.0864546991016768</v>
          </cell>
        </row>
        <row r="33">
          <cell r="C33" t="str">
            <v>Other Non Cash IFRS items</v>
          </cell>
          <cell r="AH33">
            <v>-125</v>
          </cell>
          <cell r="AJ33">
            <v>-105</v>
          </cell>
          <cell r="AK33">
            <v>48</v>
          </cell>
          <cell r="AL33">
            <v>-57</v>
          </cell>
          <cell r="AN33">
            <v>-14</v>
          </cell>
          <cell r="AO33">
            <v>41</v>
          </cell>
          <cell r="AP33">
            <v>27</v>
          </cell>
          <cell r="AR33">
            <v>13</v>
          </cell>
          <cell r="AS33">
            <v>-296</v>
          </cell>
          <cell r="AT33">
            <v>-283</v>
          </cell>
          <cell r="AV33">
            <v>125</v>
          </cell>
          <cell r="AW33">
            <v>-152</v>
          </cell>
          <cell r="AX33">
            <v>-27</v>
          </cell>
          <cell r="AZ33">
            <v>-228</v>
          </cell>
          <cell r="BA33">
            <v>-59</v>
          </cell>
          <cell r="BB33">
            <v>-287</v>
          </cell>
          <cell r="BD33">
            <v>116</v>
          </cell>
          <cell r="BE33">
            <v>-7</v>
          </cell>
          <cell r="BF33">
            <v>109</v>
          </cell>
          <cell r="BH33">
            <v>-20.8</v>
          </cell>
          <cell r="BI33">
            <v>-21.632000000000001</v>
          </cell>
          <cell r="BJ33">
            <v>-42.432000000000002</v>
          </cell>
          <cell r="BL33">
            <v>-22.497280000000003</v>
          </cell>
          <cell r="BM33">
            <v>-23.397171200000006</v>
          </cell>
          <cell r="BN33">
            <v>-45.894451200000006</v>
          </cell>
          <cell r="BP33">
            <v>-24.333058048000009</v>
          </cell>
          <cell r="BQ33">
            <v>-25.30638036992001</v>
          </cell>
          <cell r="BR33">
            <v>-49.639438417920019</v>
          </cell>
          <cell r="BS33">
            <v>1.6778384491048532</v>
          </cell>
          <cell r="BT33" t="str">
            <v>Non Interest Income / Total Income (%)</v>
          </cell>
          <cell r="BU33">
            <v>44.427023945267955</v>
          </cell>
          <cell r="BV33">
            <v>45.283276450511941</v>
          </cell>
          <cell r="BW33">
            <v>44.864374869255983</v>
          </cell>
          <cell r="BX33" t="str">
            <v>Non Interest Income / Total Income (%)</v>
          </cell>
          <cell r="BY33">
            <v>42.001787310098301</v>
          </cell>
          <cell r="BZ33">
            <v>37.195325542570949</v>
          </cell>
          <cell r="CA33">
            <v>39.433939826376502</v>
          </cell>
          <cell r="CC33">
            <v>37.453569954601733</v>
          </cell>
          <cell r="CD33">
            <v>38.016440696060641</v>
          </cell>
          <cell r="CE33">
            <v>37.730206201794424</v>
          </cell>
          <cell r="CG33">
            <v>36.574596981209567</v>
          </cell>
          <cell r="CH33">
            <v>34.798387096774192</v>
          </cell>
          <cell r="CI33">
            <v>35.678315275446359</v>
          </cell>
          <cell r="CK33">
            <v>34.250371103414153</v>
          </cell>
          <cell r="CL33">
            <v>35.161772025883522</v>
          </cell>
          <cell r="CM33">
            <v>34.70471464019851</v>
          </cell>
          <cell r="CO33">
            <v>35.920343075423453</v>
          </cell>
          <cell r="CP33">
            <v>35.883292818718175</v>
          </cell>
          <cell r="CQ33">
            <v>35.901626862659853</v>
          </cell>
        </row>
        <row r="34">
          <cell r="C34" t="str">
            <v>Reported Profit</v>
          </cell>
          <cell r="AH34">
            <v>3928</v>
          </cell>
          <cell r="AJ34">
            <v>2191</v>
          </cell>
          <cell r="AK34">
            <v>2279</v>
          </cell>
          <cell r="AL34">
            <v>4470</v>
          </cell>
          <cell r="AN34">
            <v>2371</v>
          </cell>
          <cell r="AO34">
            <v>2420</v>
          </cell>
          <cell r="AP34">
            <v>4791</v>
          </cell>
          <cell r="AR34">
            <v>2573</v>
          </cell>
          <cell r="AS34">
            <v>2150</v>
          </cell>
          <cell r="AT34">
            <v>4723</v>
          </cell>
          <cell r="AV34">
            <v>2914</v>
          </cell>
          <cell r="AW34">
            <v>2750</v>
          </cell>
          <cell r="AX34">
            <v>5664</v>
          </cell>
          <cell r="AZ34">
            <v>3052</v>
          </cell>
          <cell r="BA34">
            <v>3342</v>
          </cell>
          <cell r="BB34">
            <v>6394</v>
          </cell>
          <cell r="BD34">
            <v>3624</v>
          </cell>
          <cell r="BE34">
            <v>3466</v>
          </cell>
          <cell r="BF34">
            <v>7090</v>
          </cell>
          <cell r="BH34">
            <v>3791.7509428666244</v>
          </cell>
          <cell r="BI34">
            <v>3844.3835315108968</v>
          </cell>
          <cell r="BJ34">
            <v>7636.1344743775289</v>
          </cell>
          <cell r="BL34">
            <v>3996.2068851570007</v>
          </cell>
          <cell r="BM34">
            <v>3894.4353796436453</v>
          </cell>
          <cell r="BN34">
            <v>7890.6422648006464</v>
          </cell>
          <cell r="BP34">
            <v>4121.5589578158015</v>
          </cell>
          <cell r="BQ34">
            <v>4088.8080170156313</v>
          </cell>
          <cell r="BR34">
            <v>8210.3669748314351</v>
          </cell>
          <cell r="BS34">
            <v>2.0190993784793618</v>
          </cell>
          <cell r="BT34" t="str">
            <v>Cost / Income (%)</v>
          </cell>
          <cell r="BU34">
            <v>48.14709236031927</v>
          </cell>
          <cell r="BV34">
            <v>49.73378839590444</v>
          </cell>
          <cell r="BW34">
            <v>48.957534342096089</v>
          </cell>
          <cell r="BX34" t="str">
            <v>Cost / Income (%)</v>
          </cell>
          <cell r="BY34">
            <v>45.33384399336142</v>
          </cell>
          <cell r="BZ34">
            <v>46.900389538119086</v>
          </cell>
          <cell r="CA34">
            <v>46.170769413723391</v>
          </cell>
          <cell r="CC34">
            <v>44.036318613289311</v>
          </cell>
          <cell r="CD34">
            <v>46.258140279705351</v>
          </cell>
          <cell r="CE34">
            <v>45.128285849205099</v>
          </cell>
          <cell r="CG34">
            <v>45.261320464113361</v>
          </cell>
          <cell r="CH34">
            <v>45.191532258064512</v>
          </cell>
          <cell r="CI34">
            <v>45.226105091815455</v>
          </cell>
          <cell r="CK34">
            <v>45.541810984661055</v>
          </cell>
          <cell r="CL34">
            <v>45.734196117471377</v>
          </cell>
          <cell r="CM34">
            <v>45.637717121588089</v>
          </cell>
          <cell r="CO34">
            <v>44.19667335926831</v>
          </cell>
          <cell r="CP34">
            <v>44.13319184723477</v>
          </cell>
          <cell r="CQ34">
            <v>44.164605201273439</v>
          </cell>
        </row>
        <row r="35">
          <cell r="C35" t="str">
            <v>Less : Significant Items Post Tax</v>
          </cell>
          <cell r="AH35">
            <v>-145</v>
          </cell>
          <cell r="AJ35">
            <v>0</v>
          </cell>
          <cell r="AK35">
            <v>0</v>
          </cell>
          <cell r="AL35">
            <v>0</v>
          </cell>
          <cell r="AN35">
            <v>0</v>
          </cell>
          <cell r="AO35">
            <v>-31</v>
          </cell>
          <cell r="AP35">
            <v>-31</v>
          </cell>
          <cell r="AR35">
            <v>-547</v>
          </cell>
          <cell r="AS35">
            <v>-44</v>
          </cell>
          <cell r="AT35">
            <v>-591</v>
          </cell>
          <cell r="AV35">
            <v>154</v>
          </cell>
          <cell r="AW35">
            <v>256</v>
          </cell>
          <cell r="AX35">
            <v>410</v>
          </cell>
          <cell r="AZ35">
            <v>55</v>
          </cell>
          <cell r="BA35">
            <v>99</v>
          </cell>
          <cell r="BB35">
            <v>154</v>
          </cell>
          <cell r="BD35">
            <v>68</v>
          </cell>
          <cell r="BE35">
            <v>64</v>
          </cell>
          <cell r="BF35">
            <v>132</v>
          </cell>
          <cell r="BH35">
            <v>0</v>
          </cell>
          <cell r="BI35">
            <v>0</v>
          </cell>
          <cell r="BJ35">
            <v>0</v>
          </cell>
          <cell r="BL35">
            <v>0</v>
          </cell>
          <cell r="BM35">
            <v>0</v>
          </cell>
          <cell r="BN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1.9812375029441684</v>
          </cell>
          <cell r="BT35" t="str">
            <v>Underlying Tax Rate (%)</v>
          </cell>
          <cell r="BU35">
            <v>27.591463414634148</v>
          </cell>
          <cell r="BV35">
            <v>23.546701502286087</v>
          </cell>
          <cell r="BW35">
            <v>25.638599810785241</v>
          </cell>
          <cell r="BX35" t="str">
            <v>Underlying Tax Rate (%)</v>
          </cell>
          <cell r="BY35">
            <v>24.386560966402413</v>
          </cell>
          <cell r="BZ35">
            <v>27.705365262200665</v>
          </cell>
          <cell r="CA35">
            <v>26.227303295225283</v>
          </cell>
          <cell r="CC35">
            <v>27.109783420463028</v>
          </cell>
          <cell r="CD35">
            <v>27.251678629312341</v>
          </cell>
          <cell r="CE35">
            <v>27.183301343570061</v>
          </cell>
          <cell r="CG35">
            <v>27.577937649880095</v>
          </cell>
          <cell r="CH35">
            <v>28.236262605474376</v>
          </cell>
          <cell r="CI35">
            <v>27.916578445903028</v>
          </cell>
          <cell r="CK35">
            <v>27.804779262859459</v>
          </cell>
          <cell r="CL35">
            <v>27.901740020470829</v>
          </cell>
          <cell r="CM35">
            <v>27.852998065764023</v>
          </cell>
          <cell r="CO35">
            <v>27.584384126187068</v>
          </cell>
          <cell r="CP35">
            <v>27.571854813590686</v>
          </cell>
          <cell r="CQ35">
            <v>27.578076220913783</v>
          </cell>
        </row>
        <row r="36">
          <cell r="C36" t="str">
            <v>Less : Other Non Cash IFRS Items</v>
          </cell>
          <cell r="AH36">
            <v>125</v>
          </cell>
          <cell r="AJ36">
            <v>105</v>
          </cell>
          <cell r="AK36">
            <v>-48</v>
          </cell>
          <cell r="AL36">
            <v>57</v>
          </cell>
          <cell r="AN36">
            <v>14</v>
          </cell>
          <cell r="AO36">
            <v>-41</v>
          </cell>
          <cell r="AP36">
            <v>-27</v>
          </cell>
          <cell r="AR36">
            <v>-13</v>
          </cell>
          <cell r="AS36">
            <v>296</v>
          </cell>
          <cell r="AT36">
            <v>283</v>
          </cell>
          <cell r="AV36">
            <v>-125</v>
          </cell>
          <cell r="AW36">
            <v>152</v>
          </cell>
          <cell r="AX36">
            <v>27</v>
          </cell>
          <cell r="AZ36">
            <v>228</v>
          </cell>
          <cell r="BA36">
            <v>59</v>
          </cell>
          <cell r="BB36">
            <v>287</v>
          </cell>
          <cell r="BD36">
            <v>-116</v>
          </cell>
          <cell r="BE36">
            <v>7</v>
          </cell>
          <cell r="BF36">
            <v>-109</v>
          </cell>
          <cell r="BH36">
            <v>20.8</v>
          </cell>
          <cell r="BI36">
            <v>21.632000000000001</v>
          </cell>
          <cell r="BJ36">
            <v>42.432000000000002</v>
          </cell>
          <cell r="BL36">
            <v>22.497280000000003</v>
          </cell>
          <cell r="BM36">
            <v>23.397171200000006</v>
          </cell>
          <cell r="BN36">
            <v>45.894451200000006</v>
          </cell>
          <cell r="BP36">
            <v>24.333058048000009</v>
          </cell>
          <cell r="BQ36">
            <v>25.30638036992001</v>
          </cell>
          <cell r="BR36">
            <v>49.639438417920019</v>
          </cell>
          <cell r="BS36">
            <v>44.864374869255983</v>
          </cell>
          <cell r="BT36">
            <v>46.794342400000012</v>
          </cell>
          <cell r="BU36">
            <v>42.001787310098301</v>
          </cell>
          <cell r="BV36">
            <v>37.195325542570949</v>
          </cell>
          <cell r="BW36">
            <v>39.433939826376502</v>
          </cell>
          <cell r="BY36">
            <v>37.453569954601733</v>
          </cell>
          <cell r="BZ36">
            <v>38.016440696060641</v>
          </cell>
          <cell r="CA36">
            <v>37.730206201794424</v>
          </cell>
          <cell r="CC36">
            <v>36.64647294383407</v>
          </cell>
          <cell r="CD36">
            <v>34.596774193548384</v>
          </cell>
          <cell r="CE36">
            <v>35.612187802024522</v>
          </cell>
          <cell r="CG36">
            <v>35.170707570509649</v>
          </cell>
          <cell r="CH36">
            <v>36.51899095237907</v>
          </cell>
          <cell r="CI36">
            <v>35.840857694463246</v>
          </cell>
          <cell r="CK36">
            <v>36.95211396671381</v>
          </cell>
          <cell r="CL36">
            <v>36.963432612395998</v>
          </cell>
          <cell r="CM36">
            <v>36.957830411096033</v>
          </cell>
          <cell r="CO36">
            <v>37.114667967203033</v>
          </cell>
          <cell r="CP36">
            <v>37.666380778826323</v>
          </cell>
          <cell r="CQ36">
            <v>37.391369280575177</v>
          </cell>
        </row>
        <row r="37">
          <cell r="C37" t="str">
            <v>Reported Cash Profit</v>
          </cell>
          <cell r="AH37" t="e">
            <v>#REF!</v>
          </cell>
          <cell r="AJ37">
            <v>2296</v>
          </cell>
          <cell r="AK37">
            <v>2231</v>
          </cell>
          <cell r="AL37">
            <v>4527</v>
          </cell>
          <cell r="AN37">
            <v>2385</v>
          </cell>
          <cell r="AO37">
            <v>2348</v>
          </cell>
          <cell r="AP37">
            <v>4733</v>
          </cell>
          <cell r="AR37">
            <v>2013</v>
          </cell>
          <cell r="AS37">
            <v>2402</v>
          </cell>
          <cell r="AT37">
            <v>4415</v>
          </cell>
          <cell r="AV37">
            <v>2943</v>
          </cell>
          <cell r="AW37">
            <v>3158</v>
          </cell>
          <cell r="AX37">
            <v>6101</v>
          </cell>
          <cell r="AZ37">
            <v>3335</v>
          </cell>
          <cell r="BA37">
            <v>3500</v>
          </cell>
          <cell r="BB37">
            <v>6835</v>
          </cell>
          <cell r="BD37">
            <v>3576</v>
          </cell>
          <cell r="BE37">
            <v>3537</v>
          </cell>
          <cell r="BF37">
            <v>7113</v>
          </cell>
          <cell r="BH37">
            <v>3812.5509428666246</v>
          </cell>
          <cell r="BI37">
            <v>3866.0155315108968</v>
          </cell>
          <cell r="BJ37">
            <v>7678.5664743775287</v>
          </cell>
          <cell r="BL37">
            <v>4018.7041651570007</v>
          </cell>
          <cell r="BM37">
            <v>3917.8325508436455</v>
          </cell>
          <cell r="BN37">
            <v>7936.5367160006463</v>
          </cell>
          <cell r="BP37">
            <v>4145.8920158638011</v>
          </cell>
          <cell r="BQ37">
            <v>4114.1143973855515</v>
          </cell>
          <cell r="BR37">
            <v>8260.0064132493553</v>
          </cell>
          <cell r="BT37" t="str">
            <v>CAPITAL ADEQUACY</v>
          </cell>
          <cell r="BU37">
            <v>5003.0687239872068</v>
          </cell>
          <cell r="BV37">
            <v>9959.6796184802151</v>
          </cell>
          <cell r="BX37" t="str">
            <v>CAPITAL ADEQUACY</v>
          </cell>
        </row>
        <row r="38">
          <cell r="C38" t="str">
            <v>Less : Preference Share Dividends</v>
          </cell>
          <cell r="AH38">
            <v>0</v>
          </cell>
          <cell r="AJ38">
            <v>-28</v>
          </cell>
          <cell r="AK38">
            <v>-27</v>
          </cell>
          <cell r="AL38">
            <v>-55</v>
          </cell>
          <cell r="AN38">
            <v>-25</v>
          </cell>
          <cell r="AO38">
            <v>-23</v>
          </cell>
          <cell r="AP38">
            <v>-48</v>
          </cell>
          <cell r="AR38">
            <v>-26</v>
          </cell>
          <cell r="AS38">
            <v>-31</v>
          </cell>
          <cell r="AT38">
            <v>-57</v>
          </cell>
          <cell r="AV38">
            <v>-24</v>
          </cell>
          <cell r="AW38">
            <v>-23</v>
          </cell>
          <cell r="AX38">
            <v>-47</v>
          </cell>
          <cell r="AZ38">
            <v>-22</v>
          </cell>
          <cell r="BA38">
            <v>-20</v>
          </cell>
          <cell r="BB38">
            <v>-42</v>
          </cell>
          <cell r="BD38">
            <v>-20</v>
          </cell>
          <cell r="BE38">
            <v>-22</v>
          </cell>
          <cell r="BF38">
            <v>-42</v>
          </cell>
          <cell r="BH38">
            <v>-22</v>
          </cell>
          <cell r="BI38">
            <v>-22</v>
          </cell>
          <cell r="BJ38">
            <v>-44</v>
          </cell>
          <cell r="BL38">
            <v>-22</v>
          </cell>
          <cell r="BM38">
            <v>-22</v>
          </cell>
          <cell r="BN38">
            <v>-44</v>
          </cell>
          <cell r="BP38">
            <v>-22</v>
          </cell>
          <cell r="BQ38">
            <v>-22</v>
          </cell>
          <cell r="BR38">
            <v>-44</v>
          </cell>
          <cell r="BS38">
            <v>48.957534342096089</v>
          </cell>
          <cell r="BT38">
            <v>-23</v>
          </cell>
          <cell r="BU38">
            <v>45.33384399336142</v>
          </cell>
          <cell r="BV38">
            <v>46.900389538119086</v>
          </cell>
          <cell r="BW38">
            <v>46.170769413723391</v>
          </cell>
          <cell r="BY38">
            <v>44.036318613289311</v>
          </cell>
          <cell r="BZ38">
            <v>46.258140279705351</v>
          </cell>
          <cell r="CA38">
            <v>45.128285849205099</v>
          </cell>
          <cell r="CC38">
            <v>45.261320464113361</v>
          </cell>
          <cell r="CD38">
            <v>45.191532258064512</v>
          </cell>
          <cell r="CE38">
            <v>45.226105091815455</v>
          </cell>
          <cell r="CG38">
            <v>45.541810984661055</v>
          </cell>
          <cell r="CH38">
            <v>46.489960072560514</v>
          </cell>
          <cell r="CI38">
            <v>46.013078551499504</v>
          </cell>
          <cell r="CK38">
            <v>44.925236343438556</v>
          </cell>
          <cell r="CL38">
            <v>44.429807189032466</v>
          </cell>
          <cell r="CM38">
            <v>44.675021495654214</v>
          </cell>
          <cell r="CO38">
            <v>43.671952408129769</v>
          </cell>
          <cell r="CP38">
            <v>44.141242329439422</v>
          </cell>
          <cell r="CQ38">
            <v>43.907316051755572</v>
          </cell>
        </row>
        <row r="39">
          <cell r="C39" t="str">
            <v>Modelware Profit</v>
          </cell>
          <cell r="AH39" t="e">
            <v>#REF!</v>
          </cell>
          <cell r="AJ39">
            <v>2268</v>
          </cell>
          <cell r="AK39">
            <v>2204</v>
          </cell>
          <cell r="AL39">
            <v>4472</v>
          </cell>
          <cell r="AN39">
            <v>2360</v>
          </cell>
          <cell r="AO39">
            <v>2325</v>
          </cell>
          <cell r="AP39">
            <v>4685</v>
          </cell>
          <cell r="AR39">
            <v>1987</v>
          </cell>
          <cell r="AS39">
            <v>2371</v>
          </cell>
          <cell r="AT39">
            <v>4358</v>
          </cell>
          <cell r="AV39">
            <v>2919</v>
          </cell>
          <cell r="AW39">
            <v>3135</v>
          </cell>
          <cell r="AX39">
            <v>6054</v>
          </cell>
          <cell r="AZ39">
            <v>3313</v>
          </cell>
          <cell r="BA39">
            <v>3480</v>
          </cell>
          <cell r="BB39">
            <v>6793</v>
          </cell>
          <cell r="BD39">
            <v>3556</v>
          </cell>
          <cell r="BE39">
            <v>3515</v>
          </cell>
          <cell r="BF39">
            <v>7071</v>
          </cell>
          <cell r="BH39">
            <v>3790.5509428666246</v>
          </cell>
          <cell r="BI39">
            <v>3844.0155315108968</v>
          </cell>
          <cell r="BJ39">
            <v>7634.5664743775287</v>
          </cell>
          <cell r="BL39">
            <v>3996.7041651570007</v>
          </cell>
          <cell r="BM39">
            <v>3895.8325508436455</v>
          </cell>
          <cell r="BN39">
            <v>7892.5367160006463</v>
          </cell>
          <cell r="BP39">
            <v>4123.8920158638011</v>
          </cell>
          <cell r="BQ39">
            <v>4092.1143973855515</v>
          </cell>
          <cell r="BR39">
            <v>8216.0064132493553</v>
          </cell>
          <cell r="BT39" t="str">
            <v>Credit Risk Weighted Assets (A$m)</v>
          </cell>
          <cell r="BU39">
            <v>4980.0687239872068</v>
          </cell>
          <cell r="BV39">
            <v>9913.6796184802151</v>
          </cell>
          <cell r="BX39" t="str">
            <v>Credit Risk Weighted Assets (A$m)</v>
          </cell>
          <cell r="CM39">
            <v>261429</v>
          </cell>
          <cell r="CN39">
            <v>0</v>
          </cell>
          <cell r="CO39">
            <v>266057.28429112374</v>
          </cell>
          <cell r="CP39">
            <v>272077.87807030184</v>
          </cell>
          <cell r="CQ39">
            <v>272077.87807030184</v>
          </cell>
        </row>
        <row r="40">
          <cell r="BL40">
            <v>4054.8406778790581</v>
          </cell>
          <cell r="BM40">
            <v>4088.8095750530674</v>
          </cell>
          <cell r="BN40">
            <v>8143.6502529321224</v>
          </cell>
          <cell r="BP40" t="str">
            <v>Underlying Tax Rate (%)</v>
          </cell>
          <cell r="BQ40">
            <v>27.591463414634148</v>
          </cell>
          <cell r="BR40">
            <v>23.546701502286087</v>
          </cell>
          <cell r="BS40">
            <v>25.638599810785241</v>
          </cell>
          <cell r="BT40" t="str">
            <v>Risk Weighted Assets (A$m)</v>
          </cell>
          <cell r="BU40">
            <v>198228</v>
          </cell>
          <cell r="BV40">
            <v>205501</v>
          </cell>
          <cell r="BW40">
            <v>205501</v>
          </cell>
          <cell r="BX40" t="str">
            <v>Risk Weighted Assets (A$m)</v>
          </cell>
          <cell r="BY40">
            <v>239289</v>
          </cell>
          <cell r="BZ40">
            <v>288836</v>
          </cell>
          <cell r="CA40">
            <v>288836</v>
          </cell>
          <cell r="CC40">
            <v>297449</v>
          </cell>
          <cell r="CD40">
            <v>290821</v>
          </cell>
          <cell r="CE40">
            <v>290821</v>
          </cell>
          <cell r="CG40">
            <v>285563</v>
          </cell>
          <cell r="CH40">
            <v>281711</v>
          </cell>
          <cell r="CI40">
            <v>281711</v>
          </cell>
          <cell r="CK40">
            <v>297705</v>
          </cell>
          <cell r="CL40">
            <v>302787</v>
          </cell>
          <cell r="CM40">
            <v>302787</v>
          </cell>
          <cell r="CO40">
            <v>308266.701268312</v>
          </cell>
          <cell r="CP40">
            <v>315401.56316729193</v>
          </cell>
          <cell r="CQ40">
            <v>315401.56316729193</v>
          </cell>
        </row>
        <row r="41">
          <cell r="C41" t="str">
            <v>Modelware EPS (cps)</v>
          </cell>
          <cell r="AH41">
            <v>298.87892376681611</v>
          </cell>
          <cell r="AJ41">
            <v>172.65646301113463</v>
          </cell>
          <cell r="AK41">
            <v>169.24778761061947</v>
          </cell>
          <cell r="AL41">
            <v>343.17425083240846</v>
          </cell>
          <cell r="AN41">
            <v>177.92207792207793</v>
          </cell>
          <cell r="AO41">
            <v>169.86778009742517</v>
          </cell>
          <cell r="AP41">
            <v>343.05089485458615</v>
          </cell>
          <cell r="AR41">
            <v>136.59961064243998</v>
          </cell>
          <cell r="AS41">
            <v>150.85100989805193</v>
          </cell>
          <cell r="AT41">
            <v>292.37885094146634</v>
          </cell>
          <cell r="AV41">
            <v>185.11426806670787</v>
          </cell>
          <cell r="AW41">
            <v>195.24954900781719</v>
          </cell>
          <cell r="AX41">
            <v>379.82845671877851</v>
          </cell>
          <cell r="AZ41">
            <v>205.69203115638106</v>
          </cell>
          <cell r="BA41">
            <v>215.01196172248802</v>
          </cell>
          <cell r="BB41">
            <v>420.58647516457211</v>
          </cell>
          <cell r="BD41">
            <v>218.89952153110048</v>
          </cell>
          <cell r="BE41">
            <v>213.98933017190279</v>
          </cell>
          <cell r="BF41">
            <v>433.51222420989865</v>
          </cell>
          <cell r="BH41">
            <v>228.51906127383245</v>
          </cell>
          <cell r="BI41">
            <v>231.11435932887397</v>
          </cell>
          <cell r="BJ41">
            <v>459.64082717913197</v>
          </cell>
          <cell r="BL41">
            <v>238.92805723324796</v>
          </cell>
          <cell r="BM41">
            <v>231.98331226589954</v>
          </cell>
          <cell r="BN41">
            <v>470.895427591969</v>
          </cell>
          <cell r="BP41">
            <v>247.55905505059764</v>
          </cell>
          <cell r="BQ41">
            <v>248.10630630902963</v>
          </cell>
          <cell r="BR41">
            <v>495.66269393935744</v>
          </cell>
          <cell r="BT41" t="str">
            <v>Credit RWA / Total Loans (%)</v>
          </cell>
          <cell r="BU41">
            <v>304.22766810755593</v>
          </cell>
          <cell r="BV41">
            <v>605.18722948488607</v>
          </cell>
          <cell r="BX41" t="str">
            <v>Credit RWA / Total Loans (%)</v>
          </cell>
          <cell r="CM41">
            <v>48.22550207804138</v>
          </cell>
          <cell r="CN41" t="e">
            <v>#DIV/0!</v>
          </cell>
          <cell r="CO41">
            <v>48.22550207804138</v>
          </cell>
          <cell r="CP41">
            <v>48.22550207804138</v>
          </cell>
          <cell r="CQ41">
            <v>48.22550207804138</v>
          </cell>
        </row>
        <row r="42">
          <cell r="C42" t="str">
            <v>Basic Cash EPS (cps)</v>
          </cell>
          <cell r="AH42">
            <v>304.59859703819177</v>
          </cell>
          <cell r="AJ42">
            <v>176.63551401869159</v>
          </cell>
          <cell r="AK42">
            <v>170.45630317092034</v>
          </cell>
          <cell r="AL42">
            <v>347.070236709352</v>
          </cell>
          <cell r="AN42">
            <v>180.70444104134762</v>
          </cell>
          <cell r="AO42">
            <v>176.24317768344451</v>
          </cell>
          <cell r="AP42">
            <v>356.92518665244557</v>
          </cell>
          <cell r="AR42">
            <v>146.3181148748159</v>
          </cell>
          <cell r="AS42">
            <v>158.5433536834081</v>
          </cell>
          <cell r="AT42">
            <v>305.61009817671811</v>
          </cell>
          <cell r="AV42">
            <v>191.66119500984897</v>
          </cell>
          <cell r="AW42">
            <v>203.70370370370372</v>
          </cell>
          <cell r="AX42">
            <v>395.45365471291393</v>
          </cell>
          <cell r="AZ42">
            <v>214.29495472186289</v>
          </cell>
          <cell r="BA42">
            <v>224.37137330754351</v>
          </cell>
          <cell r="BB42">
            <v>438.82428940568474</v>
          </cell>
          <cell r="BD42">
            <v>227.36572890025576</v>
          </cell>
          <cell r="BE42">
            <v>222.04674668351231</v>
          </cell>
          <cell r="BF42">
            <v>449.52320406865863</v>
          </cell>
          <cell r="BH42">
            <v>236.80484333619148</v>
          </cell>
          <cell r="BI42">
            <v>238.02091499128341</v>
          </cell>
          <cell r="BJ42">
            <v>474.83116006014853</v>
          </cell>
          <cell r="BL42">
            <v>245.60138406634366</v>
          </cell>
          <cell r="BM42">
            <v>237.64392584278227</v>
          </cell>
          <cell r="BN42">
            <v>483.21597196563732</v>
          </cell>
          <cell r="BP42">
            <v>253.48412454541048</v>
          </cell>
          <cell r="BQ42">
            <v>253.52746571257256</v>
          </cell>
          <cell r="BR42">
            <v>507.01141891944002</v>
          </cell>
          <cell r="BT42" t="str">
            <v>Core Tier 1 Capital (A$m)</v>
          </cell>
          <cell r="BU42">
            <v>306.28905399012899</v>
          </cell>
          <cell r="BV42">
            <v>609.75223088181895</v>
          </cell>
          <cell r="BX42" t="str">
            <v>Common Equity Tier 1 Capital (A$m)</v>
          </cell>
          <cell r="CM42">
            <v>23664</v>
          </cell>
          <cell r="CN42">
            <v>0</v>
          </cell>
          <cell r="CO42">
            <v>25558.238082570853</v>
          </cell>
          <cell r="CP42">
            <v>26955.320175603218</v>
          </cell>
          <cell r="CQ42">
            <v>26955.320175603218</v>
          </cell>
        </row>
        <row r="43">
          <cell r="C43" t="str">
            <v>Reported EPS (cps)</v>
          </cell>
          <cell r="AH43">
            <v>308.07843137254901</v>
          </cell>
          <cell r="AJ43">
            <v>169.51410658307211</v>
          </cell>
          <cell r="AK43">
            <v>175.11664074650076</v>
          </cell>
          <cell r="AL43">
            <v>344.65261514441841</v>
          </cell>
          <cell r="AN43">
            <v>180.46153846153845</v>
          </cell>
          <cell r="AO43">
            <v>182.55902513328255</v>
          </cell>
          <cell r="AP43">
            <v>362.97543430014542</v>
          </cell>
          <cell r="AR43">
            <v>188.38757396449702</v>
          </cell>
          <cell r="AS43">
            <v>142.21476510067114</v>
          </cell>
          <cell r="AT43">
            <v>328.47820118409845</v>
          </cell>
          <cell r="AV43">
            <v>190.38208168642953</v>
          </cell>
          <cell r="AW43">
            <v>177.65472312703582</v>
          </cell>
          <cell r="AX43">
            <v>367.84544859201048</v>
          </cell>
          <cell r="AZ43">
            <v>196.49805447470817</v>
          </cell>
          <cell r="BA43">
            <v>214.7382029734971</v>
          </cell>
          <cell r="BB43">
            <v>411.13268608414239</v>
          </cell>
          <cell r="BD43">
            <v>230.87764253683537</v>
          </cell>
          <cell r="BE43">
            <v>218.11272957568079</v>
          </cell>
          <cell r="BF43">
            <v>448.91719745222929</v>
          </cell>
          <cell r="BH43">
            <v>236.09539516907549</v>
          </cell>
          <cell r="BI43">
            <v>237.26913139956648</v>
          </cell>
          <cell r="BJ43">
            <v>473.3697532522898</v>
          </cell>
          <cell r="BL43">
            <v>244.82068301043043</v>
          </cell>
          <cell r="BM43">
            <v>236.79448358711733</v>
          </cell>
          <cell r="BN43">
            <v>481.58550256914936</v>
          </cell>
          <cell r="BP43">
            <v>252.60952751289895</v>
          </cell>
          <cell r="BQ43">
            <v>252.58556453749884</v>
          </cell>
          <cell r="BR43">
            <v>505.19518701648656</v>
          </cell>
          <cell r="BT43" t="str">
            <v>Residual Tier 1 Capital (A$m)</v>
          </cell>
          <cell r="BU43">
            <v>4043</v>
          </cell>
          <cell r="BV43">
            <v>4194</v>
          </cell>
          <cell r="BW43">
            <v>4194</v>
          </cell>
          <cell r="BX43" t="str">
            <v>Additional Tier 1 Capital (A$m)</v>
          </cell>
          <cell r="BY43">
            <v>5233</v>
          </cell>
          <cell r="BZ43">
            <v>4958</v>
          </cell>
          <cell r="CA43">
            <v>4958</v>
          </cell>
          <cell r="CC43">
            <v>6763</v>
          </cell>
          <cell r="CD43">
            <v>6651</v>
          </cell>
          <cell r="CE43">
            <v>6651</v>
          </cell>
          <cell r="CG43">
            <v>6736</v>
          </cell>
          <cell r="CH43">
            <v>6638</v>
          </cell>
          <cell r="CI43">
            <v>6638</v>
          </cell>
          <cell r="CK43">
            <v>6636</v>
          </cell>
          <cell r="CL43">
            <v>6635</v>
          </cell>
          <cell r="CM43">
            <v>6635</v>
          </cell>
          <cell r="CO43">
            <v>6343.49486680471</v>
          </cell>
          <cell r="CP43">
            <v>6498.7262104749734</v>
          </cell>
          <cell r="CQ43">
            <v>6498.7262104749734</v>
          </cell>
        </row>
        <row r="44">
          <cell r="C44" t="str">
            <v>Dividend per Share (cps)</v>
          </cell>
          <cell r="AH44">
            <v>224</v>
          </cell>
          <cell r="AJ44">
            <v>107</v>
          </cell>
          <cell r="AK44">
            <v>149</v>
          </cell>
          <cell r="AL44">
            <v>256</v>
          </cell>
          <cell r="AN44">
            <v>113</v>
          </cell>
          <cell r="AO44">
            <v>153</v>
          </cell>
          <cell r="AP44">
            <v>266</v>
          </cell>
          <cell r="AR44">
            <v>113</v>
          </cell>
          <cell r="AS44">
            <v>115</v>
          </cell>
          <cell r="AT44">
            <v>228</v>
          </cell>
          <cell r="AV44">
            <v>120</v>
          </cell>
          <cell r="AW44">
            <v>170</v>
          </cell>
          <cell r="AX44">
            <v>290</v>
          </cell>
          <cell r="AZ44">
            <v>132</v>
          </cell>
          <cell r="BA44">
            <v>188</v>
          </cell>
          <cell r="BB44">
            <v>320</v>
          </cell>
          <cell r="BD44">
            <v>137</v>
          </cell>
          <cell r="BE44">
            <v>197</v>
          </cell>
          <cell r="BF44">
            <v>334</v>
          </cell>
          <cell r="BH44">
            <v>163</v>
          </cell>
          <cell r="BI44">
            <v>194</v>
          </cell>
          <cell r="BJ44">
            <v>357</v>
          </cell>
          <cell r="BL44">
            <v>168</v>
          </cell>
          <cell r="BM44">
            <v>197</v>
          </cell>
          <cell r="BN44">
            <v>365</v>
          </cell>
          <cell r="BP44">
            <v>176</v>
          </cell>
          <cell r="BQ44">
            <v>206</v>
          </cell>
          <cell r="BR44">
            <v>382</v>
          </cell>
          <cell r="BS44">
            <v>205501</v>
          </cell>
          <cell r="BT44" t="str">
            <v>Tier 1 Capital (A$m)</v>
          </cell>
          <cell r="BU44">
            <v>16196</v>
          </cell>
          <cell r="BV44">
            <v>16791</v>
          </cell>
          <cell r="BW44">
            <v>16791</v>
          </cell>
          <cell r="BX44" t="str">
            <v>Tier 1 Capital (A$m)</v>
          </cell>
          <cell r="BY44">
            <v>20948</v>
          </cell>
          <cell r="BZ44">
            <v>23311</v>
          </cell>
          <cell r="CA44">
            <v>23311</v>
          </cell>
          <cell r="CC44">
            <v>27065</v>
          </cell>
          <cell r="CD44">
            <v>26601</v>
          </cell>
          <cell r="CE44">
            <v>26601</v>
          </cell>
          <cell r="CG44">
            <v>27735</v>
          </cell>
          <cell r="CH44">
            <v>28213</v>
          </cell>
          <cell r="CI44">
            <v>28213</v>
          </cell>
          <cell r="CK44">
            <v>29473</v>
          </cell>
          <cell r="CL44">
            <v>30299</v>
          </cell>
          <cell r="CM44">
            <v>30299</v>
          </cell>
          <cell r="CO44">
            <v>31901.732949375564</v>
          </cell>
          <cell r="CP44">
            <v>33454.046386078197</v>
          </cell>
          <cell r="CQ44">
            <v>33454.046386078197</v>
          </cell>
        </row>
        <row r="45">
          <cell r="BP45" t="str">
            <v>Tier 1 Capital (A$m)</v>
          </cell>
          <cell r="BQ45">
            <v>16196</v>
          </cell>
          <cell r="BR45">
            <v>4.0930839100231209E-2</v>
          </cell>
          <cell r="BS45">
            <v>16791</v>
          </cell>
          <cell r="BT45" t="str">
            <v>Core Tier 1 Ratio (%)</v>
          </cell>
          <cell r="BU45">
            <v>6.1308190568436345</v>
          </cell>
          <cell r="BV45">
            <v>6.1298971781159217</v>
          </cell>
          <cell r="BW45">
            <v>6.1298971781159217</v>
          </cell>
          <cell r="BX45" t="str">
            <v>APRA Basel III CET1 Ratio (%)</v>
          </cell>
          <cell r="BY45">
            <v>6.5673725077207896</v>
          </cell>
          <cell r="BZ45">
            <v>6.3541248320846426</v>
          </cell>
          <cell r="CA45">
            <v>6.3541248320846426</v>
          </cell>
          <cell r="CC45">
            <v>6.82537174439988</v>
          </cell>
          <cell r="CD45">
            <v>6.8598897603680609</v>
          </cell>
          <cell r="CE45">
            <v>6.8598897603680609</v>
          </cell>
          <cell r="CG45">
            <v>7.3535437013898868</v>
          </cell>
          <cell r="CH45">
            <v>7.6585578837887054</v>
          </cell>
          <cell r="CI45">
            <v>7.6585578837887054</v>
          </cell>
          <cell r="CK45">
            <v>7.6710166104029156</v>
          </cell>
          <cell r="CL45">
            <v>7.8153949806299474</v>
          </cell>
          <cell r="CM45">
            <v>7.8153949806299474</v>
          </cell>
          <cell r="CO45">
            <v>8.2909500044655289</v>
          </cell>
          <cell r="CP45">
            <v>8.5463495820741606</v>
          </cell>
          <cell r="CQ45">
            <v>8.5463495820741606</v>
          </cell>
        </row>
        <row r="46">
          <cell r="C46" t="str">
            <v>BALANCE SHEET DATA (A$m)</v>
          </cell>
          <cell r="BP46" t="str">
            <v>Residual Tier 1 Capital (A$m)</v>
          </cell>
          <cell r="BQ46">
            <v>4043</v>
          </cell>
          <cell r="BR46">
            <v>4194</v>
          </cell>
          <cell r="BS46">
            <v>4194</v>
          </cell>
          <cell r="BT46" t="str">
            <v>Tier 1 Ratio (%)</v>
          </cell>
          <cell r="BU46">
            <v>8.1703896523195514</v>
          </cell>
          <cell r="BV46">
            <v>8.1707631593033607</v>
          </cell>
          <cell r="BW46">
            <v>8.1707631593033607</v>
          </cell>
          <cell r="BX46" t="str">
            <v>Tier 1 Ratio (%)</v>
          </cell>
          <cell r="BY46">
            <v>8.754267851844423</v>
          </cell>
          <cell r="BZ46">
            <v>8.0706698610976471</v>
          </cell>
          <cell r="CA46">
            <v>8.0706698610976471</v>
          </cell>
          <cell r="CC46">
            <v>9.0990388268240956</v>
          </cell>
          <cell r="CD46">
            <v>9.1468635346140754</v>
          </cell>
          <cell r="CE46">
            <v>9.1468635346140754</v>
          </cell>
          <cell r="CG46">
            <v>9.7123927119409732</v>
          </cell>
          <cell r="CH46">
            <v>10.014873398624832</v>
          </cell>
          <cell r="CI46">
            <v>10.014873398624832</v>
          </cell>
          <cell r="CK46">
            <v>9.9000688601131994</v>
          </cell>
          <cell r="CL46">
            <v>10.006704382949069</v>
          </cell>
          <cell r="CM46">
            <v>10.006704382949069</v>
          </cell>
          <cell r="CO46">
            <v>10.348744388583391</v>
          </cell>
          <cell r="CP46">
            <v>10.60681058461776</v>
          </cell>
          <cell r="CQ46">
            <v>10.60681058461776</v>
          </cell>
        </row>
        <row r="47">
          <cell r="BP47" t="str">
            <v>Core Tier 1 Ratio (%)</v>
          </cell>
          <cell r="BQ47">
            <v>6.1308190568436345</v>
          </cell>
          <cell r="BR47">
            <v>6.1298971781159217</v>
          </cell>
          <cell r="BS47">
            <v>6.1298971781159217</v>
          </cell>
          <cell r="BT47" t="str">
            <v>Total Capital Ratio (%)</v>
          </cell>
          <cell r="BU47">
            <v>12.084064814254294</v>
          </cell>
          <cell r="BV47">
            <v>11.583398620931284</v>
          </cell>
          <cell r="BW47">
            <v>11.583398620931284</v>
          </cell>
          <cell r="BX47" t="str">
            <v>Total Capital Ratio (%)</v>
          </cell>
          <cell r="BY47">
            <v>11.390828663248206</v>
          </cell>
          <cell r="BZ47">
            <v>10.419407553075102</v>
          </cell>
          <cell r="CA47">
            <v>10.419407553075102</v>
          </cell>
          <cell r="CC47">
            <v>11.630229047668676</v>
          </cell>
          <cell r="CD47">
            <v>11.491604801578978</v>
          </cell>
          <cell r="CE47">
            <v>11.491604801578978</v>
          </cell>
          <cell r="CG47">
            <v>11.502190409822001</v>
          </cell>
          <cell r="CH47">
            <v>11.700643567343839</v>
          </cell>
          <cell r="CI47">
            <v>11.700643567343839</v>
          </cell>
          <cell r="CK47">
            <v>11.105288792596699</v>
          </cell>
          <cell r="CL47">
            <v>10.977353717299621</v>
          </cell>
          <cell r="CM47">
            <v>10.977353717299621</v>
          </cell>
          <cell r="CO47">
            <v>11.407351518804845</v>
          </cell>
          <cell r="CP47">
            <v>11.607939284985788</v>
          </cell>
          <cell r="CQ47">
            <v>11.607939284985788</v>
          </cell>
        </row>
        <row r="48">
          <cell r="C48" t="str">
            <v>Total Assets</v>
          </cell>
          <cell r="AH48">
            <v>369103</v>
          </cell>
          <cell r="AJ48">
            <v>397261</v>
          </cell>
          <cell r="AK48">
            <v>440157</v>
          </cell>
          <cell r="AL48">
            <v>440157</v>
          </cell>
          <cell r="AN48">
            <v>472664</v>
          </cell>
          <cell r="AO48">
            <v>487572</v>
          </cell>
          <cell r="AP48">
            <v>487572</v>
          </cell>
          <cell r="AR48">
            <v>618761</v>
          </cell>
          <cell r="AS48">
            <v>620372</v>
          </cell>
          <cell r="AT48">
            <v>620372</v>
          </cell>
          <cell r="AV48">
            <v>625476</v>
          </cell>
          <cell r="AW48">
            <v>646330</v>
          </cell>
          <cell r="AX48">
            <v>646330</v>
          </cell>
          <cell r="AZ48">
            <v>649642</v>
          </cell>
          <cell r="BA48">
            <v>667899</v>
          </cell>
          <cell r="BB48">
            <v>667899</v>
          </cell>
          <cell r="BD48">
            <v>701986</v>
          </cell>
          <cell r="BE48">
            <v>718229</v>
          </cell>
          <cell r="BF48">
            <v>718229</v>
          </cell>
          <cell r="BH48">
            <v>733014.83016850334</v>
          </cell>
          <cell r="BI48">
            <v>752365.37123473303</v>
          </cell>
          <cell r="BJ48">
            <v>752365.37123473303</v>
          </cell>
          <cell r="BL48">
            <v>768084.35391609219</v>
          </cell>
          <cell r="BM48">
            <v>784307.67151343101</v>
          </cell>
          <cell r="BN48">
            <v>784307.67151343101</v>
          </cell>
          <cell r="BP48">
            <v>798061.16511097574</v>
          </cell>
          <cell r="BQ48">
            <v>814776.85436136439</v>
          </cell>
          <cell r="BR48">
            <v>814776.85436136439</v>
          </cell>
          <cell r="BS48">
            <v>8.1707631593033607</v>
          </cell>
          <cell r="BT48" t="str">
            <v>APRA Basel III CET1 Ratio (%)</v>
          </cell>
          <cell r="BU48">
            <v>8.754267851844423</v>
          </cell>
          <cell r="BV48">
            <v>8.0706698610976471</v>
          </cell>
          <cell r="BW48">
            <v>8.0706698610976471</v>
          </cell>
          <cell r="BX48" t="str">
            <v>Ordinary Shareholders' Equity / Total Assets (%)</v>
          </cell>
          <cell r="BY48">
            <v>9.0990388268240956</v>
          </cell>
          <cell r="BZ48">
            <v>9.1468635346140754</v>
          </cell>
          <cell r="CA48">
            <v>9.1468635346140754</v>
          </cell>
          <cell r="CC48">
            <v>9.7123927119409732</v>
          </cell>
          <cell r="CD48">
            <v>10.014873398624832</v>
          </cell>
          <cell r="CE48">
            <v>10.014873398624832</v>
          </cell>
          <cell r="CG48">
            <v>9.9000688601131994</v>
          </cell>
          <cell r="CH48">
            <v>9.700774919141212</v>
          </cell>
          <cell r="CI48">
            <v>7.2851764311294227</v>
          </cell>
          <cell r="CK48">
            <v>7.1405995940778206</v>
          </cell>
          <cell r="CL48">
            <v>7.512508925416217</v>
          </cell>
          <cell r="CM48">
            <v>7.512508925416217</v>
          </cell>
          <cell r="CO48">
            <v>10.059150312197513</v>
          </cell>
          <cell r="CP48">
            <v>10.218105620398678</v>
          </cell>
          <cell r="CQ48">
            <v>8.2357073007341643</v>
          </cell>
        </row>
        <row r="49">
          <cell r="C49" t="str">
            <v>Housing Loans</v>
          </cell>
          <cell r="AH49">
            <v>167121</v>
          </cell>
          <cell r="AJ49">
            <v>176721</v>
          </cell>
          <cell r="AK49">
            <v>192770</v>
          </cell>
          <cell r="AL49">
            <v>192770</v>
          </cell>
          <cell r="AN49">
            <v>203885</v>
          </cell>
          <cell r="AO49">
            <v>215743</v>
          </cell>
          <cell r="AP49">
            <v>215743</v>
          </cell>
          <cell r="AR49">
            <v>265694</v>
          </cell>
          <cell r="AS49">
            <v>292206</v>
          </cell>
          <cell r="AT49">
            <v>292206</v>
          </cell>
          <cell r="AV49">
            <v>310822</v>
          </cell>
          <cell r="AW49">
            <v>323573</v>
          </cell>
          <cell r="AX49">
            <v>323573</v>
          </cell>
          <cell r="AZ49">
            <v>327704</v>
          </cell>
          <cell r="BA49">
            <v>335841</v>
          </cell>
          <cell r="BB49">
            <v>335841</v>
          </cell>
          <cell r="BD49">
            <v>343100</v>
          </cell>
          <cell r="BE49">
            <v>350633</v>
          </cell>
          <cell r="BF49">
            <v>350633</v>
          </cell>
          <cell r="BH49">
            <v>358764.83826364856</v>
          </cell>
          <cell r="BI49">
            <v>367569.78997572127</v>
          </cell>
          <cell r="BJ49">
            <v>367569.78997572127</v>
          </cell>
          <cell r="BL49">
            <v>375170.87462079828</v>
          </cell>
          <cell r="BM49">
            <v>382811.69610976364</v>
          </cell>
          <cell r="BN49">
            <v>382811.69610976364</v>
          </cell>
          <cell r="BP49">
            <v>390467.93003195891</v>
          </cell>
          <cell r="BQ49">
            <v>398277.28863259807</v>
          </cell>
          <cell r="BR49">
            <v>398277.28863259807</v>
          </cell>
          <cell r="BS49">
            <v>11.583398620931284</v>
          </cell>
          <cell r="BT49" t="str">
            <v>Ordinary Shareholders' Equity / Total Assets (%)</v>
          </cell>
          <cell r="BU49">
            <v>11.390828663248206</v>
          </cell>
          <cell r="BV49">
            <v>10.419407553075102</v>
          </cell>
          <cell r="BW49">
            <v>10.419407553075102</v>
          </cell>
          <cell r="BY49">
            <v>11.630229047668676</v>
          </cell>
          <cell r="BZ49">
            <v>11.491604801578978</v>
          </cell>
          <cell r="CA49">
            <v>11.491604801578978</v>
          </cell>
          <cell r="CC49">
            <v>11.502190409822001</v>
          </cell>
          <cell r="CD49">
            <v>11.700643567343839</v>
          </cell>
          <cell r="CE49">
            <v>11.700643567343839</v>
          </cell>
          <cell r="CG49">
            <v>11.105288792596699</v>
          </cell>
          <cell r="CH49">
            <v>11.18477515990581</v>
          </cell>
          <cell r="CI49">
            <v>11.18477515990581</v>
          </cell>
          <cell r="CK49">
            <v>11.053280628690088</v>
          </cell>
          <cell r="CL49">
            <v>11.202114453079798</v>
          </cell>
          <cell r="CM49">
            <v>5.5834559729557007</v>
          </cell>
          <cell r="CN49" t="e">
            <v>#DIV/0!</v>
          </cell>
          <cell r="CO49">
            <v>5.6841892420245159</v>
          </cell>
          <cell r="CP49">
            <v>5.7845585008777753</v>
          </cell>
          <cell r="CQ49">
            <v>5.7845585008777753</v>
          </cell>
        </row>
        <row r="50">
          <cell r="C50" t="str">
            <v>Non-Housing Loans &amp; Acceptances</v>
          </cell>
          <cell r="AH50">
            <v>113161</v>
          </cell>
          <cell r="AJ50">
            <v>122364</v>
          </cell>
          <cell r="AK50">
            <v>144569</v>
          </cell>
          <cell r="AL50">
            <v>144569</v>
          </cell>
          <cell r="AN50">
            <v>162428</v>
          </cell>
          <cell r="AO50">
            <v>167759</v>
          </cell>
          <cell r="AP50">
            <v>167759</v>
          </cell>
          <cell r="AR50">
            <v>201174</v>
          </cell>
          <cell r="AS50">
            <v>196294</v>
          </cell>
          <cell r="AT50">
            <v>196294</v>
          </cell>
          <cell r="AV50">
            <v>189822</v>
          </cell>
          <cell r="AW50">
            <v>189265</v>
          </cell>
          <cell r="AX50">
            <v>189265</v>
          </cell>
          <cell r="AZ50">
            <v>182075</v>
          </cell>
          <cell r="BA50">
            <v>182234</v>
          </cell>
          <cell r="BB50">
            <v>182234</v>
          </cell>
          <cell r="BD50">
            <v>187799</v>
          </cell>
          <cell r="BE50">
            <v>191464</v>
          </cell>
          <cell r="BF50">
            <v>191464</v>
          </cell>
          <cell r="BH50">
            <v>192929.33354730328</v>
          </cell>
          <cell r="BI50">
            <v>196608.63502026783</v>
          </cell>
          <cell r="BJ50">
            <v>196608.63502026783</v>
          </cell>
          <cell r="BL50">
            <v>200426.11897997631</v>
          </cell>
          <cell r="BM50">
            <v>204319.66394731845</v>
          </cell>
          <cell r="BN50">
            <v>204319.66394731845</v>
          </cell>
          <cell r="BP50">
            <v>208274.70907066722</v>
          </cell>
          <cell r="BQ50">
            <v>212306.88487414899</v>
          </cell>
          <cell r="BR50">
            <v>212306.88487414899</v>
          </cell>
          <cell r="BT50">
            <v>219931.4988249086</v>
          </cell>
          <cell r="BU50">
            <v>226268.76278981371</v>
          </cell>
          <cell r="BV50">
            <v>226268.76278981371</v>
          </cell>
          <cell r="BX50" t="str">
            <v>FUNDING</v>
          </cell>
          <cell r="CE50">
            <v>7.3767298952090474</v>
          </cell>
          <cell r="CG50">
            <v>7.2365230681379238</v>
          </cell>
          <cell r="CH50">
            <v>7.5374764110557209</v>
          </cell>
          <cell r="CI50">
            <v>7.5374764110557209</v>
          </cell>
          <cell r="CM50">
            <v>8.0879356951211232</v>
          </cell>
          <cell r="CQ50">
            <v>8.0415491598295148</v>
          </cell>
        </row>
        <row r="51">
          <cell r="C51" t="str">
            <v>Gross Loans &amp; Acceptances</v>
          </cell>
          <cell r="AH51">
            <v>280282</v>
          </cell>
          <cell r="AJ51">
            <v>299085</v>
          </cell>
          <cell r="AK51">
            <v>337339</v>
          </cell>
          <cell r="AL51">
            <v>337339</v>
          </cell>
          <cell r="AN51">
            <v>366313</v>
          </cell>
          <cell r="AO51">
            <v>383502</v>
          </cell>
          <cell r="AP51">
            <v>383502</v>
          </cell>
          <cell r="AR51">
            <v>466868</v>
          </cell>
          <cell r="AS51">
            <v>488500</v>
          </cell>
          <cell r="AT51">
            <v>488500</v>
          </cell>
          <cell r="AV51">
            <v>500644</v>
          </cell>
          <cell r="AW51">
            <v>512838</v>
          </cell>
          <cell r="AX51">
            <v>512838</v>
          </cell>
          <cell r="AZ51">
            <v>509779</v>
          </cell>
          <cell r="BA51">
            <v>518075</v>
          </cell>
          <cell r="BB51">
            <v>518075</v>
          </cell>
          <cell r="BD51">
            <v>530899</v>
          </cell>
          <cell r="BE51">
            <v>542097</v>
          </cell>
          <cell r="BF51">
            <v>542097</v>
          </cell>
          <cell r="BH51">
            <v>551694.17181095178</v>
          </cell>
          <cell r="BI51">
            <v>564178.42499598907</v>
          </cell>
          <cell r="BJ51">
            <v>564178.42499598907</v>
          </cell>
          <cell r="BL51">
            <v>575596.99360077456</v>
          </cell>
          <cell r="BM51">
            <v>587131.36005708214</v>
          </cell>
          <cell r="BN51">
            <v>587131.36005708214</v>
          </cell>
          <cell r="BP51">
            <v>598742.63910262613</v>
          </cell>
          <cell r="BQ51">
            <v>610584.173506747</v>
          </cell>
          <cell r="BR51">
            <v>610584.173506747</v>
          </cell>
          <cell r="BT51" t="str">
            <v>FUNDING</v>
          </cell>
          <cell r="BU51">
            <v>677260.76941452769</v>
          </cell>
          <cell r="BV51">
            <v>677260.76941452769</v>
          </cell>
        </row>
        <row r="52">
          <cell r="C52" t="str">
            <v>Ordinary Shareholders' Equity</v>
          </cell>
          <cell r="AH52">
            <v>19896</v>
          </cell>
          <cell r="AJ52">
            <v>21040</v>
          </cell>
          <cell r="AK52">
            <v>22993</v>
          </cell>
          <cell r="AL52">
            <v>22993</v>
          </cell>
          <cell r="AN52">
            <v>24188</v>
          </cell>
          <cell r="AO52">
            <v>24680</v>
          </cell>
          <cell r="AP52">
            <v>24680</v>
          </cell>
          <cell r="AR52">
            <v>28529</v>
          </cell>
          <cell r="AS52">
            <v>29983</v>
          </cell>
          <cell r="AT52">
            <v>29983</v>
          </cell>
          <cell r="AV52">
            <v>32123</v>
          </cell>
          <cell r="AW52">
            <v>34108</v>
          </cell>
          <cell r="AX52">
            <v>34108</v>
          </cell>
          <cell r="AZ52">
            <v>33886</v>
          </cell>
          <cell r="BA52">
            <v>35820</v>
          </cell>
          <cell r="BB52">
            <v>35820</v>
          </cell>
          <cell r="BD52">
            <v>37408</v>
          </cell>
          <cell r="BE52">
            <v>40102</v>
          </cell>
          <cell r="BF52">
            <v>40102</v>
          </cell>
          <cell r="BH52">
            <v>41665.950118882341</v>
          </cell>
          <cell r="BI52">
            <v>43521.015039419384</v>
          </cell>
          <cell r="BJ52">
            <v>43521.015039419384</v>
          </cell>
          <cell r="BL52">
            <v>45139.469641615375</v>
          </cell>
          <cell r="BM52">
            <v>46953.185963656833</v>
          </cell>
          <cell r="BN52">
            <v>46953.185963656833</v>
          </cell>
          <cell r="BP52">
            <v>45443.796098664592</v>
          </cell>
          <cell r="BQ52">
            <v>47386.780454648775</v>
          </cell>
          <cell r="BR52">
            <v>47386.780454648775</v>
          </cell>
          <cell r="BT52">
            <v>52162.314272732729</v>
          </cell>
          <cell r="BU52">
            <v>52703.519209420381</v>
          </cell>
          <cell r="BV52">
            <v>52703.519209420381</v>
          </cell>
          <cell r="BX52" t="str">
            <v>Deposits (excl CoD) / Total Funding (%)</v>
          </cell>
          <cell r="CQ52">
            <v>58.735312881307642</v>
          </cell>
        </row>
        <row r="53">
          <cell r="C53" t="str">
            <v>Total Deposits</v>
          </cell>
          <cell r="AH53">
            <v>338063</v>
          </cell>
          <cell r="AJ53">
            <v>366062</v>
          </cell>
          <cell r="AK53">
            <v>405389</v>
          </cell>
          <cell r="AL53">
            <v>405389</v>
          </cell>
          <cell r="AN53">
            <v>438081</v>
          </cell>
          <cell r="AO53">
            <v>450594</v>
          </cell>
          <cell r="AP53">
            <v>450594</v>
          </cell>
          <cell r="AR53">
            <v>578737</v>
          </cell>
          <cell r="AS53">
            <v>577202</v>
          </cell>
          <cell r="AT53">
            <v>577202</v>
          </cell>
          <cell r="AV53">
            <v>582338</v>
          </cell>
          <cell r="AW53">
            <v>597381</v>
          </cell>
          <cell r="AX53">
            <v>597381</v>
          </cell>
          <cell r="AZ53">
            <v>602972</v>
          </cell>
          <cell r="BA53">
            <v>616112</v>
          </cell>
          <cell r="BB53">
            <v>346840</v>
          </cell>
          <cell r="BD53">
            <v>370364</v>
          </cell>
          <cell r="BE53">
            <v>379315</v>
          </cell>
          <cell r="BF53">
            <v>379315</v>
          </cell>
          <cell r="BG53">
            <v>0</v>
          </cell>
          <cell r="BH53">
            <v>393347.95499999996</v>
          </cell>
          <cell r="BI53">
            <v>407906.98162500001</v>
          </cell>
          <cell r="BJ53">
            <v>407906.98162500001</v>
          </cell>
          <cell r="BK53">
            <v>0</v>
          </cell>
          <cell r="BL53">
            <v>421020.23655899998</v>
          </cell>
          <cell r="BM53">
            <v>434560.41949753871</v>
          </cell>
          <cell r="BN53">
            <v>434560.41949753871</v>
          </cell>
          <cell r="BO53">
            <v>0</v>
          </cell>
          <cell r="BP53">
            <v>447449.45843531133</v>
          </cell>
          <cell r="BQ53">
            <v>460722.95193650993</v>
          </cell>
          <cell r="BR53">
            <v>460722.95193650993</v>
          </cell>
          <cell r="BS53">
            <v>0</v>
          </cell>
          <cell r="BT53" t="str">
            <v>Deposits (incl CoD) / Total Funding (%)</v>
          </cell>
          <cell r="BU53">
            <v>494607.19802817958</v>
          </cell>
          <cell r="BV53">
            <v>494607.19802817958</v>
          </cell>
          <cell r="BX53" t="str">
            <v>Deposits (incl CoD) / Total Funding (%)</v>
          </cell>
          <cell r="CM53">
            <v>58.735312881307642</v>
          </cell>
          <cell r="CN53" t="e">
            <v>#DIV/0!</v>
          </cell>
          <cell r="CO53">
            <v>59.741456722133265</v>
          </cell>
          <cell r="CP53">
            <v>60.383279732532522</v>
          </cell>
          <cell r="CQ53">
            <v>60.383279732532522</v>
          </cell>
        </row>
        <row r="54">
          <cell r="C54" t="str">
            <v>Shareholders' Equity</v>
          </cell>
          <cell r="AH54">
            <v>21343</v>
          </cell>
          <cell r="AJ54">
            <v>22487</v>
          </cell>
          <cell r="AK54">
            <v>24444</v>
          </cell>
          <cell r="AL54">
            <v>24444</v>
          </cell>
          <cell r="AN54">
            <v>25638</v>
          </cell>
          <cell r="AO54">
            <v>26137</v>
          </cell>
          <cell r="AP54">
            <v>26137</v>
          </cell>
          <cell r="AR54">
            <v>29987</v>
          </cell>
          <cell r="AS54">
            <v>31442</v>
          </cell>
          <cell r="AT54">
            <v>31442</v>
          </cell>
          <cell r="AV54">
            <v>33583</v>
          </cell>
          <cell r="AW54">
            <v>35570</v>
          </cell>
          <cell r="AX54">
            <v>35570</v>
          </cell>
          <cell r="AZ54">
            <v>35349</v>
          </cell>
          <cell r="BA54">
            <v>37287</v>
          </cell>
          <cell r="BB54">
            <v>37287</v>
          </cell>
          <cell r="BD54">
            <v>38875</v>
          </cell>
          <cell r="BE54">
            <v>40694.488147174619</v>
          </cell>
          <cell r="BF54">
            <v>40694.488147174619</v>
          </cell>
          <cell r="BH54">
            <v>41955.740083469878</v>
          </cell>
          <cell r="BI54">
            <v>43711.55990941573</v>
          </cell>
          <cell r="BJ54">
            <v>43711.559909415722</v>
          </cell>
          <cell r="BL54">
            <v>43077.572083658044</v>
          </cell>
          <cell r="BM54">
            <v>44705.907522566195</v>
          </cell>
          <cell r="BN54">
            <v>44705.907522566195</v>
          </cell>
          <cell r="BP54" t="str">
            <v>90-day Past Due Loans (A$m)</v>
          </cell>
          <cell r="BQ54">
            <v>850</v>
          </cell>
          <cell r="BR54">
            <v>1112</v>
          </cell>
          <cell r="BS54">
            <v>1112</v>
          </cell>
          <cell r="BT54" t="str">
            <v>Deposits (excl CoD) / Total Funding (%)</v>
          </cell>
          <cell r="BU54">
            <v>1734</v>
          </cell>
          <cell r="BV54">
            <v>2609</v>
          </cell>
          <cell r="BW54">
            <v>2609</v>
          </cell>
          <cell r="BX54" t="str">
            <v>Loan to Deposit Ratio (excl CoD) (%)</v>
          </cell>
          <cell r="BY54">
            <v>3026</v>
          </cell>
          <cell r="BZ54">
            <v>3350</v>
          </cell>
          <cell r="CA54">
            <v>3350</v>
          </cell>
          <cell r="CC54">
            <v>3224</v>
          </cell>
          <cell r="CD54">
            <v>3758</v>
          </cell>
          <cell r="CE54">
            <v>3758</v>
          </cell>
          <cell r="CG54">
            <v>3137</v>
          </cell>
          <cell r="CH54">
            <v>3088.792948797663</v>
          </cell>
          <cell r="CI54">
            <v>3088.792948797663</v>
          </cell>
          <cell r="CK54">
            <v>2834.7162631000688</v>
          </cell>
          <cell r="CL54">
            <v>2900.4687208890728</v>
          </cell>
          <cell r="CM54">
            <v>66.956847588432396</v>
          </cell>
          <cell r="CN54" t="e">
            <v>#DIV/0!</v>
          </cell>
          <cell r="CO54">
            <v>68.087735495146916</v>
          </cell>
          <cell r="CP54">
            <v>68.8028491938733</v>
          </cell>
          <cell r="CQ54">
            <v>68.8028491938733</v>
          </cell>
        </row>
        <row r="55">
          <cell r="C55" t="str">
            <v>Avg Loans &amp; Acceptances</v>
          </cell>
          <cell r="AH55">
            <v>232623</v>
          </cell>
          <cell r="AJ55">
            <v>274184</v>
          </cell>
          <cell r="AK55">
            <v>291758</v>
          </cell>
          <cell r="AL55">
            <v>282971</v>
          </cell>
          <cell r="AN55">
            <v>348367</v>
          </cell>
          <cell r="AO55">
            <v>372574.5</v>
          </cell>
          <cell r="AP55">
            <v>360404.25</v>
          </cell>
          <cell r="AR55">
            <v>394172</v>
          </cell>
          <cell r="AS55">
            <v>474469</v>
          </cell>
          <cell r="AT55">
            <v>433983.5</v>
          </cell>
          <cell r="AV55">
            <v>496724</v>
          </cell>
          <cell r="AW55">
            <v>503123.5</v>
          </cell>
          <cell r="AX55">
            <v>499890.25</v>
          </cell>
          <cell r="AZ55">
            <v>508185.5</v>
          </cell>
          <cell r="BA55">
            <v>510966</v>
          </cell>
          <cell r="BB55">
            <v>520893.75</v>
          </cell>
          <cell r="BD55">
            <v>534177</v>
          </cell>
          <cell r="BE55">
            <v>544487.5</v>
          </cell>
          <cell r="BF55">
            <v>539301.75</v>
          </cell>
          <cell r="BH55">
            <v>546895.58590547589</v>
          </cell>
          <cell r="BI55">
            <v>557936.29840347043</v>
          </cell>
          <cell r="BJ55">
            <v>552415.94215447316</v>
          </cell>
          <cell r="BL55">
            <v>569887.70929838193</v>
          </cell>
          <cell r="BM55">
            <v>581364.17682892829</v>
          </cell>
          <cell r="BN55">
            <v>575625.94306365505</v>
          </cell>
          <cell r="BP55">
            <v>592936.99957985419</v>
          </cell>
          <cell r="BQ55">
            <v>604663.40630468656</v>
          </cell>
          <cell r="BR55">
            <v>598800.20294227032</v>
          </cell>
          <cell r="BS55">
            <v>683</v>
          </cell>
          <cell r="BT55" t="str">
            <v>Loan to Deposit Ratio (excl CoD) (%)</v>
          </cell>
          <cell r="BU55">
            <v>2714</v>
          </cell>
          <cell r="BV55">
            <v>4210</v>
          </cell>
          <cell r="BW55">
            <v>4210</v>
          </cell>
          <cell r="BY55">
            <v>4823</v>
          </cell>
          <cell r="BZ55">
            <v>5216</v>
          </cell>
          <cell r="CA55">
            <v>5216</v>
          </cell>
          <cell r="CC55">
            <v>5184</v>
          </cell>
          <cell r="CD55">
            <v>5297</v>
          </cell>
          <cell r="CE55">
            <v>5297</v>
          </cell>
          <cell r="CG55">
            <v>4692</v>
          </cell>
          <cell r="CH55">
            <v>4389.694518074175</v>
          </cell>
          <cell r="CI55">
            <v>4389.694518074175</v>
          </cell>
          <cell r="CK55">
            <v>4062.7028025076988</v>
          </cell>
          <cell r="CL55">
            <v>3924.4295623371145</v>
          </cell>
          <cell r="CM55">
            <v>142.91472786470348</v>
          </cell>
          <cell r="CN55" t="e">
            <v>#DIV/0!</v>
          </cell>
          <cell r="CO55">
            <v>140.25601628231468</v>
          </cell>
          <cell r="CP55">
            <v>138.31055863482464</v>
          </cell>
          <cell r="CQ55">
            <v>138.31055863482464</v>
          </cell>
        </row>
        <row r="56">
          <cell r="C56" t="str">
            <v>Avg Interest Earning Assets</v>
          </cell>
          <cell r="AH56">
            <v>274798</v>
          </cell>
          <cell r="AJ56">
            <v>321383</v>
          </cell>
          <cell r="AK56">
            <v>343614</v>
          </cell>
          <cell r="AL56">
            <v>332492</v>
          </cell>
          <cell r="AN56">
            <v>370819</v>
          </cell>
          <cell r="AO56">
            <v>400678</v>
          </cell>
          <cell r="AP56">
            <v>385667</v>
          </cell>
          <cell r="AR56">
            <v>436722</v>
          </cell>
          <cell r="AS56">
            <v>526512</v>
          </cell>
          <cell r="AT56">
            <v>481248</v>
          </cell>
          <cell r="AV56">
            <v>547379</v>
          </cell>
          <cell r="AW56">
            <v>560197</v>
          </cell>
          <cell r="AX56">
            <v>553735</v>
          </cell>
          <cell r="AZ56">
            <v>573800</v>
          </cell>
          <cell r="BA56">
            <v>578982</v>
          </cell>
          <cell r="BB56">
            <v>597406</v>
          </cell>
          <cell r="BD56">
            <v>622898</v>
          </cell>
          <cell r="BE56">
            <v>636547</v>
          </cell>
          <cell r="BF56">
            <v>629685</v>
          </cell>
          <cell r="BH56">
            <v>645055.61025102809</v>
          </cell>
          <cell r="BI56">
            <v>662010.40703216649</v>
          </cell>
          <cell r="BJ56">
            <v>653533.00864159735</v>
          </cell>
          <cell r="BL56">
            <v>678394.11109820008</v>
          </cell>
          <cell r="BM56">
            <v>692789.0103731578</v>
          </cell>
          <cell r="BN56">
            <v>685591.560735679</v>
          </cell>
          <cell r="BP56">
            <v>705279.53081415081</v>
          </cell>
          <cell r="BQ56">
            <v>716195.36908659618</v>
          </cell>
          <cell r="BR56">
            <v>710737.4499503735</v>
          </cell>
          <cell r="BS56">
            <v>0.1780955510010378</v>
          </cell>
          <cell r="BT56">
            <v>768320.00876581331</v>
          </cell>
          <cell r="BU56">
            <v>0.58132063024238112</v>
          </cell>
          <cell r="BV56">
            <v>0.86182190378710344</v>
          </cell>
          <cell r="BW56">
            <v>0.86182190378710344</v>
          </cell>
          <cell r="BX56" t="str">
            <v>ASSET QUALITY</v>
          </cell>
          <cell r="BY56">
            <v>0.96335919335895359</v>
          </cell>
          <cell r="BZ56">
            <v>1.0170853173906769</v>
          </cell>
          <cell r="CA56">
            <v>1.0170853173906769</v>
          </cell>
          <cell r="CC56">
            <v>1.0169112497768642</v>
          </cell>
          <cell r="CD56">
            <v>1.0224388360758576</v>
          </cell>
          <cell r="CE56">
            <v>1.0224388360758576</v>
          </cell>
          <cell r="CG56">
            <v>0.88378392123548921</v>
          </cell>
          <cell r="CH56">
            <v>0.81322434950447642</v>
          </cell>
          <cell r="CI56">
            <v>0.81322434950447642</v>
          </cell>
          <cell r="CK56">
            <v>0.73814258007212119</v>
          </cell>
          <cell r="CL56">
            <v>0.69723895225397359</v>
          </cell>
          <cell r="CM56">
            <v>0.69723895225397359</v>
          </cell>
          <cell r="CO56">
            <v>0.72127833571307254</v>
          </cell>
          <cell r="CP56">
            <v>0.73454735600688625</v>
          </cell>
          <cell r="CQ56">
            <v>0.73454735600688614</v>
          </cell>
        </row>
        <row r="57">
          <cell r="C57" t="str">
            <v>Avg Total Assets</v>
          </cell>
          <cell r="AH57">
            <v>353414</v>
          </cell>
          <cell r="AJ57">
            <v>399228</v>
          </cell>
          <cell r="AK57">
            <v>425355</v>
          </cell>
          <cell r="AL57">
            <v>412285</v>
          </cell>
          <cell r="AN57">
            <v>461029</v>
          </cell>
          <cell r="AO57">
            <v>490608</v>
          </cell>
          <cell r="AP57">
            <v>475738</v>
          </cell>
          <cell r="AR57">
            <v>537417</v>
          </cell>
          <cell r="AS57">
            <v>637864</v>
          </cell>
          <cell r="AT57">
            <v>587228</v>
          </cell>
          <cell r="AV57">
            <v>632208</v>
          </cell>
          <cell r="AW57">
            <v>648760</v>
          </cell>
          <cell r="AX57">
            <v>640417</v>
          </cell>
          <cell r="AZ57">
            <v>651433</v>
          </cell>
          <cell r="BA57">
            <v>668922</v>
          </cell>
          <cell r="BB57">
            <v>660105</v>
          </cell>
          <cell r="BD57">
            <v>699510</v>
          </cell>
          <cell r="BE57">
            <v>714061</v>
          </cell>
          <cell r="BF57">
            <v>706746</v>
          </cell>
          <cell r="BH57">
            <v>725621.91508425167</v>
          </cell>
          <cell r="BI57">
            <v>742690.10070161824</v>
          </cell>
          <cell r="BJ57">
            <v>734156.00789293495</v>
          </cell>
          <cell r="BL57">
            <v>760224.86257541261</v>
          </cell>
          <cell r="BM57">
            <v>776196.01271476154</v>
          </cell>
          <cell r="BN57">
            <v>768210.43764508702</v>
          </cell>
          <cell r="BP57">
            <v>791184.41831220337</v>
          </cell>
          <cell r="BQ57">
            <v>806419.00973617006</v>
          </cell>
          <cell r="BR57">
            <v>798801.71402418672</v>
          </cell>
          <cell r="BS57">
            <v>1745</v>
          </cell>
          <cell r="BT57" t="str">
            <v>ASSET QUALITY</v>
          </cell>
          <cell r="BU57">
            <v>3608</v>
          </cell>
          <cell r="BV57">
            <v>4954</v>
          </cell>
          <cell r="BW57">
            <v>4954</v>
          </cell>
          <cell r="BY57">
            <v>5274</v>
          </cell>
          <cell r="BZ57">
            <v>5453</v>
          </cell>
          <cell r="CA57">
            <v>5453</v>
          </cell>
          <cell r="CC57">
            <v>5496</v>
          </cell>
          <cell r="CD57">
            <v>5168</v>
          </cell>
          <cell r="CE57">
            <v>5168</v>
          </cell>
          <cell r="CG57">
            <v>5081</v>
          </cell>
          <cell r="CH57">
            <v>4881.430162834281</v>
          </cell>
          <cell r="CI57">
            <v>4886.430162834281</v>
          </cell>
          <cell r="CK57">
            <v>4749.98244899366</v>
          </cell>
          <cell r="CL57">
            <v>4731.5305727989071</v>
          </cell>
          <cell r="CM57">
            <v>4731.5305727989071</v>
          </cell>
          <cell r="CO57">
            <v>4858.4912875598711</v>
          </cell>
          <cell r="CP57">
            <v>5052.7401705778284</v>
          </cell>
          <cell r="CQ57">
            <v>5052.7401705778284</v>
          </cell>
        </row>
        <row r="58">
          <cell r="C58" t="str">
            <v>Avg Ordinary Shareholders' Equity</v>
          </cell>
          <cell r="AH58">
            <v>20922.5</v>
          </cell>
          <cell r="AJ58">
            <v>20682</v>
          </cell>
          <cell r="AK58">
            <v>21951</v>
          </cell>
          <cell r="AL58">
            <v>21310</v>
          </cell>
          <cell r="AN58">
            <v>23590.5</v>
          </cell>
          <cell r="AO58">
            <v>24321.5</v>
          </cell>
          <cell r="AP58">
            <v>23954</v>
          </cell>
          <cell r="AR58">
            <v>26604.5</v>
          </cell>
          <cell r="AS58">
            <v>28875.5</v>
          </cell>
          <cell r="AT58">
            <v>27731</v>
          </cell>
          <cell r="AV58">
            <v>31053.5</v>
          </cell>
          <cell r="AW58">
            <v>33109</v>
          </cell>
          <cell r="AX58">
            <v>32073.75</v>
          </cell>
          <cell r="AZ58">
            <v>34014.5</v>
          </cell>
          <cell r="BA58">
            <v>35203</v>
          </cell>
          <cell r="BB58">
            <v>34605.25</v>
          </cell>
          <cell r="BD58">
            <v>36613</v>
          </cell>
          <cell r="BE58">
            <v>38961.5</v>
          </cell>
          <cell r="BF58">
            <v>37781.25</v>
          </cell>
          <cell r="BH58">
            <v>40883.975059441174</v>
          </cell>
          <cell r="BI58">
            <v>42593.482579150863</v>
          </cell>
          <cell r="BJ58">
            <v>41738.728819296019</v>
          </cell>
          <cell r="BL58">
            <v>44330.242340517376</v>
          </cell>
          <cell r="BM58">
            <v>46046.327802636108</v>
          </cell>
          <cell r="BN58">
            <v>45188.285071576742</v>
          </cell>
          <cell r="BP58">
            <v>46198.491031160716</v>
          </cell>
          <cell r="BQ58">
            <v>46415.288276656684</v>
          </cell>
          <cell r="BR58">
            <v>46306.889653908693</v>
          </cell>
          <cell r="BS58">
            <v>0.4550171837435007</v>
          </cell>
          <cell r="BT58">
            <v>51122.598590813184</v>
          </cell>
          <cell r="BU58">
            <v>0.77280944506798499</v>
          </cell>
          <cell r="BV58">
            <v>1.0141248720573184</v>
          </cell>
          <cell r="BW58">
            <v>1.0141248720573184</v>
          </cell>
          <cell r="BX58" t="str">
            <v>90-day Past Due Loans (A$m)</v>
          </cell>
          <cell r="BY58">
            <v>1.0534431652032181</v>
          </cell>
          <cell r="BZ58">
            <v>1.0632987415129145</v>
          </cell>
          <cell r="CA58">
            <v>1.0632987415129145</v>
          </cell>
          <cell r="CC58">
            <v>1.0781142416615828</v>
          </cell>
          <cell r="CD58">
            <v>0.99753896636587369</v>
          </cell>
          <cell r="CE58">
            <v>0.99753896636587369</v>
          </cell>
          <cell r="CG58">
            <v>0.95705586184942903</v>
          </cell>
          <cell r="CH58">
            <v>0.90432212366431486</v>
          </cell>
          <cell r="CI58">
            <v>0.9052484117535613</v>
          </cell>
          <cell r="CK58">
            <v>0.86301274561193542</v>
          </cell>
          <cell r="CL58">
            <v>0.840633617378852</v>
          </cell>
          <cell r="CM58">
            <v>0.840633617378852</v>
          </cell>
          <cell r="CO58">
            <v>0.84606370655308882</v>
          </cell>
          <cell r="CP58">
            <v>0.86259389197976266</v>
          </cell>
          <cell r="CQ58">
            <v>0.86259389197976266</v>
          </cell>
        </row>
        <row r="59">
          <cell r="C59" t="str">
            <v>Avg Interest Bearing Liabilities</v>
          </cell>
          <cell r="AH59">
            <v>255100</v>
          </cell>
          <cell r="AJ59">
            <v>301067</v>
          </cell>
          <cell r="AK59">
            <v>321405</v>
          </cell>
          <cell r="AL59">
            <v>311236</v>
          </cell>
          <cell r="AN59">
            <v>348716</v>
          </cell>
          <cell r="AO59">
            <v>375930</v>
          </cell>
          <cell r="AP59">
            <v>362249</v>
          </cell>
          <cell r="AR59">
            <v>410880</v>
          </cell>
          <cell r="AS59">
            <v>497541</v>
          </cell>
          <cell r="AT59">
            <v>454258</v>
          </cell>
          <cell r="AV59">
            <v>513136</v>
          </cell>
          <cell r="AW59">
            <v>529676</v>
          </cell>
          <cell r="AX59">
            <v>521338</v>
          </cell>
          <cell r="AZ59">
            <v>536948</v>
          </cell>
          <cell r="BA59">
            <v>540772</v>
          </cell>
          <cell r="BB59">
            <v>538843</v>
          </cell>
          <cell r="BD59">
            <v>564743</v>
          </cell>
          <cell r="BE59">
            <v>567915.87708051666</v>
          </cell>
          <cell r="BF59">
            <v>566329.43854025833</v>
          </cell>
          <cell r="BH59">
            <v>577355.0591834666</v>
          </cell>
          <cell r="BI59">
            <v>589541.94929210201</v>
          </cell>
          <cell r="BJ59">
            <v>583448.50423778431</v>
          </cell>
          <cell r="BL59">
            <v>602955.58740465716</v>
          </cell>
          <cell r="BM59">
            <v>614793.2780772819</v>
          </cell>
          <cell r="BN59">
            <v>608874.43274096958</v>
          </cell>
          <cell r="BP59" t="str">
            <v>Individual Provision (A$m)</v>
          </cell>
          <cell r="BQ59">
            <v>189</v>
          </cell>
          <cell r="BR59">
            <v>279</v>
          </cell>
          <cell r="BS59">
            <v>279</v>
          </cell>
          <cell r="BT59" t="str">
            <v>90-day Past Due Loans (A$m)</v>
          </cell>
          <cell r="BU59">
            <v>850</v>
          </cell>
          <cell r="BV59">
            <v>1112</v>
          </cell>
          <cell r="BW59">
            <v>1112</v>
          </cell>
          <cell r="BX59" t="str">
            <v>&gt;90DPD Loans / Gross Loans &amp; Acceptances (%)</v>
          </cell>
          <cell r="BY59">
            <v>1734</v>
          </cell>
          <cell r="BZ59">
            <v>2609</v>
          </cell>
          <cell r="CA59">
            <v>2609</v>
          </cell>
          <cell r="CC59">
            <v>3026</v>
          </cell>
          <cell r="CD59">
            <v>3350</v>
          </cell>
          <cell r="CE59">
            <v>3350</v>
          </cell>
          <cell r="CG59">
            <v>3224</v>
          </cell>
          <cell r="CH59">
            <v>3758</v>
          </cell>
          <cell r="CI59">
            <v>3758</v>
          </cell>
          <cell r="CK59">
            <v>3137</v>
          </cell>
          <cell r="CL59">
            <v>2978</v>
          </cell>
          <cell r="CM59">
            <v>2978</v>
          </cell>
          <cell r="CO59">
            <v>2866.8803217953014</v>
          </cell>
          <cell r="CP59">
            <v>2996.314850089273</v>
          </cell>
          <cell r="CQ59">
            <v>2996.314850089273</v>
          </cell>
        </row>
        <row r="60">
          <cell r="C60" t="str">
            <v>GROWTH RATES (%)</v>
          </cell>
          <cell r="AH60">
            <v>21993</v>
          </cell>
          <cell r="AJ60">
            <v>22129</v>
          </cell>
          <cell r="AK60">
            <v>23400</v>
          </cell>
          <cell r="AL60">
            <v>22758</v>
          </cell>
          <cell r="AN60">
            <v>25041</v>
          </cell>
          <cell r="AO60">
            <v>25775</v>
          </cell>
          <cell r="AP60">
            <v>25406</v>
          </cell>
          <cell r="AR60">
            <v>28062</v>
          </cell>
          <cell r="AS60">
            <v>30334</v>
          </cell>
          <cell r="AT60">
            <v>29189</v>
          </cell>
          <cell r="AV60">
            <v>32513</v>
          </cell>
          <cell r="AW60">
            <v>34570</v>
          </cell>
          <cell r="AX60">
            <v>33534</v>
          </cell>
          <cell r="AZ60">
            <v>35477</v>
          </cell>
          <cell r="BA60">
            <v>36668</v>
          </cell>
          <cell r="BB60">
            <v>36069</v>
          </cell>
          <cell r="BD60">
            <v>36599</v>
          </cell>
          <cell r="BE60">
            <v>39784.74407358731</v>
          </cell>
          <cell r="BF60">
            <v>38191.872036793655</v>
          </cell>
          <cell r="BH60">
            <v>41325.114115322249</v>
          </cell>
          <cell r="BI60">
            <v>42833.649996442808</v>
          </cell>
          <cell r="BJ60">
            <v>42079.382055882525</v>
          </cell>
          <cell r="BL60">
            <v>43394.565996536883</v>
          </cell>
          <cell r="BM60">
            <v>43891.739803112119</v>
          </cell>
          <cell r="BN60">
            <v>43643.152899824505</v>
          </cell>
          <cell r="BP60" t="str">
            <v>Individual Provision Cover (%)</v>
          </cell>
          <cell r="BQ60">
            <v>33.629893238434164</v>
          </cell>
          <cell r="BR60">
            <v>40.849194729136165</v>
          </cell>
          <cell r="BS60">
            <v>40.849194729136165</v>
          </cell>
          <cell r="BT60" t="str">
            <v>&gt;90DPD Loans / Gross Loans &amp; Acceptances (%)</v>
          </cell>
          <cell r="BU60">
            <v>41.783345615327924</v>
          </cell>
          <cell r="BV60">
            <v>41.068883610451309</v>
          </cell>
          <cell r="BW60">
            <v>41.068883610451309</v>
          </cell>
          <cell r="BX60" t="str">
            <v>Gross Impaired Assets (A$m)</v>
          </cell>
          <cell r="BY60">
            <v>37.777317022600045</v>
          </cell>
          <cell r="BZ60">
            <v>38.190184049079754</v>
          </cell>
          <cell r="CA60">
            <v>38.190184049079754</v>
          </cell>
          <cell r="CC60">
            <v>41.840277777777779</v>
          </cell>
          <cell r="CD60">
            <v>40.117047385312446</v>
          </cell>
          <cell r="CE60">
            <v>40.117047385312446</v>
          </cell>
          <cell r="CG60">
            <v>44.693094629156008</v>
          </cell>
          <cell r="CH60">
            <v>45.059281068884964</v>
          </cell>
          <cell r="CI60">
            <v>45.059281068884964</v>
          </cell>
          <cell r="CK60">
            <v>43.918516395566328</v>
          </cell>
          <cell r="CL60">
            <v>43.245829846687975</v>
          </cell>
          <cell r="CM60">
            <v>0.54934817938487024</v>
          </cell>
          <cell r="CN60">
            <v>0</v>
          </cell>
          <cell r="CO60">
            <v>0.519650282399157</v>
          </cell>
          <cell r="CP60">
            <v>0.53109348343311336</v>
          </cell>
          <cell r="CQ60">
            <v>0.53109348343311336</v>
          </cell>
        </row>
        <row r="61">
          <cell r="C61" t="str">
            <v>Per Share (%)</v>
          </cell>
          <cell r="AH61">
            <v>20922.5</v>
          </cell>
          <cell r="AJ61">
            <v>20682</v>
          </cell>
          <cell r="AK61">
            <v>21951</v>
          </cell>
          <cell r="AL61">
            <v>21310</v>
          </cell>
          <cell r="AN61">
            <v>23590.5</v>
          </cell>
          <cell r="AO61">
            <v>24321.5</v>
          </cell>
          <cell r="AP61">
            <v>23954</v>
          </cell>
          <cell r="AR61">
            <v>26604.5</v>
          </cell>
          <cell r="AS61">
            <v>28875.5</v>
          </cell>
          <cell r="AT61">
            <v>27731</v>
          </cell>
          <cell r="AV61">
            <v>31053.5</v>
          </cell>
          <cell r="AW61">
            <v>33109</v>
          </cell>
          <cell r="AX61">
            <v>32073.75</v>
          </cell>
          <cell r="AZ61">
            <v>34014.5</v>
          </cell>
          <cell r="BA61">
            <v>35203</v>
          </cell>
          <cell r="BB61">
            <v>34605.25</v>
          </cell>
          <cell r="BD61">
            <v>35132</v>
          </cell>
          <cell r="BE61">
            <v>38329.24407358731</v>
          </cell>
          <cell r="BF61">
            <v>36730.622036793655</v>
          </cell>
          <cell r="BH61">
            <v>39881.114115322249</v>
          </cell>
          <cell r="BI61">
            <v>41389.649996442808</v>
          </cell>
          <cell r="BJ61">
            <v>40635.382055882525</v>
          </cell>
          <cell r="BL61">
            <v>41950.565996536883</v>
          </cell>
          <cell r="BM61">
            <v>42483.70437004124</v>
          </cell>
          <cell r="BN61">
            <v>42217.135183289058</v>
          </cell>
          <cell r="BP61" t="str">
            <v>Collective Provision (A$m)</v>
          </cell>
          <cell r="BQ61">
            <v>1191</v>
          </cell>
          <cell r="BR61">
            <v>1466</v>
          </cell>
          <cell r="BS61">
            <v>1466</v>
          </cell>
          <cell r="BT61" t="str">
            <v>Gross Impaired Assets (A$m)</v>
          </cell>
          <cell r="BU61">
            <v>562</v>
          </cell>
          <cell r="BV61">
            <v>683</v>
          </cell>
          <cell r="BW61">
            <v>683</v>
          </cell>
          <cell r="BX61" t="str">
            <v>Impaired / Gross Loans &amp; Acceptances (%)</v>
          </cell>
          <cell r="BY61">
            <v>2714</v>
          </cell>
          <cell r="BZ61">
            <v>4210</v>
          </cell>
          <cell r="CA61">
            <v>4210</v>
          </cell>
          <cell r="CC61">
            <v>4823</v>
          </cell>
          <cell r="CD61">
            <v>5216</v>
          </cell>
          <cell r="CE61">
            <v>5216</v>
          </cell>
          <cell r="CG61">
            <v>5184</v>
          </cell>
          <cell r="CH61">
            <v>5297</v>
          </cell>
          <cell r="CI61">
            <v>5297</v>
          </cell>
          <cell r="CK61">
            <v>4692</v>
          </cell>
          <cell r="CL61">
            <v>4499</v>
          </cell>
          <cell r="CM61">
            <v>4499</v>
          </cell>
          <cell r="CO61">
            <v>4826.2366872438079</v>
          </cell>
          <cell r="CP61">
            <v>4931.0522537617826</v>
          </cell>
          <cell r="CQ61">
            <v>4931.0522537617835</v>
          </cell>
        </row>
        <row r="62">
          <cell r="C62" t="str">
            <v>Modelware EPS</v>
          </cell>
          <cell r="AL62">
            <v>14.820492026447262</v>
          </cell>
          <cell r="AN62">
            <v>3.0497641496360917</v>
          </cell>
          <cell r="AO62">
            <v>0.36632235821723036</v>
          </cell>
          <cell r="AP62">
            <v>-3.594558085960875E-2</v>
          </cell>
          <cell r="AR62">
            <v>-23.225036354249063</v>
          </cell>
          <cell r="AS62">
            <v>-11.195042513928454</v>
          </cell>
          <cell r="AT62">
            <v>-14.770998902247111</v>
          </cell>
          <cell r="AV62">
            <v>35.515955862611314</v>
          </cell>
          <cell r="AW62">
            <v>29.432046321579609</v>
          </cell>
          <cell r="AX62">
            <v>29.909689259576243</v>
          </cell>
          <cell r="AZ62">
            <v>11.11624906312343</v>
          </cell>
          <cell r="BA62">
            <v>10.12161759916772</v>
          </cell>
          <cell r="BB62">
            <v>10.730638456604758</v>
          </cell>
          <cell r="BD62">
            <v>6.4210024571531354</v>
          </cell>
          <cell r="BE62">
            <v>-0.47561612032781531</v>
          </cell>
          <cell r="BF62">
            <v>3.0732678791606016</v>
          </cell>
          <cell r="BH62">
            <v>4.3945001229092506</v>
          </cell>
          <cell r="BI62">
            <v>8.0027490824959422</v>
          </cell>
          <cell r="BJ62">
            <v>6.0271894332055487</v>
          </cell>
          <cell r="BL62">
            <v>4.5549793095563729</v>
          </cell>
          <cell r="BM62">
            <v>0.37598396722249294</v>
          </cell>
          <cell r="BN62">
            <v>2.4485641281928316</v>
          </cell>
          <cell r="BP62">
            <v>3.6123835422659845</v>
          </cell>
          <cell r="BQ62">
            <v>6.9500663153950981</v>
          </cell>
          <cell r="BR62">
            <v>5.2596107110322698</v>
          </cell>
          <cell r="BS62">
            <v>0.38294859972989848</v>
          </cell>
          <cell r="BT62" t="str">
            <v>Impaired / Gross Loans &amp; Acceptances (%)</v>
          </cell>
          <cell r="BU62">
            <v>0.15342070851976317</v>
          </cell>
          <cell r="BV62">
            <v>0.1780955510010378</v>
          </cell>
          <cell r="BW62">
            <v>0.1780955510010378</v>
          </cell>
          <cell r="BX62" t="str">
            <v>New Impaired Assets (A$m)</v>
          </cell>
          <cell r="BY62">
            <v>0.58132063024238112</v>
          </cell>
          <cell r="BZ62">
            <v>0.86182190378710344</v>
          </cell>
          <cell r="CA62">
            <v>0.86182190378710344</v>
          </cell>
          <cell r="CC62">
            <v>0.96335919335895359</v>
          </cell>
          <cell r="CD62">
            <v>1.0170853173906769</v>
          </cell>
          <cell r="CE62">
            <v>1.0170853173906769</v>
          </cell>
          <cell r="CG62">
            <v>1.0169112497768642</v>
          </cell>
          <cell r="CH62">
            <v>1.0224388360758576</v>
          </cell>
          <cell r="CI62">
            <v>1.0224388360758576</v>
          </cell>
          <cell r="CK62">
            <v>0.88378392123548921</v>
          </cell>
          <cell r="CL62">
            <v>0.82992527167647123</v>
          </cell>
          <cell r="CM62">
            <v>0.82992527167647123</v>
          </cell>
          <cell r="CO62">
            <v>0.87480291325201953</v>
          </cell>
          <cell r="CP62">
            <v>0.87402354207303112</v>
          </cell>
          <cell r="CQ62">
            <v>0.87402354207303123</v>
          </cell>
        </row>
        <row r="63">
          <cell r="C63" t="str">
            <v>Basic Cash EPS</v>
          </cell>
          <cell r="AL63">
            <v>13.943478428377333</v>
          </cell>
          <cell r="AN63">
            <v>2.3035724413978498</v>
          </cell>
          <cell r="AO63">
            <v>3.3949313723655949</v>
          </cell>
          <cell r="AP63">
            <v>2.8394684708577866</v>
          </cell>
          <cell r="AR63">
            <v>-19.02904320910611</v>
          </cell>
          <cell r="AS63">
            <v>-10.042842073483026</v>
          </cell>
          <cell r="AT63">
            <v>-14.376987221609362</v>
          </cell>
          <cell r="AV63">
            <v>30.989382397269694</v>
          </cell>
          <cell r="AW63">
            <v>28.484543168220956</v>
          </cell>
          <cell r="AX63">
            <v>29.398098123133366</v>
          </cell>
          <cell r="AZ63">
            <v>11.8092552385739</v>
          </cell>
          <cell r="BA63">
            <v>10.145946896430447</v>
          </cell>
          <cell r="BB63">
            <v>10.967311637126343</v>
          </cell>
          <cell r="BD63">
            <v>6.0994315966783397</v>
          </cell>
          <cell r="BE63">
            <v>-1.0360620384690766</v>
          </cell>
          <cell r="BF63">
            <v>2.4380862502993539</v>
          </cell>
          <cell r="BH63">
            <v>4.1515115235667865</v>
          </cell>
          <cell r="BI63">
            <v>7.194056452688935</v>
          </cell>
          <cell r="BJ63">
            <v>5.6299554199708224</v>
          </cell>
          <cell r="BL63">
            <v>3.7146793985390447</v>
          </cell>
          <cell r="BM63">
            <v>-0.1583848833263013</v>
          </cell>
          <cell r="BN63">
            <v>1.7658512352952238</v>
          </cell>
          <cell r="BP63">
            <v>3.2095667982626086</v>
          </cell>
          <cell r="BQ63">
            <v>6.6837558811826403</v>
          </cell>
          <cell r="BR63">
            <v>4.924391645625259</v>
          </cell>
          <cell r="BS63">
            <v>0.87387263872579124</v>
          </cell>
          <cell r="BT63" t="str">
            <v>New Impaired Assets (A$m)</v>
          </cell>
          <cell r="BU63">
            <v>1.2297811844472943</v>
          </cell>
          <cell r="BV63">
            <v>1.6429437476438404</v>
          </cell>
          <cell r="BW63">
            <v>1.6429437476438404</v>
          </cell>
          <cell r="BX63" t="str">
            <v>Total Provisions (A$m)</v>
          </cell>
          <cell r="BY63">
            <v>1.8185457955347639</v>
          </cell>
          <cell r="BZ63">
            <v>1.8286529469262673</v>
          </cell>
          <cell r="CA63">
            <v>1.8286529469262673</v>
          </cell>
          <cell r="CC63">
            <v>1.8272689825621309</v>
          </cell>
          <cell r="CD63">
            <v>1.6698310962828014</v>
          </cell>
          <cell r="CE63">
            <v>1.6698310962828014</v>
          </cell>
          <cell r="CG63">
            <v>1.588932848417723</v>
          </cell>
          <cell r="CH63">
            <v>1.5297064885510272</v>
          </cell>
          <cell r="CI63">
            <v>1.5323407656865005</v>
          </cell>
          <cell r="CK63">
            <v>1.546823617597735</v>
          </cell>
          <cell r="CL63">
            <v>1.5529942518355135</v>
          </cell>
          <cell r="CM63">
            <v>3929</v>
          </cell>
          <cell r="CN63">
            <v>0</v>
          </cell>
          <cell r="CO63">
            <v>2206.7766872438074</v>
          </cell>
          <cell r="CP63">
            <v>2115.669093734959</v>
          </cell>
          <cell r="CQ63">
            <v>4322.4457809787664</v>
          </cell>
        </row>
        <row r="64">
          <cell r="C64" t="str">
            <v>Dividend per Share</v>
          </cell>
          <cell r="AL64">
            <v>14.285714285714279</v>
          </cell>
          <cell r="AN64">
            <v>5.6074766355140193</v>
          </cell>
          <cell r="AO64">
            <v>2.6845637583892579</v>
          </cell>
          <cell r="AP64">
            <v>3.90625</v>
          </cell>
          <cell r="AR64">
            <v>0</v>
          </cell>
          <cell r="AS64">
            <v>-24.836601307189543</v>
          </cell>
          <cell r="AT64">
            <v>-14.28571428571429</v>
          </cell>
          <cell r="AV64">
            <v>6.1946902654867353</v>
          </cell>
          <cell r="AW64">
            <v>47.826086956521728</v>
          </cell>
          <cell r="AX64">
            <v>27.192982456140346</v>
          </cell>
          <cell r="AZ64">
            <v>10.000000000000009</v>
          </cell>
          <cell r="BA64">
            <v>10.588235294117654</v>
          </cell>
          <cell r="BB64">
            <v>10.344827586206895</v>
          </cell>
          <cell r="BD64">
            <v>3.7878787878787845</v>
          </cell>
          <cell r="BE64">
            <v>4.7872340425531901</v>
          </cell>
          <cell r="BF64">
            <v>4.3749999999999956</v>
          </cell>
          <cell r="BH64">
            <v>18.978102189781019</v>
          </cell>
          <cell r="BI64">
            <v>-1.5228426395939132</v>
          </cell>
          <cell r="BJ64">
            <v>6.8862275449101729</v>
          </cell>
          <cell r="BL64">
            <v>3.0674846625766916</v>
          </cell>
          <cell r="BM64">
            <v>1.5463917525773141</v>
          </cell>
          <cell r="BN64">
            <v>2.2408963585434094</v>
          </cell>
          <cell r="BP64">
            <v>4.7619047619047672</v>
          </cell>
          <cell r="BQ64">
            <v>4.5685279187817285</v>
          </cell>
          <cell r="BR64">
            <v>4.6575342465753344</v>
          </cell>
          <cell r="BS64">
            <v>0.49936496659383645</v>
          </cell>
          <cell r="BT64" t="str">
            <v>Total Provisions (A$m)</v>
          </cell>
          <cell r="BU64">
            <v>1380</v>
          </cell>
          <cell r="BV64">
            <v>1745</v>
          </cell>
          <cell r="BW64">
            <v>1745</v>
          </cell>
          <cell r="BX64">
            <v>0</v>
          </cell>
          <cell r="BY64">
            <v>3608</v>
          </cell>
          <cell r="BZ64">
            <v>4954</v>
          </cell>
          <cell r="CA64">
            <v>4954</v>
          </cell>
          <cell r="CB64">
            <v>0</v>
          </cell>
          <cell r="CC64">
            <v>5274</v>
          </cell>
          <cell r="CD64">
            <v>5453</v>
          </cell>
          <cell r="CE64">
            <v>5453</v>
          </cell>
          <cell r="CF64">
            <v>0</v>
          </cell>
          <cell r="CG64">
            <v>5496</v>
          </cell>
          <cell r="CH64">
            <v>5168</v>
          </cell>
          <cell r="CI64">
            <v>5168</v>
          </cell>
          <cell r="CJ64">
            <v>0</v>
          </cell>
          <cell r="CK64">
            <v>5081</v>
          </cell>
          <cell r="CL64">
            <v>4845</v>
          </cell>
          <cell r="CM64">
            <v>4845</v>
          </cell>
          <cell r="CN64">
            <v>0</v>
          </cell>
          <cell r="CO64">
            <v>4903.0916767415874</v>
          </cell>
          <cell r="CP64">
            <v>4906.6826515517951</v>
          </cell>
          <cell r="CQ64">
            <v>4906.6826515517951</v>
          </cell>
        </row>
        <row r="65">
          <cell r="C65" t="str">
            <v>Profit &amp; Loss Account (%)</v>
          </cell>
          <cell r="AL65">
            <v>14.820492026447262</v>
          </cell>
          <cell r="AN65">
            <v>3.0497641496360917</v>
          </cell>
          <cell r="AO65">
            <v>0.36632235821723036</v>
          </cell>
          <cell r="AP65">
            <v>-3.594558085960875E-2</v>
          </cell>
          <cell r="AR65">
            <v>-23.225036354249063</v>
          </cell>
          <cell r="AS65">
            <v>-11.195042513928454</v>
          </cell>
          <cell r="AT65">
            <v>-14.770998902247111</v>
          </cell>
          <cell r="AV65">
            <v>35.515955862611314</v>
          </cell>
          <cell r="AW65">
            <v>29.432046321579609</v>
          </cell>
          <cell r="AX65">
            <v>29.909689259576243</v>
          </cell>
          <cell r="AZ65">
            <v>11.11624906312343</v>
          </cell>
          <cell r="BA65">
            <v>10.12161759916772</v>
          </cell>
          <cell r="BB65">
            <v>10.730638456604758</v>
          </cell>
          <cell r="BD65">
            <v>6.4210024571531354</v>
          </cell>
          <cell r="BE65">
            <v>-1.6460427642816411</v>
          </cell>
          <cell r="BF65">
            <v>2.3176602056464768</v>
          </cell>
          <cell r="BH65">
            <v>4.0604036499370721</v>
          </cell>
          <cell r="BI65">
            <v>9.5768864572975723</v>
          </cell>
          <cell r="BJ65">
            <v>6.7820631683282784</v>
          </cell>
          <cell r="BL65">
            <v>5.6747362854315364</v>
          </cell>
          <cell r="BM65">
            <v>2.4731807673480821</v>
          </cell>
          <cell r="BN65">
            <v>4.0612900810603092</v>
          </cell>
          <cell r="BP65" t="str">
            <v>Net Charge-offs / Avg Loans &amp; Acceptances (%)</v>
          </cell>
          <cell r="BQ65">
            <v>0.13699953954511604</v>
          </cell>
          <cell r="BR65">
            <v>0.13976780939298361</v>
          </cell>
          <cell r="BS65">
            <v>0.13842763543995149</v>
          </cell>
          <cell r="BT65" t="str">
            <v>Total Provisions / Gross Loans &amp; Acceptances (%)</v>
          </cell>
          <cell r="BU65">
            <v>0.37672700668553943</v>
          </cell>
          <cell r="BV65">
            <v>0.4550171837435007</v>
          </cell>
          <cell r="BW65">
            <v>0.4550171837435007</v>
          </cell>
          <cell r="BX65" t="str">
            <v>Individual Provision (A$m)</v>
          </cell>
          <cell r="BY65">
            <v>0.77280944506798499</v>
          </cell>
          <cell r="BZ65">
            <v>1.0141248720573184</v>
          </cell>
          <cell r="CA65">
            <v>1.0141248720573184</v>
          </cell>
          <cell r="CC65">
            <v>1.0534431652032181</v>
          </cell>
          <cell r="CD65">
            <v>1.0632987415129145</v>
          </cell>
          <cell r="CE65">
            <v>1.0632987415129145</v>
          </cell>
          <cell r="CG65">
            <v>1.0781142416615828</v>
          </cell>
          <cell r="CH65">
            <v>0.99753896636587369</v>
          </cell>
          <cell r="CI65">
            <v>0.99753896636587369</v>
          </cell>
          <cell r="CK65">
            <v>0.95705586184942903</v>
          </cell>
          <cell r="CL65">
            <v>0.89375148727995168</v>
          </cell>
          <cell r="CM65">
            <v>0.89375148727995168</v>
          </cell>
          <cell r="CO65">
            <v>0.88873363672613215</v>
          </cell>
          <cell r="CP65">
            <v>0.86970405711396681</v>
          </cell>
          <cell r="CQ65">
            <v>0.86970405711396681</v>
          </cell>
        </row>
        <row r="66">
          <cell r="C66" t="str">
            <v>Net Interest Income</v>
          </cell>
          <cell r="AL66">
            <v>8.0135093644458024</v>
          </cell>
          <cell r="AN66">
            <v>11.87948350071737</v>
          </cell>
          <cell r="AO66">
            <v>12.869614193185019</v>
          </cell>
          <cell r="AP66">
            <v>12.379192723138143</v>
          </cell>
          <cell r="AR66">
            <v>16.517055655296218</v>
          </cell>
          <cell r="AS66">
            <v>40.793413173652702</v>
          </cell>
          <cell r="AT66">
            <v>28.822562286581508</v>
          </cell>
          <cell r="AV66">
            <v>33.436055469953786</v>
          </cell>
          <cell r="AW66">
            <v>2.8885344674818292</v>
          </cell>
          <cell r="AX66">
            <v>16.512860789318662</v>
          </cell>
          <cell r="AZ66">
            <v>1.897063675354671</v>
          </cell>
          <cell r="BA66">
            <v>11.401997933172581</v>
          </cell>
          <cell r="BB66">
            <v>6.5470171890798845</v>
          </cell>
          <cell r="BD66">
            <v>7.5603043548648108</v>
          </cell>
          <cell r="BE66">
            <v>0.6957328385899908</v>
          </cell>
          <cell r="BF66">
            <v>4.0490312376433302</v>
          </cell>
          <cell r="BH66">
            <v>1.5282922736128413</v>
          </cell>
          <cell r="BI66">
            <v>5.7904257688367267</v>
          </cell>
          <cell r="BJ66">
            <v>3.6381406778382308</v>
          </cell>
          <cell r="BL66">
            <v>5.2908095747224548</v>
          </cell>
          <cell r="BM66">
            <v>2.7781330760726641</v>
          </cell>
          <cell r="BN66">
            <v>4.0211492947100469</v>
          </cell>
          <cell r="BP66">
            <v>3.2731887030572171</v>
          </cell>
          <cell r="BQ66">
            <v>2.9664753539456523</v>
          </cell>
          <cell r="BR66">
            <v>3.1200578469233076</v>
          </cell>
          <cell r="BS66">
            <v>0.25593976333828011</v>
          </cell>
          <cell r="BT66" t="str">
            <v>Individual Provision (A$m)</v>
          </cell>
          <cell r="BU66">
            <v>189</v>
          </cell>
          <cell r="BV66">
            <v>279</v>
          </cell>
          <cell r="BW66">
            <v>279</v>
          </cell>
          <cell r="BX66" t="str">
            <v>Individual Provision Cover (%)</v>
          </cell>
          <cell r="BY66">
            <v>1134</v>
          </cell>
          <cell r="BZ66">
            <v>1729</v>
          </cell>
          <cell r="CA66">
            <v>1729</v>
          </cell>
          <cell r="CC66">
            <v>1822</v>
          </cell>
          <cell r="CD66">
            <v>1992</v>
          </cell>
          <cell r="CE66">
            <v>1992</v>
          </cell>
          <cell r="CG66">
            <v>2169</v>
          </cell>
          <cell r="CH66">
            <v>2125</v>
          </cell>
          <cell r="CI66">
            <v>2125</v>
          </cell>
          <cell r="CK66">
            <v>2097</v>
          </cell>
          <cell r="CL66">
            <v>2008</v>
          </cell>
          <cell r="CM66">
            <v>2008</v>
          </cell>
          <cell r="CO66">
            <v>2097.8646951999481</v>
          </cell>
          <cell r="CP66">
            <v>2036.5284267294378</v>
          </cell>
          <cell r="CQ66">
            <v>2036.5284267294383</v>
          </cell>
        </row>
        <row r="67">
          <cell r="C67" t="str">
            <v>Banking Non Interest Income</v>
          </cell>
          <cell r="AL67">
            <v>9.3873517786561287</v>
          </cell>
          <cell r="AN67">
            <v>-9.9883177570093462</v>
          </cell>
          <cell r="AO67">
            <v>10.068365444375393</v>
          </cell>
          <cell r="AP67">
            <v>-0.27100271002710175</v>
          </cell>
          <cell r="AR67">
            <v>32.121998702141475</v>
          </cell>
          <cell r="AS67">
            <v>20.835686053077353</v>
          </cell>
          <cell r="AT67">
            <v>26.086956521739136</v>
          </cell>
          <cell r="AV67">
            <v>2.0628683693516781</v>
          </cell>
          <cell r="AW67">
            <v>-4.9532710280373866</v>
          </cell>
          <cell r="AX67">
            <v>-1.5325670498084309</v>
          </cell>
          <cell r="AZ67">
            <v>-1.2512030798844997</v>
          </cell>
          <cell r="BA67">
            <v>-4.4247787610619422</v>
          </cell>
          <cell r="BB67">
            <v>-2.8210116731517521</v>
          </cell>
          <cell r="BD67">
            <v>-6.0916179337231924</v>
          </cell>
          <cell r="BE67">
            <v>2.8806584362139898</v>
          </cell>
          <cell r="BF67">
            <v>-1.7267267267267239</v>
          </cell>
          <cell r="BH67">
            <v>9.9739813779177631</v>
          </cell>
          <cell r="BI67">
            <v>7.2923559462674703</v>
          </cell>
          <cell r="BJ67">
            <v>8.6082439541081079</v>
          </cell>
          <cell r="BL67">
            <v>2.9821523108444659</v>
          </cell>
          <cell r="BM67">
            <v>3.4311232377636225</v>
          </cell>
          <cell r="BN67">
            <v>3.2080403853749662</v>
          </cell>
          <cell r="BP67">
            <v>3.7551727480624741</v>
          </cell>
          <cell r="BQ67">
            <v>4.0967925999142452</v>
          </cell>
          <cell r="BR67">
            <v>3.9274214243937511</v>
          </cell>
          <cell r="BS67">
            <v>0.24250199477447312</v>
          </cell>
          <cell r="BT67" t="str">
            <v>Individual Provision Cover (%)</v>
          </cell>
          <cell r="BU67">
            <v>33.629893238434164</v>
          </cell>
          <cell r="BV67">
            <v>40.849194729136165</v>
          </cell>
          <cell r="BW67">
            <v>40.849194729136165</v>
          </cell>
          <cell r="BX67" t="str">
            <v>Collective Provision (A$m)</v>
          </cell>
          <cell r="BY67">
            <v>41.783345615327924</v>
          </cell>
          <cell r="BZ67">
            <v>41.068883610451309</v>
          </cell>
          <cell r="CA67">
            <v>41.068883610451309</v>
          </cell>
          <cell r="CC67">
            <v>37.777317022600045</v>
          </cell>
          <cell r="CD67">
            <v>38.190184049079754</v>
          </cell>
          <cell r="CE67">
            <v>38.190184049079754</v>
          </cell>
          <cell r="CG67">
            <v>41.840277777777779</v>
          </cell>
          <cell r="CH67">
            <v>40.117047385312446</v>
          </cell>
          <cell r="CI67">
            <v>40.117047385312446</v>
          </cell>
          <cell r="CK67">
            <v>44.693094629156008</v>
          </cell>
          <cell r="CL67">
            <v>44.632140475661259</v>
          </cell>
          <cell r="CM67">
            <v>44.632140475661259</v>
          </cell>
          <cell r="CO67">
            <v>43.467919854506917</v>
          </cell>
          <cell r="CP67">
            <v>41.3000779940188</v>
          </cell>
          <cell r="CQ67">
            <v>41.3000779940188</v>
          </cell>
        </row>
        <row r="68">
          <cell r="C68" t="str">
            <v>Wealth Management Income</v>
          </cell>
          <cell r="AL68">
            <v>12.208613196365082</v>
          </cell>
          <cell r="AN68">
            <v>15.882352941176482</v>
          </cell>
          <cell r="AO68">
            <v>4.4594594594594694</v>
          </cell>
          <cell r="AP68">
            <v>9.9295774647887303</v>
          </cell>
          <cell r="AR68">
            <v>-20.431472081218271</v>
          </cell>
          <cell r="AS68">
            <v>-22.2509702457956</v>
          </cell>
          <cell r="AT68">
            <v>-21.332479180012808</v>
          </cell>
          <cell r="AV68">
            <v>23.763955342902719</v>
          </cell>
          <cell r="AW68">
            <v>27.038269550748751</v>
          </cell>
          <cell r="AX68">
            <v>25.366449511400656</v>
          </cell>
          <cell r="AZ68">
            <v>-2.7061855670103108</v>
          </cell>
          <cell r="BA68">
            <v>-1.2442698100851302</v>
          </cell>
          <cell r="BB68">
            <v>-1.9811627151672617</v>
          </cell>
          <cell r="BD68">
            <v>1.5894039735099286</v>
          </cell>
          <cell r="BE68">
            <v>1.5915119363395291</v>
          </cell>
          <cell r="BF68">
            <v>1.5904572564612307</v>
          </cell>
          <cell r="BH68">
            <v>8.3484619706489127</v>
          </cell>
          <cell r="BI68">
            <v>11.635441186988626</v>
          </cell>
          <cell r="BJ68">
            <v>9.9908795047103816</v>
          </cell>
          <cell r="BL68">
            <v>11.105922953210134</v>
          </cell>
          <cell r="BM68">
            <v>9.1119698935260729</v>
          </cell>
          <cell r="BN68">
            <v>10.094699896504466</v>
          </cell>
          <cell r="BP68">
            <v>7.4743965581308691</v>
          </cell>
          <cell r="BQ68">
            <v>7.3302528057511918</v>
          </cell>
          <cell r="BR68">
            <v>7.4019473169391947</v>
          </cell>
          <cell r="BS68">
            <v>0.58381880273202091</v>
          </cell>
          <cell r="BT68" t="str">
            <v>Collective Provision (A$m)</v>
          </cell>
          <cell r="BU68">
            <v>1191</v>
          </cell>
          <cell r="BV68">
            <v>1466</v>
          </cell>
          <cell r="BW68">
            <v>1466</v>
          </cell>
          <cell r="BX68" t="str">
            <v>Collective Provision / Performing Loans (%)</v>
          </cell>
          <cell r="BY68">
            <v>2474</v>
          </cell>
          <cell r="BZ68">
            <v>3225</v>
          </cell>
          <cell r="CA68">
            <v>3225</v>
          </cell>
          <cell r="CC68">
            <v>3452</v>
          </cell>
          <cell r="CD68">
            <v>3461</v>
          </cell>
          <cell r="CE68">
            <v>3461</v>
          </cell>
          <cell r="CG68">
            <v>3327</v>
          </cell>
          <cell r="CH68">
            <v>3043</v>
          </cell>
          <cell r="CI68">
            <v>3043</v>
          </cell>
          <cell r="CK68">
            <v>2984</v>
          </cell>
          <cell r="CL68">
            <v>2837</v>
          </cell>
          <cell r="CM68">
            <v>2837</v>
          </cell>
          <cell r="CO68">
            <v>2805.2269815416394</v>
          </cell>
          <cell r="CP68">
            <v>2870.1542248223568</v>
          </cell>
          <cell r="CQ68">
            <v>2870.1542248223568</v>
          </cell>
        </row>
        <row r="69">
          <cell r="C69" t="str">
            <v>Total Non Interest Income</v>
          </cell>
          <cell r="AL69">
            <v>10.670019759295846</v>
          </cell>
          <cell r="AN69">
            <v>1.46484375</v>
          </cell>
          <cell r="AO69">
            <v>7.3810294593719572</v>
          </cell>
          <cell r="AP69">
            <v>4.4310988475896762</v>
          </cell>
          <cell r="AR69">
            <v>5.5502085338466456</v>
          </cell>
          <cell r="AS69">
            <v>0.75369309617123736</v>
          </cell>
          <cell r="AT69">
            <v>3.077401305564198</v>
          </cell>
          <cell r="AV69">
            <v>10.334346504559267</v>
          </cell>
          <cell r="AW69">
            <v>6.5529622980251334</v>
          </cell>
          <cell r="AX69">
            <v>8.4288299155609092</v>
          </cell>
          <cell r="AZ69">
            <v>-1.8732782369145995</v>
          </cell>
          <cell r="BA69">
            <v>-3.0609379387812385</v>
          </cell>
          <cell r="BB69">
            <v>-2.4614100959532759</v>
          </cell>
          <cell r="BD69">
            <v>-2.835485682201011</v>
          </cell>
          <cell r="BE69">
            <v>2.3174971031286296</v>
          </cell>
          <cell r="BF69">
            <v>-0.29940119760478723</v>
          </cell>
          <cell r="BH69">
            <v>9.2535113488075638</v>
          </cell>
          <cell r="BI69">
            <v>9.1761630212348742</v>
          </cell>
          <cell r="BJ69">
            <v>9.2144445258436356</v>
          </cell>
          <cell r="BL69">
            <v>6.5529789066242961</v>
          </cell>
          <cell r="BM69">
            <v>5.9506872866269322</v>
          </cell>
          <cell r="BN69">
            <v>6.2488821885622103</v>
          </cell>
          <cell r="BP69">
            <v>5.4598220160857247</v>
          </cell>
          <cell r="BQ69">
            <v>5.5736837060337052</v>
          </cell>
          <cell r="BR69">
            <v>5.5171493766133173</v>
          </cell>
          <cell r="BS69">
            <v>0.55436668077420581</v>
          </cell>
          <cell r="BT69" t="str">
            <v>Collective Provision / Performing Loans (%)</v>
          </cell>
          <cell r="BU69">
            <v>0.32563137216302895</v>
          </cell>
          <cell r="BV69">
            <v>0.38294859972989848</v>
          </cell>
          <cell r="BW69">
            <v>0.38294859972989848</v>
          </cell>
          <cell r="BX69" t="str">
            <v>Collective Provision / Credit RWA (%)</v>
          </cell>
          <cell r="BY69">
            <v>0.53301275007863769</v>
          </cell>
          <cell r="BZ69">
            <v>0.6659233104131822</v>
          </cell>
          <cell r="CA69">
            <v>0.6659233104131822</v>
          </cell>
          <cell r="CC69">
            <v>0.6962189983885313</v>
          </cell>
          <cell r="CD69">
            <v>0.6818065410876597</v>
          </cell>
          <cell r="CE69">
            <v>0.6818065410876597</v>
          </cell>
          <cell r="CG69">
            <v>0.65934065934065933</v>
          </cell>
          <cell r="CH69">
            <v>0.59343419569482303</v>
          </cell>
          <cell r="CI69">
            <v>0.59343419569482303</v>
          </cell>
          <cell r="CK69">
            <v>0.5670772148603116</v>
          </cell>
          <cell r="CL69">
            <v>0.52771773704515268</v>
          </cell>
          <cell r="CM69">
            <v>0.52771773704515268</v>
          </cell>
          <cell r="CO69">
            <v>0.51296241768262818</v>
          </cell>
          <cell r="CP69">
            <v>0.51321729251024861</v>
          </cell>
          <cell r="CQ69">
            <v>0.51321729251024861</v>
          </cell>
        </row>
        <row r="70">
          <cell r="C70" t="str">
            <v>Total Income</v>
          </cell>
          <cell r="AL70">
            <v>9.2376458902408753</v>
          </cell>
          <cell r="AN70">
            <v>7.000152508769264</v>
          </cell>
          <cell r="AO70">
            <v>10.316265060240969</v>
          </cell>
          <cell r="AP70">
            <v>8.6686368113965351</v>
          </cell>
          <cell r="AR70">
            <v>11.644811858608882</v>
          </cell>
          <cell r="AS70">
            <v>22.662116040955627</v>
          </cell>
          <cell r="AT70">
            <v>17.272156753364488</v>
          </cell>
          <cell r="AV70">
            <v>23.732924805310862</v>
          </cell>
          <cell r="AW70">
            <v>4.2515303283249928</v>
          </cell>
          <cell r="AX70">
            <v>13.325008919015335</v>
          </cell>
          <cell r="AZ70">
            <v>0.48493602971522165</v>
          </cell>
          <cell r="BA70">
            <v>5.9037044945019712</v>
          </cell>
          <cell r="BB70">
            <v>3.1481189988981528</v>
          </cell>
          <cell r="BD70">
            <v>3.7580860457952614</v>
          </cell>
          <cell r="BE70">
            <v>1.2600806451612989</v>
          </cell>
          <cell r="BF70">
            <v>2.4975838038557407</v>
          </cell>
          <cell r="BH70">
            <v>4.1742084754187614</v>
          </cell>
          <cell r="BI70">
            <v>6.9809109829203519</v>
          </cell>
          <cell r="BJ70">
            <v>5.573381015758927</v>
          </cell>
          <cell r="BL70">
            <v>5.7441851289343981</v>
          </cell>
          <cell r="BM70">
            <v>3.9165499932784398</v>
          </cell>
          <cell r="BN70">
            <v>4.8209416457575704</v>
          </cell>
          <cell r="BP70">
            <v>4.0646424457221331</v>
          </cell>
          <cell r="BQ70">
            <v>3.9203407331387607</v>
          </cell>
          <cell r="BR70">
            <v>3.9923762986523892</v>
          </cell>
          <cell r="BS70">
            <v>0.37346922794272669</v>
          </cell>
          <cell r="BT70" t="str">
            <v>Collective Provision / Credit RWA (%)</v>
          </cell>
          <cell r="BU70">
            <v>1.4451763753681512</v>
          </cell>
          <cell r="BV70">
            <v>1.0914082840236685</v>
          </cell>
          <cell r="BW70">
            <v>1.253141333004425</v>
          </cell>
          <cell r="BX70" t="str">
            <v>Collective Provision / RWA (%)</v>
          </cell>
          <cell r="BY70">
            <v>0.94356840103362694</v>
          </cell>
          <cell r="BZ70">
            <v>0.47053223859792276</v>
          </cell>
          <cell r="CA70">
            <v>0.70665060384571177</v>
          </cell>
          <cell r="CC70">
            <v>0.50105485232067515</v>
          </cell>
          <cell r="CD70">
            <v>0.39346065569724686</v>
          </cell>
          <cell r="CE70">
            <v>0.44768628383660153</v>
          </cell>
          <cell r="CF70">
            <v>0</v>
          </cell>
          <cell r="CG70">
            <v>0.37624090463501181</v>
          </cell>
          <cell r="CH70">
            <v>0.35078399973393376</v>
          </cell>
          <cell r="CI70">
            <v>0.36322087523374841</v>
          </cell>
          <cell r="CJ70">
            <v>0</v>
          </cell>
          <cell r="CK70">
            <v>0.38682121542871506</v>
          </cell>
          <cell r="CL70">
            <v>0.41729491310098343</v>
          </cell>
          <cell r="CM70">
            <v>1.0851894778314572</v>
          </cell>
          <cell r="CN70" t="e">
            <v>#DIV/0!</v>
          </cell>
          <cell r="CO70">
            <v>1.0543695463989322</v>
          </cell>
          <cell r="CP70">
            <v>1.0549017234252105</v>
          </cell>
          <cell r="CQ70">
            <v>1.0549017234252105</v>
          </cell>
        </row>
        <row r="71">
          <cell r="C71" t="str">
            <v>Operating Expenses</v>
          </cell>
          <cell r="AL71">
            <v>7.2238905572238998</v>
          </cell>
          <cell r="AN71">
            <v>7.4427480916030575</v>
          </cell>
          <cell r="AO71">
            <v>10.965580261955532</v>
          </cell>
          <cell r="AP71">
            <v>9.2422592189201893</v>
          </cell>
          <cell r="AR71">
            <v>5.1213735938425042</v>
          </cell>
          <cell r="AS71">
            <v>15.673895141367012</v>
          </cell>
          <cell r="AT71">
            <v>10.596781085315477</v>
          </cell>
          <cell r="AV71">
            <v>20.191495353421573</v>
          </cell>
          <cell r="AW71">
            <v>2.8239202657807327</v>
          </cell>
          <cell r="AX71">
            <v>10.766258853831289</v>
          </cell>
          <cell r="AZ71">
            <v>3.2802249297094743</v>
          </cell>
          <cell r="BA71">
            <v>3.4618047542118724</v>
          </cell>
          <cell r="BB71">
            <v>3.3717009650040763</v>
          </cell>
          <cell r="BD71">
            <v>4.4010889292195987</v>
          </cell>
          <cell r="BE71">
            <v>2.4760205219718889</v>
          </cell>
          <cell r="BF71">
            <v>3.4304352716229891</v>
          </cell>
          <cell r="BH71">
            <v>1.097285437312312</v>
          </cell>
          <cell r="BI71">
            <v>3.2358600176093821</v>
          </cell>
          <cell r="BJ71">
            <v>2.1656425079826791</v>
          </cell>
          <cell r="BL71">
            <v>3.5011433430905514</v>
          </cell>
          <cell r="BM71">
            <v>3.2291328628503368</v>
          </cell>
          <cell r="BN71">
            <v>3.3638329612178053</v>
          </cell>
          <cell r="BP71">
            <v>2.5822442456275629</v>
          </cell>
          <cell r="BQ71">
            <v>1.7639486324889653</v>
          </cell>
          <cell r="BR71">
            <v>2.1697084535857281</v>
          </cell>
          <cell r="BT71" t="str">
            <v>Collective Provision / RWA (%)</v>
          </cell>
          <cell r="BU71">
            <v>0.30582262507840902</v>
          </cell>
          <cell r="BV71">
            <v>0.49936496659383645</v>
          </cell>
          <cell r="BW71">
            <v>0.49936496659383645</v>
          </cell>
          <cell r="BX71" t="str">
            <v>Impairment Charges / Avg Loans &amp; Acceptances (%)</v>
          </cell>
          <cell r="BY71">
            <v>1.0338962509768523</v>
          </cell>
          <cell r="BZ71">
            <v>1.1165505684886925</v>
          </cell>
          <cell r="CA71">
            <v>1.1165505684886925</v>
          </cell>
          <cell r="CB71">
            <v>0</v>
          </cell>
          <cell r="CC71">
            <v>1.1605350833252088</v>
          </cell>
          <cell r="CD71">
            <v>1.1900791208337775</v>
          </cell>
          <cell r="CE71">
            <v>1.1900791208337775</v>
          </cell>
          <cell r="CF71">
            <v>0</v>
          </cell>
          <cell r="CG71">
            <v>1.1650669029250988</v>
          </cell>
          <cell r="CH71">
            <v>1.0801850122998393</v>
          </cell>
          <cell r="CI71">
            <v>1.0801850122998393</v>
          </cell>
          <cell r="CJ71">
            <v>0</v>
          </cell>
          <cell r="CK71">
            <v>1.0023345257889522</v>
          </cell>
          <cell r="CL71">
            <v>0.93696228702024853</v>
          </cell>
          <cell r="CM71">
            <v>0.93696228702024853</v>
          </cell>
          <cell r="CN71">
            <v>0</v>
          </cell>
          <cell r="CO71">
            <v>0.91</v>
          </cell>
          <cell r="CP71">
            <v>0.91</v>
          </cell>
          <cell r="CQ71">
            <v>0.91</v>
          </cell>
        </row>
        <row r="72">
          <cell r="C72" t="str">
            <v>Pre-Provision Profit</v>
          </cell>
          <cell r="AL72">
            <v>11.22063413832759</v>
          </cell>
          <cell r="AN72">
            <v>6.5924406680339942</v>
          </cell>
          <cell r="AO72">
            <v>9.681263032469456</v>
          </cell>
          <cell r="AP72">
            <v>8.124076809453463</v>
          </cell>
          <cell r="AR72">
            <v>17.702034084661911</v>
          </cell>
          <cell r="AS72">
            <v>29.576317218902769</v>
          </cell>
          <cell r="AT72">
            <v>23.674863387978149</v>
          </cell>
          <cell r="AV72">
            <v>26.669780476412885</v>
          </cell>
          <cell r="AW72">
            <v>5.512471180046119</v>
          </cell>
          <cell r="AX72">
            <v>15.519717220810779</v>
          </cell>
          <cell r="AZ72">
            <v>-1.7146017699115057</v>
          </cell>
          <cell r="BA72">
            <v>8.0055621771950811</v>
          </cell>
          <cell r="BB72">
            <v>2.9642379039969358</v>
          </cell>
          <cell r="BD72">
            <v>3.2264115550553418</v>
          </cell>
          <cell r="BE72">
            <v>0.25749494206364076</v>
          </cell>
          <cell r="BF72">
            <v>1.7273402674591321</v>
          </cell>
          <cell r="BH72">
            <v>6.7473503655452127</v>
          </cell>
          <cell r="BI72">
            <v>10.137169308849291</v>
          </cell>
          <cell r="BJ72">
            <v>8.4342138911934974</v>
          </cell>
          <cell r="BL72">
            <v>7.5206918554665325</v>
          </cell>
          <cell r="BM72">
            <v>4.4595900039642311</v>
          </cell>
          <cell r="BN72">
            <v>5.9734835059883862</v>
          </cell>
          <cell r="BP72">
            <v>5.1948220567201719</v>
          </cell>
          <cell r="BQ72">
            <v>5.6037634101875788</v>
          </cell>
          <cell r="BR72">
            <v>5.3985652726371569</v>
          </cell>
          <cell r="BT72" t="str">
            <v>Impairment Charges / Avg Loans &amp; Acceptances (%)</v>
          </cell>
          <cell r="BU72">
            <v>0.18929811895652965</v>
          </cell>
          <cell r="BV72">
            <v>0.31847855804431763</v>
          </cell>
          <cell r="BW72">
            <v>0.25593976333828011</v>
          </cell>
          <cell r="BX72" t="str">
            <v>Impairment Charges / Total Loans &amp; Acceptances (%)</v>
          </cell>
          <cell r="BY72">
            <v>0.75590625257240962</v>
          </cell>
          <cell r="BZ72">
            <v>0.60332772292980297</v>
          </cell>
          <cell r="CA72">
            <v>0.67518100632539169</v>
          </cell>
          <cell r="CC72">
            <v>0.55927145087065178</v>
          </cell>
          <cell r="CD72">
            <v>0.27311782547692015</v>
          </cell>
          <cell r="CE72">
            <v>0.41445581950898469</v>
          </cell>
          <cell r="CG72">
            <v>0.28241267258416397</v>
          </cell>
          <cell r="CH72">
            <v>0.21715146314554404</v>
          </cell>
          <cell r="CI72">
            <v>0.2496987277557205</v>
          </cell>
          <cell r="CK72">
            <v>0.20782211951869159</v>
          </cell>
          <cell r="CL72">
            <v>0.20279665534633867</v>
          </cell>
          <cell r="CM72">
            <v>0.20528094176637748</v>
          </cell>
          <cell r="CO72">
            <v>0.22241966928096854</v>
          </cell>
          <cell r="CP72">
            <v>0.23822140331622796</v>
          </cell>
          <cell r="CQ72">
            <v>0.23039949057432596</v>
          </cell>
        </row>
        <row r="73">
          <cell r="C73" t="str">
            <v>Impairment Charges</v>
          </cell>
          <cell r="AL73">
            <v>9.045226130653262</v>
          </cell>
          <cell r="AN73">
            <v>70.769230769230759</v>
          </cell>
          <cell r="AO73">
            <v>149.79079497907949</v>
          </cell>
          <cell r="AP73">
            <v>114.28571428571428</v>
          </cell>
          <cell r="AR73">
            <v>382.58258258258257</v>
          </cell>
          <cell r="AS73">
            <v>141.37353433835847</v>
          </cell>
          <cell r="AT73">
            <v>227.74193548387098</v>
          </cell>
          <cell r="AV73">
            <v>-13.939016801493464</v>
          </cell>
          <cell r="AW73">
            <v>-51.977793199167245</v>
          </cell>
          <cell r="AX73">
            <v>-31.922572178477694</v>
          </cell>
          <cell r="AZ73">
            <v>-47.79464931308749</v>
          </cell>
          <cell r="BA73">
            <v>-19.364161849710982</v>
          </cell>
          <cell r="BB73">
            <v>-38.313253012048186</v>
          </cell>
          <cell r="BD73">
            <v>-24.51523545706371</v>
          </cell>
          <cell r="BE73">
            <v>-2.508960573476704</v>
          </cell>
          <cell r="BF73">
            <v>-14.921874999999996</v>
          </cell>
          <cell r="BH73">
            <v>11.596637934236199</v>
          </cell>
          <cell r="BI73">
            <v>22.162102910603345</v>
          </cell>
          <cell r="BJ73">
            <v>16.874519428399392</v>
          </cell>
          <cell r="BL73">
            <v>26.121323252654349</v>
          </cell>
          <cell r="BM73">
            <v>29.700335198122009</v>
          </cell>
          <cell r="BN73">
            <v>27.990071635438497</v>
          </cell>
          <cell r="BP73">
            <v>20.051503853703601</v>
          </cell>
          <cell r="BQ73">
            <v>9.3328368945668316</v>
          </cell>
          <cell r="BR73">
            <v>14.380064722427388</v>
          </cell>
          <cell r="BT73" t="str">
            <v>Impairment Charges / Total Loans &amp; Acceptances (%)</v>
          </cell>
          <cell r="BU73">
            <v>0.18181172931345599</v>
          </cell>
          <cell r="BV73">
            <v>0.31134127071045264</v>
          </cell>
          <cell r="BW73">
            <v>0.24250199477447312</v>
          </cell>
          <cell r="BX73" t="str">
            <v>Impairment Charges / Avg Non-Housing Loans (%)</v>
          </cell>
          <cell r="BY73">
            <v>0.68841728282940795</v>
          </cell>
          <cell r="BZ73">
            <v>0.58996929375639717</v>
          </cell>
          <cell r="CA73">
            <v>0.62395087001023541</v>
          </cell>
          <cell r="CC73">
            <v>0.55248839494730784</v>
          </cell>
          <cell r="CD73">
            <v>0.26987079740580844</v>
          </cell>
          <cell r="CE73">
            <v>0.40461120275798595</v>
          </cell>
          <cell r="CG73">
            <v>0.28326000090235176</v>
          </cell>
          <cell r="CH73">
            <v>0.21541282632823433</v>
          </cell>
          <cell r="CI73">
            <v>0.24706847464170245</v>
          </cell>
          <cell r="CK73">
            <v>0.2053121215146384</v>
          </cell>
          <cell r="CL73">
            <v>0.2007020883716383</v>
          </cell>
          <cell r="CM73">
            <v>0.20088655720286222</v>
          </cell>
          <cell r="CO73">
            <v>0.2204850831558173</v>
          </cell>
          <cell r="CP73">
            <v>0.23558569785379749</v>
          </cell>
          <cell r="CQ73">
            <v>0.2255959214647951</v>
          </cell>
        </row>
        <row r="74">
          <cell r="C74" t="str">
            <v>Cash Profit</v>
          </cell>
          <cell r="AL74" t="e">
            <v>#REF!</v>
          </cell>
          <cell r="AN74">
            <v>3.8763066202090579</v>
          </cell>
          <cell r="AO74">
            <v>5.2442850739578661</v>
          </cell>
          <cell r="AP74">
            <v>4.5504749282085255</v>
          </cell>
          <cell r="AR74">
            <v>-15.597484276729556</v>
          </cell>
          <cell r="AS74">
            <v>2.2998296422487297</v>
          </cell>
          <cell r="AT74">
            <v>-6.7187830128882293</v>
          </cell>
          <cell r="AV74">
            <v>46.199701937406857</v>
          </cell>
          <cell r="AW74">
            <v>31.473771856786016</v>
          </cell>
          <cell r="AX74">
            <v>38.187995469988678</v>
          </cell>
          <cell r="AZ74">
            <v>13.319741760108727</v>
          </cell>
          <cell r="BA74">
            <v>10.829639012032931</v>
          </cell>
          <cell r="BB74">
            <v>12.030814620553997</v>
          </cell>
          <cell r="BD74">
            <v>7.2263868065967074</v>
          </cell>
          <cell r="BE74">
            <v>1.0571428571428676</v>
          </cell>
          <cell r="BF74">
            <v>4.0673006583760163</v>
          </cell>
          <cell r="BH74">
            <v>6.6149592524223921</v>
          </cell>
          <cell r="BI74">
            <v>9.3021071956713932</v>
          </cell>
          <cell r="BJ74">
            <v>7.9511665173278345</v>
          </cell>
          <cell r="BL74">
            <v>5.4072253821576766</v>
          </cell>
          <cell r="BM74">
            <v>1.3403210336430771</v>
          </cell>
          <cell r="BN74">
            <v>3.3596146166596785</v>
          </cell>
          <cell r="BP74">
            <v>3.1648970782558683</v>
          </cell>
          <cell r="BQ74">
            <v>5.0099600734502925</v>
          </cell>
          <cell r="BR74">
            <v>4.075703405952491</v>
          </cell>
          <cell r="BS74">
            <v>191305</v>
          </cell>
          <cell r="BT74" t="str">
            <v>Impairment Charges / Avg Non-Housing Loans (%)</v>
          </cell>
          <cell r="BU74">
            <v>0.43388046137258668</v>
          </cell>
          <cell r="BV74">
            <v>0.72322653526637937</v>
          </cell>
          <cell r="BW74">
            <v>0.58381880273202091</v>
          </cell>
          <cell r="BX74" t="str">
            <v>Impairment Charges / Non-Housing Loans (%)</v>
          </cell>
          <cell r="BY74">
            <v>1.7423217765827399</v>
          </cell>
          <cell r="BZ74">
            <v>1.4501796371028612</v>
          </cell>
          <cell r="CA74">
            <v>1.5908121205478594</v>
          </cell>
          <cell r="CC74">
            <v>1.4327300603963578</v>
          </cell>
          <cell r="CD74">
            <v>0.73017539509400209</v>
          </cell>
          <cell r="CE74">
            <v>1.0846794902790502</v>
          </cell>
          <cell r="CG74">
            <v>0.7777239187806323</v>
          </cell>
          <cell r="CH74">
            <v>0.61266671973516984</v>
          </cell>
          <cell r="CI74">
            <v>0.69598409023868724</v>
          </cell>
          <cell r="CK74">
            <v>0.5891366445695384</v>
          </cell>
          <cell r="CL74">
            <v>0.57374434099819915</v>
          </cell>
          <cell r="CM74">
            <v>0.58134568982084522</v>
          </cell>
          <cell r="CO74">
            <v>0.63289513491704963</v>
          </cell>
          <cell r="CP74">
            <v>0.68241033579082722</v>
          </cell>
          <cell r="CQ74">
            <v>0.65781730915768222</v>
          </cell>
        </row>
        <row r="75">
          <cell r="C75" t="str">
            <v>Balance Sheet (%)</v>
          </cell>
          <cell r="AL75">
            <v>11.22063413832759</v>
          </cell>
          <cell r="AN75">
            <v>6.5924406680339942</v>
          </cell>
          <cell r="AO75">
            <v>9.681263032469456</v>
          </cell>
          <cell r="AP75">
            <v>8.124076809453463</v>
          </cell>
          <cell r="AR75">
            <v>17.702034084661911</v>
          </cell>
          <cell r="AS75">
            <v>29.576317218902769</v>
          </cell>
          <cell r="AT75">
            <v>23.674863387978149</v>
          </cell>
          <cell r="AV75">
            <v>26.669780476412885</v>
          </cell>
          <cell r="AW75">
            <v>5.512471180046119</v>
          </cell>
          <cell r="AX75">
            <v>15.519717220810779</v>
          </cell>
          <cell r="AZ75">
            <v>-1.7146017699115057</v>
          </cell>
          <cell r="BA75">
            <v>8.0055621771950811</v>
          </cell>
          <cell r="BB75">
            <v>2.9642379039969358</v>
          </cell>
          <cell r="BD75">
            <v>3.2264115550553418</v>
          </cell>
          <cell r="BE75">
            <v>-1.7190562920770258</v>
          </cell>
          <cell r="BF75">
            <v>0.72933608283589635</v>
          </cell>
          <cell r="BH75">
            <v>4.5213154275326684</v>
          </cell>
          <cell r="BI75">
            <v>10.823602267031006</v>
          </cell>
          <cell r="BJ75">
            <v>7.6261309301062674</v>
          </cell>
          <cell r="BL75">
            <v>7.6392489570583866</v>
          </cell>
          <cell r="BM75">
            <v>4.3136321551102919</v>
          </cell>
          <cell r="BN75">
            <v>5.9522128689752707</v>
          </cell>
          <cell r="BP75" t="str">
            <v>Inforce Premiums (A$m)</v>
          </cell>
          <cell r="BQ75">
            <v>1486</v>
          </cell>
          <cell r="BR75">
            <v>1621</v>
          </cell>
          <cell r="BS75">
            <v>1621</v>
          </cell>
          <cell r="BT75" t="str">
            <v>Impairment Charges / Non-Housing Loans (%)</v>
          </cell>
          <cell r="BU75">
            <v>0.41002782771443352</v>
          </cell>
          <cell r="BV75">
            <v>0.71173528692946431</v>
          </cell>
          <cell r="BW75">
            <v>0.55436668077420581</v>
          </cell>
          <cell r="BX75" t="str">
            <v>Impairment Charges / Avg RWA (%)</v>
          </cell>
          <cell r="BY75">
            <v>1.5976219591000824</v>
          </cell>
          <cell r="BZ75">
            <v>1.4682058544835808</v>
          </cell>
          <cell r="CA75">
            <v>1.5527728814940853</v>
          </cell>
          <cell r="CC75">
            <v>1.4571545974649935</v>
          </cell>
          <cell r="CD75">
            <v>0.73124983488759154</v>
          </cell>
          <cell r="CE75">
            <v>1.0963463926240984</v>
          </cell>
          <cell r="CG75">
            <v>0.79307977481806946</v>
          </cell>
          <cell r="CH75">
            <v>0.61239944247505951</v>
          </cell>
          <cell r="CI75">
            <v>0.70239362577784603</v>
          </cell>
          <cell r="CK75">
            <v>0.58040777639923535</v>
          </cell>
          <cell r="CL75">
            <v>0.56825303973592944</v>
          </cell>
          <cell r="CM75">
            <v>0.56877533113274559</v>
          </cell>
          <cell r="CO75">
            <v>0.63049165780948069</v>
          </cell>
          <cell r="CP75">
            <v>0.67602507872065176</v>
          </cell>
          <cell r="CQ75">
            <v>0.6473589099705942</v>
          </cell>
        </row>
        <row r="76">
          <cell r="C76" t="str">
            <v>Housing Loans</v>
          </cell>
          <cell r="AL76">
            <v>9.045226130653262</v>
          </cell>
          <cell r="AN76">
            <v>15.371121711624536</v>
          </cell>
          <cell r="AO76">
            <v>11.91731078487317</v>
          </cell>
          <cell r="AP76">
            <v>11.91731078487317</v>
          </cell>
          <cell r="AR76">
            <v>30.315619099001889</v>
          </cell>
          <cell r="AS76">
            <v>35.441706104021911</v>
          </cell>
          <cell r="AT76">
            <v>35.441706104021911</v>
          </cell>
          <cell r="AV76">
            <v>16.984952614661974</v>
          </cell>
          <cell r="AW76">
            <v>10.734550283019505</v>
          </cell>
          <cell r="AX76">
            <v>10.734550283019505</v>
          </cell>
          <cell r="AZ76">
            <v>5.431404469439105</v>
          </cell>
          <cell r="BA76">
            <v>3.7914164655270977</v>
          </cell>
          <cell r="BB76">
            <v>3.7914164655270977</v>
          </cell>
          <cell r="BD76">
            <v>4.6981422259111838</v>
          </cell>
          <cell r="BE76">
            <v>4.4044652082384284</v>
          </cell>
          <cell r="BF76">
            <v>4.4044652082384284</v>
          </cell>
          <cell r="BH76">
            <v>4.5656771389240847</v>
          </cell>
          <cell r="BI76">
            <v>4.830346822952003</v>
          </cell>
          <cell r="BJ76">
            <v>4.830346822952003</v>
          </cell>
          <cell r="BL76">
            <v>4.5729220390024139</v>
          </cell>
          <cell r="BM76">
            <v>4.1466699793389239</v>
          </cell>
          <cell r="BN76">
            <v>4.1466699793389239</v>
          </cell>
          <cell r="BP76">
            <v>4.0773568648211356</v>
          </cell>
          <cell r="BQ76">
            <v>4.0399999999999991</v>
          </cell>
          <cell r="BR76">
            <v>4.0399999999999991</v>
          </cell>
          <cell r="BS76">
            <v>1.1325944086198727</v>
          </cell>
          <cell r="BT76" t="str">
            <v>Impairment Charges / Avg RWA (%)</v>
          </cell>
          <cell r="BU76">
            <v>0.25716470124875473</v>
          </cell>
          <cell r="BV76">
            <v>0.4994666499341156</v>
          </cell>
          <cell r="BW76">
            <v>0.37346922794272669</v>
          </cell>
          <cell r="BY76">
            <v>1.4451763753681512</v>
          </cell>
          <cell r="BZ76">
            <v>1.0914082840236685</v>
          </cell>
          <cell r="CA76">
            <v>1.253141333004425</v>
          </cell>
          <cell r="CC76">
            <v>0.94356840103362694</v>
          </cell>
          <cell r="CD76">
            <v>0.47053223859792276</v>
          </cell>
          <cell r="CE76">
            <v>0.70665060384571177</v>
          </cell>
          <cell r="CG76">
            <v>0.50105485232067515</v>
          </cell>
          <cell r="CH76">
            <v>0.39346065569724686</v>
          </cell>
          <cell r="CI76">
            <v>0.44768628383660153</v>
          </cell>
          <cell r="CK76">
            <v>0.37624090463501181</v>
          </cell>
          <cell r="CL76">
            <v>0.36236952365726771</v>
          </cell>
          <cell r="CM76">
            <v>0.36918132600168824</v>
          </cell>
          <cell r="CO76">
            <v>0.39813304492171148</v>
          </cell>
          <cell r="CP76">
            <v>0.42622777378937843</v>
          </cell>
          <cell r="CQ76">
            <v>0.41232392455241235</v>
          </cell>
        </row>
        <row r="77">
          <cell r="C77" t="str">
            <v>Non-Housing Loans &amp; Acceptances</v>
          </cell>
          <cell r="AL77" t="e">
            <v>#REF!</v>
          </cell>
          <cell r="AN77">
            <v>32.741656042626907</v>
          </cell>
          <cell r="AO77">
            <v>16.040783293790504</v>
          </cell>
          <cell r="AP77">
            <v>16.040783293790504</v>
          </cell>
          <cell r="AR77">
            <v>23.854261580515669</v>
          </cell>
          <cell r="AS77">
            <v>17.009519608485981</v>
          </cell>
          <cell r="AT77">
            <v>17.009519608485981</v>
          </cell>
          <cell r="AV77">
            <v>-5.6428763160249362</v>
          </cell>
          <cell r="AW77">
            <v>-3.5808532099809498</v>
          </cell>
          <cell r="AX77">
            <v>-3.5808532099809498</v>
          </cell>
          <cell r="AZ77">
            <v>-4.0811918534205738</v>
          </cell>
          <cell r="BA77">
            <v>-3.7148971019470012</v>
          </cell>
          <cell r="BB77">
            <v>-3.7148971019470012</v>
          </cell>
          <cell r="BD77">
            <v>3.1437594397913049</v>
          </cell>
          <cell r="BE77">
            <v>5.0649165358824355</v>
          </cell>
          <cell r="BF77">
            <v>5.0649165358824355</v>
          </cell>
          <cell r="BH77">
            <v>2.731821547134583</v>
          </cell>
          <cell r="BI77">
            <v>2.6869986108447597</v>
          </cell>
          <cell r="BJ77">
            <v>2.6869986108447597</v>
          </cell>
          <cell r="BL77">
            <v>3.8857675475434839</v>
          </cell>
          <cell r="BM77">
            <v>3.9220194607707315</v>
          </cell>
          <cell r="BN77">
            <v>3.9220194607707315</v>
          </cell>
          <cell r="BP77">
            <v>3.9159517385431331</v>
          </cell>
          <cell r="BQ77">
            <v>3.9091787704241598</v>
          </cell>
          <cell r="BR77">
            <v>3.9091787704241598</v>
          </cell>
          <cell r="BS77">
            <v>58.068292682926824</v>
          </cell>
          <cell r="BT77">
            <v>4.2218998658394069</v>
          </cell>
          <cell r="BU77">
            <v>55.192034139402558</v>
          </cell>
          <cell r="BV77">
            <v>54.457050243111823</v>
          </cell>
          <cell r="BW77">
            <v>54.807529252162112</v>
          </cell>
          <cell r="BX77" t="str">
            <v>WEALTH MANAGEMENT</v>
          </cell>
          <cell r="BY77">
            <v>52.723467669771971</v>
          </cell>
          <cell r="BZ77">
            <v>55.979870323251745</v>
          </cell>
          <cell r="CA77">
            <v>54.335619974059092</v>
          </cell>
          <cell r="CC77">
            <v>51.285553226407664</v>
          </cell>
          <cell r="CD77">
            <v>43.18517388428986</v>
          </cell>
          <cell r="CE77">
            <v>47.171589111102683</v>
          </cell>
          <cell r="CG77">
            <v>50.985624500759954</v>
          </cell>
          <cell r="CH77">
            <v>47.985624500759947</v>
          </cell>
          <cell r="CI77">
            <v>49.440306118565424</v>
          </cell>
          <cell r="CK77">
            <v>47.985624500759947</v>
          </cell>
          <cell r="CL77">
            <v>44.985624500759947</v>
          </cell>
          <cell r="CM77">
            <v>46.456212736054063</v>
          </cell>
          <cell r="CO77">
            <v>44.985624500759947</v>
          </cell>
          <cell r="CP77">
            <v>44.985624500759947</v>
          </cell>
          <cell r="CQ77">
            <v>44.98562450075994</v>
          </cell>
        </row>
        <row r="78">
          <cell r="C78" t="str">
            <v>Gross Loans &amp; Acceptances</v>
          </cell>
          <cell r="AL78">
            <v>101.85314831768596</v>
          </cell>
          <cell r="AN78">
            <v>22.4778909005801</v>
          </cell>
          <cell r="AO78">
            <v>13.684453917276084</v>
          </cell>
          <cell r="AP78">
            <v>13.684453917276084</v>
          </cell>
          <cell r="AR78">
            <v>27.450568229901751</v>
          </cell>
          <cell r="AS78">
            <v>27.378735964871105</v>
          </cell>
          <cell r="AT78">
            <v>27.378735964871105</v>
          </cell>
          <cell r="AV78">
            <v>7.2345930755588261</v>
          </cell>
          <cell r="AW78">
            <v>4.9821903787103272</v>
          </cell>
          <cell r="AX78">
            <v>4.9821903787103272</v>
          </cell>
          <cell r="AZ78">
            <v>1.8246498509919329</v>
          </cell>
          <cell r="BA78">
            <v>1.0211801777559426</v>
          </cell>
          <cell r="BB78">
            <v>1.0211801777559426</v>
          </cell>
          <cell r="BD78">
            <v>4.142971758350189</v>
          </cell>
          <cell r="BE78">
            <v>4.6367803889398207</v>
          </cell>
          <cell r="BF78">
            <v>4.6367803889398207</v>
          </cell>
          <cell r="BH78">
            <v>3.9169732493283593</v>
          </cell>
          <cell r="BI78">
            <v>4.0733346607690235</v>
          </cell>
          <cell r="BJ78">
            <v>4.0733346607690235</v>
          </cell>
          <cell r="BL78">
            <v>4.3326217696592728</v>
          </cell>
          <cell r="BM78">
            <v>4.0683822784000068</v>
          </cell>
          <cell r="BN78">
            <v>4.0683822784000068</v>
          </cell>
          <cell r="BP78">
            <v>4.0211546896829375</v>
          </cell>
          <cell r="BQ78">
            <v>3.9944746687325283</v>
          </cell>
          <cell r="BR78">
            <v>3.9944746687325283</v>
          </cell>
          <cell r="BS78">
            <v>-0.89473684210526305</v>
          </cell>
          <cell r="BT78" t="str">
            <v>WEALTH MANAGEMENT</v>
          </cell>
          <cell r="BU78">
            <v>-17.043073341094296</v>
          </cell>
          <cell r="BV78">
            <v>-7.1005917159763312</v>
          </cell>
          <cell r="BW78">
            <v>-11.831173147224993</v>
          </cell>
          <cell r="BY78">
            <v>11.890307724513292</v>
          </cell>
          <cell r="BZ78">
            <v>7.6159611099858209</v>
          </cell>
          <cell r="CA78">
            <v>9.7179328803788358</v>
          </cell>
          <cell r="CC78">
            <v>2.7210884353741496</v>
          </cell>
          <cell r="CD78">
            <v>6.8105325678083544</v>
          </cell>
          <cell r="CE78">
            <v>4.7469595919968617</v>
          </cell>
          <cell r="CG78">
            <v>4.2985991172519675</v>
          </cell>
          <cell r="CH78">
            <v>4.9726775956284159</v>
          </cell>
          <cell r="CI78">
            <v>4.6461333906839268</v>
          </cell>
          <cell r="CK78">
            <v>5.0410958904109595</v>
          </cell>
          <cell r="CL78">
            <v>4.9589041095890414</v>
          </cell>
          <cell r="CM78">
            <v>4.9993926715702814</v>
          </cell>
          <cell r="CO78">
            <v>5.9989041095890414</v>
          </cell>
          <cell r="CP78">
            <v>6.04986301369863</v>
          </cell>
          <cell r="CQ78">
            <v>6.0247601052702615</v>
          </cell>
        </row>
        <row r="79">
          <cell r="C79" t="str">
            <v>Australian Loans (local ccy)</v>
          </cell>
          <cell r="AL79">
            <v>19.295231534377312</v>
          </cell>
          <cell r="AN79">
            <v>15.371121711624536</v>
          </cell>
          <cell r="AO79">
            <v>11.91731078487317</v>
          </cell>
          <cell r="AP79">
            <v>11.91731078487317</v>
          </cell>
          <cell r="AR79">
            <v>30.315619099001889</v>
          </cell>
          <cell r="AS79">
            <v>35.441706104021911</v>
          </cell>
          <cell r="AT79">
            <v>35.441706104021911</v>
          </cell>
          <cell r="AV79">
            <v>16.984952614661974</v>
          </cell>
          <cell r="AW79">
            <v>10.734550283019505</v>
          </cell>
          <cell r="AX79">
            <v>10.734550283019505</v>
          </cell>
          <cell r="AZ79">
            <v>5.431404469439105</v>
          </cell>
          <cell r="BA79">
            <v>3.7914164655270977</v>
          </cell>
          <cell r="BB79">
            <v>2.1537079833083173</v>
          </cell>
          <cell r="BD79">
            <v>4.4246339174650373</v>
          </cell>
          <cell r="BE79">
            <v>4.3947961496482169</v>
          </cell>
          <cell r="BF79">
            <v>4.3947961496482169</v>
          </cell>
          <cell r="BH79">
            <v>3.8022903342971981</v>
          </cell>
          <cell r="BI79">
            <v>4.3968731532718186</v>
          </cell>
          <cell r="BJ79">
            <v>4.3968731532718186</v>
          </cell>
          <cell r="BL79">
            <v>4.5710545248124568</v>
          </cell>
          <cell r="BM79">
            <v>4.1475392067229055</v>
          </cell>
          <cell r="BN79">
            <v>4.0814935811930297</v>
          </cell>
          <cell r="BP79">
            <v>5.3165135690916188</v>
          </cell>
          <cell r="BQ79">
            <v>5.3490768379931275</v>
          </cell>
          <cell r="BR79">
            <v>4.0399999999999769</v>
          </cell>
          <cell r="BT79">
            <v>5.5692369745325099</v>
          </cell>
          <cell r="BU79">
            <v>5.781944799848926</v>
          </cell>
          <cell r="BV79">
            <v>5.781944799848926</v>
          </cell>
          <cell r="BX79" t="str">
            <v>Funds Under Administration (A$m)</v>
          </cell>
          <cell r="BY79">
            <v>207702</v>
          </cell>
          <cell r="BZ79">
            <v>191305</v>
          </cell>
          <cell r="CA79">
            <v>191305</v>
          </cell>
          <cell r="CC79">
            <v>164271</v>
          </cell>
          <cell r="CD79">
            <v>175334</v>
          </cell>
          <cell r="CE79">
            <v>175334</v>
          </cell>
          <cell r="CG79">
            <v>192523</v>
          </cell>
          <cell r="CH79">
            <v>186734</v>
          </cell>
          <cell r="CI79">
            <v>186734</v>
          </cell>
          <cell r="CK79">
            <v>198731</v>
          </cell>
          <cell r="CL79">
            <v>196551</v>
          </cell>
          <cell r="CM79">
            <v>196551</v>
          </cell>
          <cell r="CO79">
            <v>191289</v>
          </cell>
          <cell r="CP79">
            <v>204104</v>
          </cell>
          <cell r="CQ79">
            <v>204104</v>
          </cell>
        </row>
        <row r="80">
          <cell r="C80" t="str">
            <v>New Zealand Loans (local ccy)</v>
          </cell>
          <cell r="AL80">
            <v>14.688075067803341</v>
          </cell>
          <cell r="AN80">
            <v>32.741656042626907</v>
          </cell>
          <cell r="AO80">
            <v>16.040783293790504</v>
          </cell>
          <cell r="AP80">
            <v>16.040783293790504</v>
          </cell>
          <cell r="AR80">
            <v>23.854261580515669</v>
          </cell>
          <cell r="AS80">
            <v>17.009519608485981</v>
          </cell>
          <cell r="AT80">
            <v>17.009519608485981</v>
          </cell>
          <cell r="AV80">
            <v>-5.6428763160249362</v>
          </cell>
          <cell r="AW80">
            <v>-3.5808532099809498</v>
          </cell>
          <cell r="AX80">
            <v>-3.5808532099809498</v>
          </cell>
          <cell r="AZ80">
            <v>-4.0811918534205738</v>
          </cell>
          <cell r="BA80">
            <v>-3.7148971019470012</v>
          </cell>
          <cell r="BB80">
            <v>-3.4909117616800933</v>
          </cell>
          <cell r="BD80">
            <v>1.5002496490844175</v>
          </cell>
          <cell r="BE80">
            <v>5.2669166462435246</v>
          </cell>
          <cell r="BF80">
            <v>5.2669166462435246</v>
          </cell>
          <cell r="BH80">
            <v>3.7907182265844108</v>
          </cell>
          <cell r="BI80">
            <v>3.1589077608999094</v>
          </cell>
          <cell r="BJ80">
            <v>3.1589077608999094</v>
          </cell>
          <cell r="BL80">
            <v>3.8889625068126321</v>
          </cell>
          <cell r="BM80">
            <v>3.9242673061929745</v>
          </cell>
          <cell r="BN80">
            <v>3.9492383544302623</v>
          </cell>
          <cell r="BP80" t="str">
            <v>EXCHANGE RATE</v>
          </cell>
          <cell r="BQ80">
            <v>2.6743819488362242</v>
          </cell>
          <cell r="BR80">
            <v>3.580254376151415</v>
          </cell>
          <cell r="BT80" t="str">
            <v>Funds Under Administration (A$m)</v>
          </cell>
          <cell r="BU80">
            <v>207702</v>
          </cell>
          <cell r="BV80">
            <v>191305</v>
          </cell>
          <cell r="BW80">
            <v>191305</v>
          </cell>
          <cell r="BX80" t="str">
            <v>Inforce Premiums (A$m)</v>
          </cell>
          <cell r="BY80">
            <v>164271</v>
          </cell>
          <cell r="BZ80">
            <v>175334</v>
          </cell>
          <cell r="CA80">
            <v>175334</v>
          </cell>
          <cell r="CC80">
            <v>192523</v>
          </cell>
          <cell r="CD80">
            <v>186734</v>
          </cell>
          <cell r="CE80">
            <v>186734</v>
          </cell>
          <cell r="CG80">
            <v>198731</v>
          </cell>
          <cell r="CH80">
            <v>196551</v>
          </cell>
          <cell r="CI80">
            <v>196551</v>
          </cell>
          <cell r="CK80">
            <v>192168</v>
          </cell>
          <cell r="CL80">
            <v>201689</v>
          </cell>
          <cell r="CM80">
            <v>201689</v>
          </cell>
          <cell r="CO80">
            <v>216910.63376654219</v>
          </cell>
          <cell r="CP80">
            <v>228629.63930123462</v>
          </cell>
          <cell r="CQ80">
            <v>228629.63930123462</v>
          </cell>
        </row>
        <row r="81">
          <cell r="C81" t="str">
            <v>Ordinary Shareholders' Equity</v>
          </cell>
          <cell r="AL81">
            <v>15.565942903096097</v>
          </cell>
          <cell r="AN81">
            <v>14.961977186311781</v>
          </cell>
          <cell r="AO81">
            <v>7.3370156134475728</v>
          </cell>
          <cell r="AP81">
            <v>7.3370156134475728</v>
          </cell>
          <cell r="AR81">
            <v>17.946915826029432</v>
          </cell>
          <cell r="AS81">
            <v>21.487034035656393</v>
          </cell>
          <cell r="AT81">
            <v>21.487034035656393</v>
          </cell>
          <cell r="AV81">
            <v>12.597707595779738</v>
          </cell>
          <cell r="AW81">
            <v>13.757796084447849</v>
          </cell>
          <cell r="AX81">
            <v>13.757796084447849</v>
          </cell>
          <cell r="AZ81">
            <v>5.4882794259564882</v>
          </cell>
          <cell r="BA81">
            <v>5.0193502990500738</v>
          </cell>
          <cell r="BB81">
            <v>5.0193502990500738</v>
          </cell>
          <cell r="BD81">
            <v>10.393672903263894</v>
          </cell>
          <cell r="BE81">
            <v>11.954215522054712</v>
          </cell>
          <cell r="BF81">
            <v>11.954215522054712</v>
          </cell>
          <cell r="BH81">
            <v>11.382458615489588</v>
          </cell>
          <cell r="BI81">
            <v>8.5257968166659648</v>
          </cell>
          <cell r="BJ81">
            <v>8.5257968166659648</v>
          </cell>
          <cell r="BL81">
            <v>8.336590220125295</v>
          </cell>
          <cell r="BM81">
            <v>7.8862382256680963</v>
          </cell>
          <cell r="BN81">
            <v>7.8862382256680963</v>
          </cell>
          <cell r="BP81">
            <v>0.67419147691680781</v>
          </cell>
          <cell r="BQ81">
            <v>0.92346127763844876</v>
          </cell>
          <cell r="BR81">
            <v>0.92346127763844876</v>
          </cell>
          <cell r="BT81" t="str">
            <v>Inforce Premiums (A$m)</v>
          </cell>
          <cell r="BU81">
            <v>1486</v>
          </cell>
          <cell r="BV81">
            <v>1621</v>
          </cell>
          <cell r="BW81">
            <v>1621</v>
          </cell>
          <cell r="BY81">
            <v>1794</v>
          </cell>
          <cell r="BZ81">
            <v>1975</v>
          </cell>
          <cell r="CA81">
            <v>1975</v>
          </cell>
          <cell r="CC81">
            <v>1862.4440573604472</v>
          </cell>
          <cell r="CD81">
            <v>1962.7483357687936</v>
          </cell>
          <cell r="CE81">
            <v>1962.7483357687936</v>
          </cell>
          <cell r="CG81">
            <v>2007.9661982529433</v>
          </cell>
          <cell r="CH81">
            <v>2091.1742892459824</v>
          </cell>
          <cell r="CI81">
            <v>2091.1742892459824</v>
          </cell>
          <cell r="CK81">
            <v>2266.4204000912755</v>
          </cell>
          <cell r="CL81">
            <v>2459.397616807777</v>
          </cell>
          <cell r="CM81">
            <v>2459.397616807777</v>
          </cell>
          <cell r="CO81">
            <v>2557.7735214800878</v>
          </cell>
          <cell r="CP81">
            <v>2660.0844623392918</v>
          </cell>
          <cell r="CQ81">
            <v>2660.0844623392918</v>
          </cell>
        </row>
        <row r="82">
          <cell r="C82" t="str">
            <v>Total Deposits</v>
          </cell>
          <cell r="AL82">
            <v>15.565942903096097</v>
          </cell>
          <cell r="AN82">
            <v>14.961977186311781</v>
          </cell>
          <cell r="AO82">
            <v>7.3370156134475728</v>
          </cell>
          <cell r="AP82">
            <v>7.3370156134475728</v>
          </cell>
          <cell r="AR82">
            <v>17.946915826029432</v>
          </cell>
          <cell r="AS82">
            <v>21.487034035656393</v>
          </cell>
          <cell r="AT82">
            <v>21.487034035656393</v>
          </cell>
          <cell r="AV82">
            <v>12.597707595779738</v>
          </cell>
          <cell r="AW82">
            <v>13.757796084447849</v>
          </cell>
          <cell r="AX82">
            <v>13.757796084447849</v>
          </cell>
          <cell r="AZ82">
            <v>5.4882794259564882</v>
          </cell>
          <cell r="BA82">
            <v>5.0193502990500738</v>
          </cell>
          <cell r="BB82">
            <v>5.0193502990500738</v>
          </cell>
          <cell r="BD82">
            <v>10.393672903263894</v>
          </cell>
          <cell r="BE82">
            <v>9.5770188363333943</v>
          </cell>
          <cell r="BF82">
            <v>9.3631069080844185</v>
          </cell>
          <cell r="BH82">
            <v>6.205774589322921</v>
          </cell>
          <cell r="BI82">
            <v>7.5377935554881814</v>
          </cell>
          <cell r="BJ82">
            <v>7.5377935554881814</v>
          </cell>
          <cell r="BK82" t="e">
            <v>#DIV/0!</v>
          </cell>
          <cell r="BL82">
            <v>7.0350643005122615</v>
          </cell>
          <cell r="BM82">
            <v>6.534195067306281</v>
          </cell>
          <cell r="BN82">
            <v>6.534195067306281</v>
          </cell>
          <cell r="BO82" t="e">
            <v>#DIV/0!</v>
          </cell>
          <cell r="BP82">
            <v>6.2774231690897908</v>
          </cell>
          <cell r="BQ82">
            <v>6.0204591272306152</v>
          </cell>
          <cell r="BR82">
            <v>6.0204591272306152</v>
          </cell>
          <cell r="BS82">
            <v>1.2629999999999999</v>
          </cell>
          <cell r="BT82">
            <v>6.0070620219059956</v>
          </cell>
          <cell r="BU82">
            <v>1.1908000000000001</v>
          </cell>
          <cell r="BV82">
            <v>1.2430000000000001</v>
          </cell>
          <cell r="BW82">
            <v>1.2430000000000001</v>
          </cell>
          <cell r="BX82" t="str">
            <v>EXCHANGE RATE</v>
          </cell>
          <cell r="BY82">
            <v>1.2343</v>
          </cell>
          <cell r="BZ82">
            <v>1.2318</v>
          </cell>
          <cell r="CA82">
            <v>1.2318</v>
          </cell>
          <cell r="CC82">
            <v>1.3165</v>
          </cell>
          <cell r="CD82">
            <v>1.2944</v>
          </cell>
          <cell r="CE82">
            <v>1.2944</v>
          </cell>
          <cell r="CG82">
            <v>1.3147</v>
          </cell>
          <cell r="CH82">
            <v>1.27</v>
          </cell>
          <cell r="CI82">
            <v>1.27</v>
          </cell>
          <cell r="CK82">
            <v>1.27</v>
          </cell>
          <cell r="CL82">
            <v>1.27</v>
          </cell>
          <cell r="CM82">
            <v>1.27</v>
          </cell>
          <cell r="CO82">
            <v>1.27</v>
          </cell>
          <cell r="CP82">
            <v>1.27</v>
          </cell>
          <cell r="CQ82">
            <v>1.27</v>
          </cell>
        </row>
        <row r="83">
          <cell r="C83" t="str">
            <v>Average Balance Sheet (%)</v>
          </cell>
          <cell r="BP83" t="str">
            <v>Average A$/NZ$</v>
          </cell>
          <cell r="BQ83">
            <v>1.1179999999999999</v>
          </cell>
          <cell r="BR83">
            <v>1.1984999999999999</v>
          </cell>
          <cell r="BS83">
            <v>1.1582499999999998</v>
          </cell>
          <cell r="BT83" t="str">
            <v>EXCHANGE RATE</v>
          </cell>
          <cell r="BU83">
            <v>1.2269000000000001</v>
          </cell>
          <cell r="BV83">
            <v>1.2169000000000001</v>
          </cell>
          <cell r="BW83">
            <v>1.2219000000000002</v>
          </cell>
          <cell r="BY83">
            <v>1.23865</v>
          </cell>
          <cell r="BZ83">
            <v>1.23305</v>
          </cell>
          <cell r="CA83">
            <v>1.2358500000000001</v>
          </cell>
          <cell r="CC83">
            <v>1.2741500000000001</v>
          </cell>
          <cell r="CD83">
            <v>1.30545</v>
          </cell>
          <cell r="CE83">
            <v>1.2898000000000001</v>
          </cell>
          <cell r="CG83">
            <v>1.3045499999999999</v>
          </cell>
          <cell r="CH83">
            <v>1.2923499999999999</v>
          </cell>
          <cell r="CI83">
            <v>1.2984499999999999</v>
          </cell>
          <cell r="CK83">
            <v>1.27</v>
          </cell>
          <cell r="CL83">
            <v>1.27</v>
          </cell>
          <cell r="CM83">
            <v>1.27</v>
          </cell>
          <cell r="CO83">
            <v>1.27</v>
          </cell>
          <cell r="CP83">
            <v>1.27</v>
          </cell>
          <cell r="CQ83">
            <v>1.27</v>
          </cell>
        </row>
        <row r="84">
          <cell r="C84" t="str">
            <v>Avg Interest Earning Assets</v>
          </cell>
          <cell r="AL84">
            <v>20.995058188196424</v>
          </cell>
          <cell r="AN84">
            <v>15.382269752911636</v>
          </cell>
          <cell r="AO84">
            <v>16.607006699377781</v>
          </cell>
          <cell r="AP84">
            <v>15.99286599376828</v>
          </cell>
          <cell r="AR84">
            <v>17.772282434287344</v>
          </cell>
          <cell r="AS84">
            <v>31.405268070620295</v>
          </cell>
          <cell r="AT84">
            <v>24.783297507953762</v>
          </cell>
          <cell r="AV84">
            <v>25.338086929442525</v>
          </cell>
          <cell r="AW84">
            <v>6.3977649132403336</v>
          </cell>
          <cell r="AX84">
            <v>15.062296362790084</v>
          </cell>
          <cell r="AZ84">
            <v>4.8268201739562588</v>
          </cell>
          <cell r="BA84">
            <v>3.3532846480791578</v>
          </cell>
          <cell r="BB84">
            <v>7.8866244683828857</v>
          </cell>
          <cell r="BD84">
            <v>8.5566399442314367</v>
          </cell>
          <cell r="BE84">
            <v>9.942450715220863</v>
          </cell>
          <cell r="BF84">
            <v>5.4031931383347276</v>
          </cell>
          <cell r="BH84">
            <v>3.5571811518142704</v>
          </cell>
          <cell r="BI84">
            <v>4.0002398930741201</v>
          </cell>
          <cell r="BJ84">
            <v>3.7872918430004399</v>
          </cell>
          <cell r="BL84">
            <v>5.168314222427739</v>
          </cell>
          <cell r="BM84">
            <v>4.6492627629486583</v>
          </cell>
          <cell r="BN84">
            <v>4.9054220169715723</v>
          </cell>
          <cell r="BP84">
            <v>3.9630974497151694</v>
          </cell>
          <cell r="BQ84">
            <v>3.3785695735605081</v>
          </cell>
          <cell r="BR84">
            <v>3.6677652781652581</v>
          </cell>
          <cell r="BT84">
            <v>4.9788465252333935</v>
          </cell>
          <cell r="BU84">
            <v>5.3729341677702491</v>
          </cell>
          <cell r="BV84">
            <v>5.178170451634756</v>
          </cell>
          <cell r="BX84" t="str">
            <v>Closing A$/NZ$</v>
          </cell>
          <cell r="BY84">
            <v>1.1339999999999999</v>
          </cell>
          <cell r="BZ84">
            <v>1.2629999999999999</v>
          </cell>
          <cell r="CA84">
            <v>1.2629999999999999</v>
          </cell>
          <cell r="CC84">
            <v>1.1908000000000001</v>
          </cell>
          <cell r="CD84">
            <v>1.2430000000000001</v>
          </cell>
          <cell r="CE84">
            <v>1.2430000000000001</v>
          </cell>
          <cell r="CG84">
            <v>1.2343</v>
          </cell>
          <cell r="CH84">
            <v>1.2318</v>
          </cell>
          <cell r="CI84">
            <v>1.2318</v>
          </cell>
          <cell r="CK84">
            <v>1.3165</v>
          </cell>
          <cell r="CL84">
            <v>1.2944</v>
          </cell>
          <cell r="CM84">
            <v>1.2944</v>
          </cell>
          <cell r="CO84">
            <v>1.3147</v>
          </cell>
          <cell r="CP84">
            <v>1.2756000000000001</v>
          </cell>
          <cell r="CQ84">
            <v>1.2756000000000001</v>
          </cell>
        </row>
        <row r="85">
          <cell r="C85" t="str">
            <v>Avg Loans &amp; Acceptances</v>
          </cell>
          <cell r="AL85">
            <v>22.005488043904343</v>
          </cell>
          <cell r="AN85">
            <v>15.826709669276283</v>
          </cell>
          <cell r="AO85">
            <v>16.96457740234283</v>
          </cell>
          <cell r="AP85">
            <v>16.390456116901643</v>
          </cell>
          <cell r="AR85">
            <v>17.826540795375024</v>
          </cell>
          <cell r="AS85">
            <v>32.349373553587114</v>
          </cell>
          <cell r="AT85">
            <v>25.399379984485805</v>
          </cell>
          <cell r="AV85">
            <v>24.887071651090341</v>
          </cell>
          <cell r="AW85">
            <v>6.4587642023471448</v>
          </cell>
          <cell r="AX85">
            <v>14.766938611978219</v>
          </cell>
          <cell r="AZ85">
            <v>4.6404851735212471</v>
          </cell>
          <cell r="BA85">
            <v>2.0948655404436023</v>
          </cell>
          <cell r="BB85">
            <v>4.2016222560852023</v>
          </cell>
          <cell r="BD85">
            <v>5.1145693846046392</v>
          </cell>
          <cell r="BE85">
            <v>6.5604169357648123</v>
          </cell>
          <cell r="BF85">
            <v>3.533926064576498</v>
          </cell>
          <cell r="BH85">
            <v>2.3809684627896566</v>
          </cell>
          <cell r="BI85">
            <v>2.4699921308515727</v>
          </cell>
          <cell r="BJ85">
            <v>2.4316984238365924</v>
          </cell>
          <cell r="BL85">
            <v>4.4341047703637448</v>
          </cell>
          <cell r="BM85">
            <v>4.2832115366006951</v>
          </cell>
          <cell r="BN85">
            <v>4.2015443686619136</v>
          </cell>
          <cell r="BP85">
            <v>5.8491511829561249</v>
          </cell>
          <cell r="BQ85">
            <v>5.1123058315552417</v>
          </cell>
          <cell r="BR85">
            <v>4.0259234591260462</v>
          </cell>
          <cell r="BT85" t="str">
            <v>Closing A$/NZ$</v>
          </cell>
          <cell r="BU85">
            <v>1.1339999999999999</v>
          </cell>
          <cell r="BV85">
            <v>1.2629999999999999</v>
          </cell>
          <cell r="BW85">
            <v>1.2629999999999999</v>
          </cell>
          <cell r="BX85" t="str">
            <v>Average A$/NZ$</v>
          </cell>
          <cell r="BY85">
            <v>1.1908000000000001</v>
          </cell>
          <cell r="BZ85">
            <v>1.2430000000000001</v>
          </cell>
          <cell r="CA85">
            <v>1.2430000000000001</v>
          </cell>
          <cell r="CC85">
            <v>1.2343</v>
          </cell>
          <cell r="CD85">
            <v>1.2318</v>
          </cell>
          <cell r="CE85">
            <v>1.2318</v>
          </cell>
          <cell r="CG85">
            <v>1.3165</v>
          </cell>
          <cell r="CH85">
            <v>1.2944</v>
          </cell>
          <cell r="CI85">
            <v>1.2944</v>
          </cell>
          <cell r="CK85">
            <v>1.3147</v>
          </cell>
          <cell r="CL85">
            <v>1.2756000000000001</v>
          </cell>
          <cell r="CM85">
            <v>1.2756000000000001</v>
          </cell>
          <cell r="CO85">
            <v>1.3</v>
          </cell>
          <cell r="CP85">
            <v>1.3</v>
          </cell>
          <cell r="CQ85">
            <v>1.3</v>
          </cell>
        </row>
      </sheetData>
      <sheetData sheetId="4" refreshError="1">
        <row r="5">
          <cell r="B5" t="str">
            <v>Year End 30 June</v>
          </cell>
          <cell r="C5" t="str">
            <v>FY12</v>
          </cell>
          <cell r="G5" t="str">
            <v>FY13E</v>
          </cell>
          <cell r="K5" t="str">
            <v>FY14E</v>
          </cell>
          <cell r="O5" t="str">
            <v>FY15E</v>
          </cell>
        </row>
        <row r="6">
          <cell r="B6" t="str">
            <v>Current Share Price (A$)</v>
          </cell>
          <cell r="C6">
            <v>62.2</v>
          </cell>
        </row>
        <row r="7">
          <cell r="B7" t="str">
            <v>Performance Metrics</v>
          </cell>
        </row>
        <row r="8">
          <cell r="B8" t="str">
            <v>Cash Profit (A$m)</v>
          </cell>
          <cell r="C8">
            <v>7113</v>
          </cell>
          <cell r="D8">
            <v>0</v>
          </cell>
          <cell r="E8">
            <v>3812.5509428666246</v>
          </cell>
          <cell r="F8">
            <v>3866.0155315108968</v>
          </cell>
          <cell r="G8">
            <v>7678.5664743775287</v>
          </cell>
          <cell r="H8">
            <v>0</v>
          </cell>
          <cell r="I8">
            <v>4018.7041651570007</v>
          </cell>
          <cell r="J8">
            <v>3917.8325508436455</v>
          </cell>
          <cell r="K8">
            <v>7936.5367160006463</v>
          </cell>
          <cell r="L8">
            <v>0</v>
          </cell>
          <cell r="M8">
            <v>4145.8920158638011</v>
          </cell>
          <cell r="N8">
            <v>4114.1143973855515</v>
          </cell>
          <cell r="O8">
            <v>8260.0064132493553</v>
          </cell>
        </row>
        <row r="9">
          <cell r="B9" t="str">
            <v>Cash EPS (cps)</v>
          </cell>
          <cell r="C9">
            <v>449.52320406865863</v>
          </cell>
          <cell r="D9">
            <v>0</v>
          </cell>
          <cell r="E9">
            <v>236.80484333619148</v>
          </cell>
          <cell r="F9">
            <v>238.02091499128341</v>
          </cell>
          <cell r="G9">
            <v>474.83116006014853</v>
          </cell>
          <cell r="H9">
            <v>0</v>
          </cell>
          <cell r="I9">
            <v>245.60138406634366</v>
          </cell>
          <cell r="J9">
            <v>237.64392584278227</v>
          </cell>
          <cell r="K9">
            <v>483.21597196563732</v>
          </cell>
          <cell r="L9">
            <v>0</v>
          </cell>
          <cell r="M9">
            <v>253.48412454541048</v>
          </cell>
          <cell r="N9">
            <v>253.52746571257256</v>
          </cell>
          <cell r="O9">
            <v>507.01141891944002</v>
          </cell>
        </row>
        <row r="10">
          <cell r="B10" t="str">
            <v>Dividend Payout Ratio (%)</v>
          </cell>
          <cell r="C10">
            <v>0.74995040715740346</v>
          </cell>
          <cell r="D10">
            <v>0</v>
          </cell>
          <cell r="E10">
            <v>0.69200797478657561</v>
          </cell>
          <cell r="F10">
            <v>0.81794729265805599</v>
          </cell>
          <cell r="G10">
            <v>0.75541860793131188</v>
          </cell>
          <cell r="H10">
            <v>0</v>
          </cell>
          <cell r="I10">
            <v>0.68680558531200731</v>
          </cell>
          <cell r="J10">
            <v>0.83172877446240134</v>
          </cell>
          <cell r="K10">
            <v>0.75834107484854096</v>
          </cell>
          <cell r="L10">
            <v>0</v>
          </cell>
          <cell r="M10">
            <v>0.68667289795223108</v>
          </cell>
          <cell r="N10">
            <v>0.81510972093193568</v>
          </cell>
          <cell r="O10">
            <v>0.75064292743299499</v>
          </cell>
        </row>
        <row r="11">
          <cell r="B11" t="str">
            <v>Dividend per Share (cps)</v>
          </cell>
          <cell r="C11">
            <v>334</v>
          </cell>
          <cell r="D11">
            <v>0</v>
          </cell>
          <cell r="E11">
            <v>163</v>
          </cell>
          <cell r="F11">
            <v>194</v>
          </cell>
          <cell r="G11">
            <v>357</v>
          </cell>
          <cell r="H11">
            <v>0</v>
          </cell>
          <cell r="I11">
            <v>168</v>
          </cell>
          <cell r="J11">
            <v>197</v>
          </cell>
          <cell r="K11">
            <v>365</v>
          </cell>
          <cell r="L11">
            <v>0</v>
          </cell>
          <cell r="M11">
            <v>176</v>
          </cell>
          <cell r="N11">
            <v>206</v>
          </cell>
          <cell r="O11">
            <v>382</v>
          </cell>
        </row>
        <row r="12">
          <cell r="B12" t="str">
            <v>ROE (%)</v>
          </cell>
          <cell r="C12">
            <v>0.18715632754342434</v>
          </cell>
          <cell r="D12">
            <v>0</v>
          </cell>
          <cell r="E12">
            <v>0.18542966711801129</v>
          </cell>
          <cell r="F12">
            <v>0.180497827308092</v>
          </cell>
          <cell r="G12">
            <v>0.1829132484468006</v>
          </cell>
          <cell r="H12">
            <v>0</v>
          </cell>
          <cell r="I12">
            <v>0.18031501539995215</v>
          </cell>
          <cell r="J12">
            <v>0.16921360450466205</v>
          </cell>
          <cell r="K12">
            <v>0.17465891222689983</v>
          </cell>
          <cell r="L12">
            <v>0</v>
          </cell>
          <cell r="M12">
            <v>0.17852929495390882</v>
          </cell>
          <cell r="N12">
            <v>0.17632614379101338</v>
          </cell>
          <cell r="O12">
            <v>0.17742514072213994</v>
          </cell>
        </row>
        <row r="13">
          <cell r="B13" t="str">
            <v>ROA (%)</v>
          </cell>
          <cell r="C13">
            <v>1.0005008871645541E-2</v>
          </cell>
          <cell r="D13">
            <v>0</v>
          </cell>
          <cell r="E13">
            <v>1.0447730048027855E-2</v>
          </cell>
          <cell r="F13">
            <v>1.0351600291641056E-2</v>
          </cell>
          <cell r="G13">
            <v>1.0399106446447428E-2</v>
          </cell>
          <cell r="H13">
            <v>0</v>
          </cell>
          <cell r="I13">
            <v>1.0514531586397667E-2</v>
          </cell>
          <cell r="J13">
            <v>1.0038269939619739E-2</v>
          </cell>
          <cell r="K13">
            <v>1.0273925384553288E-2</v>
          </cell>
          <cell r="L13">
            <v>0</v>
          </cell>
          <cell r="M13">
            <v>1.0424603721749493E-2</v>
          </cell>
          <cell r="N13">
            <v>1.0148854002646434E-2</v>
          </cell>
          <cell r="O13">
            <v>1.0285414100902373E-2</v>
          </cell>
        </row>
        <row r="14">
          <cell r="B14" t="str">
            <v>Growth Rates</v>
          </cell>
        </row>
        <row r="15">
          <cell r="B15" t="str">
            <v>Revenue Growth (%)</v>
          </cell>
          <cell r="C15">
            <v>2.4975838038557407E-2</v>
          </cell>
          <cell r="D15">
            <v>0</v>
          </cell>
          <cell r="E15">
            <v>4.1742084754187614E-2</v>
          </cell>
          <cell r="F15">
            <v>6.9809109829203519E-2</v>
          </cell>
          <cell r="G15">
            <v>5.573381015758927E-2</v>
          </cell>
          <cell r="H15">
            <v>0</v>
          </cell>
          <cell r="I15">
            <v>5.7441851289343981E-2</v>
          </cell>
          <cell r="J15">
            <v>3.9165499932784398E-2</v>
          </cell>
          <cell r="K15">
            <v>4.8209416457575704E-2</v>
          </cell>
          <cell r="L15">
            <v>0</v>
          </cell>
          <cell r="M15">
            <v>4.0646424457221331E-2</v>
          </cell>
          <cell r="N15">
            <v>3.9203407331387607E-2</v>
          </cell>
          <cell r="O15">
            <v>3.9923762986523892E-2</v>
          </cell>
        </row>
        <row r="16">
          <cell r="B16" t="str">
            <v>Expense Growth (%)</v>
          </cell>
          <cell r="C16">
            <v>3.4304352716229891E-2</v>
          </cell>
          <cell r="D16">
            <v>0</v>
          </cell>
          <cell r="E16">
            <v>1.097285437312312E-2</v>
          </cell>
          <cell r="F16">
            <v>3.2358600176093821E-2</v>
          </cell>
          <cell r="G16">
            <v>2.1656425079826791E-2</v>
          </cell>
          <cell r="H16">
            <v>0</v>
          </cell>
          <cell r="I16">
            <v>3.5011433430905514E-2</v>
          </cell>
          <cell r="J16">
            <v>3.2291328628503368E-2</v>
          </cell>
          <cell r="K16">
            <v>3.3638329612178053E-2</v>
          </cell>
          <cell r="L16">
            <v>0</v>
          </cell>
          <cell r="M16">
            <v>2.5822442456275629E-2</v>
          </cell>
          <cell r="N16">
            <v>1.7639486324889653E-2</v>
          </cell>
          <cell r="O16">
            <v>2.1697084535857281E-2</v>
          </cell>
        </row>
        <row r="17">
          <cell r="B17" t="str">
            <v>Pre-Provision Profit Growth (%)</v>
          </cell>
          <cell r="C17">
            <v>1.7273402674591321E-2</v>
          </cell>
          <cell r="D17">
            <v>0</v>
          </cell>
          <cell r="E17">
            <v>6.7473503655452127E-2</v>
          </cell>
          <cell r="F17">
            <v>0.10137169308849291</v>
          </cell>
          <cell r="G17">
            <v>8.4342138911934969E-2</v>
          </cell>
          <cell r="H17">
            <v>0</v>
          </cell>
          <cell r="I17">
            <v>7.5206918554665325E-2</v>
          </cell>
          <cell r="J17">
            <v>4.4595900039642311E-2</v>
          </cell>
          <cell r="K17">
            <v>5.9734835059883862E-2</v>
          </cell>
          <cell r="L17">
            <v>0</v>
          </cell>
          <cell r="M17">
            <v>5.1948220567201719E-2</v>
          </cell>
          <cell r="N17">
            <v>5.6037634101875788E-2</v>
          </cell>
          <cell r="O17">
            <v>5.3985652726371569E-2</v>
          </cell>
        </row>
        <row r="18">
          <cell r="B18" t="str">
            <v>Cash EPS Growth (%)</v>
          </cell>
          <cell r="C18">
            <v>2.4380862502993539E-2</v>
          </cell>
          <cell r="D18">
            <v>0</v>
          </cell>
          <cell r="E18">
            <v>4.1515115235667865E-2</v>
          </cell>
          <cell r="F18">
            <v>7.194056452688935E-2</v>
          </cell>
          <cell r="G18">
            <v>5.6299554199708224E-2</v>
          </cell>
          <cell r="H18">
            <v>0</v>
          </cell>
          <cell r="I18">
            <v>3.7146793985390447E-2</v>
          </cell>
          <cell r="J18">
            <v>-1.583848833263013E-3</v>
          </cell>
          <cell r="K18">
            <v>1.7658512352952238E-2</v>
          </cell>
          <cell r="L18">
            <v>0</v>
          </cell>
          <cell r="M18">
            <v>3.2095667982626086E-2</v>
          </cell>
          <cell r="N18">
            <v>6.6837558811826403E-2</v>
          </cell>
          <cell r="O18">
            <v>4.924391645625259E-2</v>
          </cell>
        </row>
        <row r="19">
          <cell r="B19" t="str">
            <v>Dividend Growth (%)</v>
          </cell>
          <cell r="C19">
            <v>4.3749999999999956E-2</v>
          </cell>
          <cell r="D19">
            <v>0</v>
          </cell>
          <cell r="E19">
            <v>0.18978102189781018</v>
          </cell>
          <cell r="F19">
            <v>-1.5228426395939132E-2</v>
          </cell>
          <cell r="G19">
            <v>6.8862275449101729E-2</v>
          </cell>
          <cell r="H19">
            <v>0</v>
          </cell>
          <cell r="I19">
            <v>3.0674846625766916E-2</v>
          </cell>
          <cell r="J19">
            <v>1.5463917525773141E-2</v>
          </cell>
          <cell r="K19">
            <v>2.2408963585434094E-2</v>
          </cell>
          <cell r="L19">
            <v>0</v>
          </cell>
          <cell r="M19">
            <v>4.7619047619047672E-2</v>
          </cell>
          <cell r="N19">
            <v>4.5685279187817285E-2</v>
          </cell>
          <cell r="O19">
            <v>4.6575342465753344E-2</v>
          </cell>
        </row>
        <row r="20">
          <cell r="B20" t="str">
            <v>Valuation Metrics</v>
          </cell>
        </row>
      </sheetData>
      <sheetData sheetId="5" refreshError="1">
        <row r="1">
          <cell r="A1" t="str">
            <v>Last Revised</v>
          </cell>
        </row>
        <row r="3">
          <cell r="B3" t="str">
            <v>New</v>
          </cell>
          <cell r="C3" t="str">
            <v>Morgan Stanley Forecasts</v>
          </cell>
          <cell r="O3" t="str">
            <v>Morgan Stanley Forecasts</v>
          </cell>
          <cell r="U3" t="str">
            <v>Morgan Stanley Forecasts</v>
          </cell>
          <cell r="Y3" t="str">
            <v>Growth (y-o-y)</v>
          </cell>
          <cell r="AU3" t="str">
            <v>YoY Growth</v>
          </cell>
          <cell r="BE3" t="str">
            <v>Growth (y-o-y)</v>
          </cell>
          <cell r="BI3" t="str">
            <v>Growth (y-o-y)</v>
          </cell>
        </row>
        <row r="4">
          <cell r="C4" t="str">
            <v>1H05</v>
          </cell>
          <cell r="D4" t="str">
            <v>2H05</v>
          </cell>
          <cell r="E4" t="str">
            <v>FY05</v>
          </cell>
          <cell r="G4" t="str">
            <v>1H05</v>
          </cell>
          <cell r="H4" t="str">
            <v>2H05</v>
          </cell>
          <cell r="I4" t="str">
            <v>FY05</v>
          </cell>
          <cell r="K4" t="str">
            <v>1H06</v>
          </cell>
          <cell r="L4" t="str">
            <v>2H06</v>
          </cell>
          <cell r="M4" t="str">
            <v>FY06</v>
          </cell>
          <cell r="O4" t="str">
            <v>1H07E</v>
          </cell>
          <cell r="P4" t="str">
            <v>2H07E</v>
          </cell>
          <cell r="Q4" t="str">
            <v>FY07</v>
          </cell>
          <cell r="S4" t="str">
            <v>1H08</v>
          </cell>
          <cell r="T4" t="str">
            <v>2H08</v>
          </cell>
          <cell r="U4" t="str">
            <v>FY08</v>
          </cell>
          <cell r="W4" t="str">
            <v>1H09</v>
          </cell>
          <cell r="X4" t="str">
            <v>2H09E</v>
          </cell>
          <cell r="Y4" t="str">
            <v>FY09E</v>
          </cell>
          <cell r="AA4" t="str">
            <v>1H10</v>
          </cell>
          <cell r="AB4" t="str">
            <v>2H10</v>
          </cell>
          <cell r="AC4" t="str">
            <v>FY10</v>
          </cell>
          <cell r="AE4" t="str">
            <v>1H11</v>
          </cell>
          <cell r="AF4" t="str">
            <v>2H11</v>
          </cell>
          <cell r="AG4" t="str">
            <v>FY11</v>
          </cell>
          <cell r="AI4" t="str">
            <v>1H12</v>
          </cell>
          <cell r="AJ4" t="str">
            <v>2H12</v>
          </cell>
          <cell r="AK4" t="str">
            <v>FY12</v>
          </cell>
          <cell r="AM4" t="str">
            <v>1H13E</v>
          </cell>
          <cell r="AN4" t="str">
            <v>2H13E</v>
          </cell>
          <cell r="AO4" t="str">
            <v>FY13E</v>
          </cell>
          <cell r="AP4" t="str">
            <v>1H11E</v>
          </cell>
          <cell r="AQ4" t="str">
            <v>1H14E</v>
          </cell>
          <cell r="AR4" t="str">
            <v>2H14E</v>
          </cell>
          <cell r="AS4" t="str">
            <v>FY14E</v>
          </cell>
          <cell r="AT4" t="str">
            <v>1H12E</v>
          </cell>
          <cell r="AU4" t="str">
            <v>1H15E</v>
          </cell>
          <cell r="AV4" t="str">
            <v>2H15E</v>
          </cell>
          <cell r="AW4" t="str">
            <v>FY15E</v>
          </cell>
          <cell r="AX4" t="str">
            <v>2H14E</v>
          </cell>
          <cell r="AY4" t="str">
            <v>1H12</v>
          </cell>
          <cell r="AZ4" t="str">
            <v>2H12</v>
          </cell>
          <cell r="BA4" t="str">
            <v>FY12</v>
          </cell>
          <cell r="BB4" t="str">
            <v>2H15E</v>
          </cell>
          <cell r="BC4" t="str">
            <v>1H13E</v>
          </cell>
          <cell r="BD4" t="str">
            <v>2H13E</v>
          </cell>
          <cell r="BE4" t="str">
            <v>FY13E</v>
          </cell>
          <cell r="BG4" t="str">
            <v>1H14E</v>
          </cell>
          <cell r="BH4" t="str">
            <v>2H14E</v>
          </cell>
          <cell r="BI4" t="str">
            <v>FY14E</v>
          </cell>
          <cell r="BK4" t="str">
            <v>1H15E</v>
          </cell>
          <cell r="BL4" t="str">
            <v>2H15E</v>
          </cell>
          <cell r="BM4" t="str">
            <v>FY15E</v>
          </cell>
        </row>
        <row r="5">
          <cell r="B5" t="str">
            <v>Net Interest Income</v>
          </cell>
          <cell r="C5">
            <v>2933</v>
          </cell>
          <cell r="D5">
            <v>3033</v>
          </cell>
          <cell r="E5">
            <v>5966</v>
          </cell>
          <cell r="F5">
            <v>5.9816067492589386E-2</v>
          </cell>
          <cell r="G5">
            <v>2958</v>
          </cell>
          <cell r="H5">
            <v>3068</v>
          </cell>
          <cell r="I5">
            <v>6026</v>
          </cell>
          <cell r="K5">
            <v>3255</v>
          </cell>
          <cell r="L5">
            <v>3259</v>
          </cell>
          <cell r="M5">
            <v>6514</v>
          </cell>
          <cell r="O5">
            <v>3485</v>
          </cell>
          <cell r="P5">
            <v>3551</v>
          </cell>
          <cell r="Q5">
            <v>7036</v>
          </cell>
          <cell r="S5">
            <v>3899</v>
          </cell>
          <cell r="T5">
            <v>4008</v>
          </cell>
          <cell r="U5">
            <v>7907</v>
          </cell>
          <cell r="W5">
            <v>4543</v>
          </cell>
          <cell r="X5">
            <v>5643</v>
          </cell>
          <cell r="Y5">
            <v>10186</v>
          </cell>
          <cell r="AA5">
            <v>6062</v>
          </cell>
          <cell r="AB5">
            <v>5806</v>
          </cell>
          <cell r="AC5">
            <v>11868</v>
          </cell>
          <cell r="AE5">
            <v>6177</v>
          </cell>
          <cell r="AF5">
            <v>6468</v>
          </cell>
          <cell r="AG5">
            <v>12645</v>
          </cell>
          <cell r="AH5">
            <v>6.5470171890798845E-2</v>
          </cell>
          <cell r="AI5">
            <v>6644</v>
          </cell>
          <cell r="AJ5">
            <v>6513</v>
          </cell>
          <cell r="AK5">
            <v>13157</v>
          </cell>
          <cell r="AL5">
            <v>4.0490312376433302E-2</v>
          </cell>
          <cell r="AM5">
            <v>6745.5397386588375</v>
          </cell>
          <cell r="AN5">
            <v>6890.130430324336</v>
          </cell>
          <cell r="AO5">
            <v>13635.670168983175</v>
          </cell>
          <cell r="AP5">
            <v>3.6381406778382308E-2</v>
          </cell>
          <cell r="AQ5">
            <v>7102.4334010185066</v>
          </cell>
          <cell r="AR5">
            <v>7081.5474227937248</v>
          </cell>
          <cell r="AS5">
            <v>14183.980823812231</v>
          </cell>
          <cell r="AU5">
            <v>7334.9094487428065</v>
          </cell>
          <cell r="AV5">
            <v>7291.6197817688735</v>
          </cell>
          <cell r="AW5">
            <v>14626.529230511682</v>
          </cell>
          <cell r="AY5">
            <v>7.5603043548648108E-2</v>
          </cell>
          <cell r="AZ5">
            <v>6.957328385899908E-3</v>
          </cell>
          <cell r="BA5">
            <v>4.0490312376433302E-2</v>
          </cell>
          <cell r="BC5">
            <v>1.5282922736128413E-2</v>
          </cell>
          <cell r="BD5">
            <v>5.7904257688367267E-2</v>
          </cell>
          <cell r="BE5">
            <v>3.6381406778382308E-2</v>
          </cell>
          <cell r="BG5">
            <v>5.2908095747224548E-2</v>
          </cell>
          <cell r="BH5">
            <v>2.7781330760726641E-2</v>
          </cell>
          <cell r="BI5">
            <v>4.0211492947100469E-2</v>
          </cell>
          <cell r="BK5">
            <v>3.2731887030572171E-2</v>
          </cell>
          <cell r="BL5">
            <v>2.9664753539456523E-2</v>
          </cell>
          <cell r="BM5">
            <v>3.1200578469233076E-2</v>
          </cell>
        </row>
        <row r="6">
          <cell r="B6" t="str">
            <v>Banking Non Interest Income</v>
          </cell>
          <cell r="C6">
            <v>1412</v>
          </cell>
          <cell r="D6">
            <v>1503</v>
          </cell>
          <cell r="E6">
            <v>2915</v>
          </cell>
          <cell r="F6">
            <v>5.8314234784823071</v>
          </cell>
          <cell r="G6">
            <v>1383</v>
          </cell>
          <cell r="H6">
            <v>1462</v>
          </cell>
          <cell r="I6">
            <v>2845</v>
          </cell>
          <cell r="K6">
            <v>1445</v>
          </cell>
          <cell r="L6">
            <v>1591</v>
          </cell>
          <cell r="M6">
            <v>3036</v>
          </cell>
          <cell r="O6">
            <v>1712</v>
          </cell>
          <cell r="P6">
            <v>1609</v>
          </cell>
          <cell r="Q6">
            <v>3321</v>
          </cell>
          <cell r="S6">
            <v>1541</v>
          </cell>
          <cell r="T6">
            <v>1771</v>
          </cell>
          <cell r="U6">
            <v>3312</v>
          </cell>
          <cell r="W6">
            <v>2036</v>
          </cell>
          <cell r="X6">
            <v>2140</v>
          </cell>
          <cell r="Y6">
            <v>4176</v>
          </cell>
          <cell r="AA6">
            <v>2078</v>
          </cell>
          <cell r="AB6">
            <v>2034</v>
          </cell>
          <cell r="AC6">
            <v>4112</v>
          </cell>
          <cell r="AE6">
            <v>2052</v>
          </cell>
          <cell r="AF6">
            <v>1944</v>
          </cell>
          <cell r="AG6">
            <v>3996</v>
          </cell>
          <cell r="AH6">
            <v>-2.8210116731517587</v>
          </cell>
          <cell r="AI6">
            <v>1927</v>
          </cell>
          <cell r="AJ6">
            <v>2000</v>
          </cell>
          <cell r="AK6">
            <v>3927</v>
          </cell>
          <cell r="AL6">
            <v>-1.7267267267267243</v>
          </cell>
          <cell r="AM6">
            <v>2119.1986211524754</v>
          </cell>
          <cell r="AN6">
            <v>2145.8471189253496</v>
          </cell>
          <cell r="AO6">
            <v>4265.045740077825</v>
          </cell>
          <cell r="AP6">
            <v>8.6082439541081044</v>
          </cell>
          <cell r="AQ6">
            <v>2182.396351804558</v>
          </cell>
          <cell r="AR6">
            <v>2219.4737780696782</v>
          </cell>
          <cell r="AS6">
            <v>4401.8701298742362</v>
          </cell>
          <cell r="AU6">
            <v>2264.3491048622323</v>
          </cell>
          <cell r="AV6">
            <v>2310.4010155666738</v>
          </cell>
          <cell r="AW6">
            <v>4574.7501204289065</v>
          </cell>
          <cell r="AY6">
            <v>-6.0916179337231924E-2</v>
          </cell>
          <cell r="AZ6">
            <v>2.8806584362139898E-2</v>
          </cell>
          <cell r="BA6">
            <v>-1.7267267267267239E-2</v>
          </cell>
          <cell r="BC6">
            <v>9.9739813779177622E-2</v>
          </cell>
          <cell r="BD6">
            <v>7.2923559462674703E-2</v>
          </cell>
          <cell r="BE6">
            <v>8.6082439541081079E-2</v>
          </cell>
          <cell r="BG6">
            <v>2.9821523108444659E-2</v>
          </cell>
          <cell r="BH6">
            <v>3.4311232377636225E-2</v>
          </cell>
          <cell r="BI6">
            <v>3.2080403853749662E-2</v>
          </cell>
          <cell r="BK6">
            <v>3.7551727480624741E-2</v>
          </cell>
          <cell r="BL6">
            <v>4.0967925999142452E-2</v>
          </cell>
          <cell r="BM6">
            <v>3.9274214243937511E-2</v>
          </cell>
        </row>
        <row r="7">
          <cell r="B7" t="str">
            <v>Wealth Management Income</v>
          </cell>
          <cell r="C7">
            <v>1231</v>
          </cell>
          <cell r="D7">
            <v>1242</v>
          </cell>
          <cell r="E7">
            <v>2473</v>
          </cell>
          <cell r="F7">
            <v>-11.25244618395304</v>
          </cell>
          <cell r="G7">
            <v>1114</v>
          </cell>
          <cell r="H7">
            <v>1117</v>
          </cell>
          <cell r="I7">
            <v>2231</v>
          </cell>
          <cell r="K7">
            <v>1310</v>
          </cell>
          <cell r="L7">
            <v>1221</v>
          </cell>
          <cell r="M7">
            <v>2531</v>
          </cell>
          <cell r="O7">
            <v>1360</v>
          </cell>
          <cell r="P7">
            <v>1480</v>
          </cell>
          <cell r="Q7">
            <v>2840</v>
          </cell>
          <cell r="S7">
            <v>1576</v>
          </cell>
          <cell r="T7">
            <v>1546</v>
          </cell>
          <cell r="U7">
            <v>3122</v>
          </cell>
          <cell r="W7">
            <v>1254</v>
          </cell>
          <cell r="X7">
            <v>1202</v>
          </cell>
          <cell r="Y7">
            <v>2456</v>
          </cell>
          <cell r="AA7">
            <v>1552</v>
          </cell>
          <cell r="AB7">
            <v>1527</v>
          </cell>
          <cell r="AC7">
            <v>3079</v>
          </cell>
          <cell r="AE7">
            <v>1510</v>
          </cell>
          <cell r="AF7">
            <v>1508</v>
          </cell>
          <cell r="AG7">
            <v>3018</v>
          </cell>
          <cell r="AH7">
            <v>-1.9811627151672582</v>
          </cell>
          <cell r="AI7">
            <v>1534</v>
          </cell>
          <cell r="AJ7">
            <v>1532</v>
          </cell>
          <cell r="AK7">
            <v>3066</v>
          </cell>
          <cell r="AL7">
            <v>1.5904572564612351</v>
          </cell>
          <cell r="AM7">
            <v>1662.0654066297543</v>
          </cell>
          <cell r="AN7">
            <v>1710.2549589846658</v>
          </cell>
          <cell r="AO7">
            <v>3372.3203656144206</v>
          </cell>
          <cell r="AP7">
            <v>9.990879504710378</v>
          </cell>
          <cell r="AQ7">
            <v>1846.6531101220135</v>
          </cell>
          <cell r="AR7">
            <v>1866.0928759498852</v>
          </cell>
          <cell r="AS7">
            <v>3712.7459860718986</v>
          </cell>
          <cell r="AU7">
            <v>1984.6792866255901</v>
          </cell>
          <cell r="AV7">
            <v>2002.8822013471249</v>
          </cell>
          <cell r="AW7">
            <v>3987.561487972715</v>
          </cell>
          <cell r="AY7">
            <v>1.5894039735099286E-2</v>
          </cell>
          <cell r="AZ7">
            <v>1.5915119363395291E-2</v>
          </cell>
          <cell r="BA7">
            <v>1.5904572564612307E-2</v>
          </cell>
          <cell r="BC7">
            <v>8.3484619706489127E-2</v>
          </cell>
          <cell r="BD7">
            <v>0.11635441186988627</v>
          </cell>
          <cell r="BE7">
            <v>9.9908795047103816E-2</v>
          </cell>
          <cell r="BG7">
            <v>0.11105922953210134</v>
          </cell>
          <cell r="BH7">
            <v>9.1119698935260729E-2</v>
          </cell>
          <cell r="BI7">
            <v>0.10094699896504467</v>
          </cell>
          <cell r="BK7">
            <v>7.4743965581308691E-2</v>
          </cell>
          <cell r="BL7">
            <v>7.3302528057511918E-2</v>
          </cell>
          <cell r="BM7">
            <v>7.4019473169391947E-2</v>
          </cell>
        </row>
        <row r="8">
          <cell r="B8" t="str">
            <v>Total Income</v>
          </cell>
          <cell r="C8">
            <v>5576</v>
          </cell>
          <cell r="D8">
            <v>5778</v>
          </cell>
          <cell r="E8">
            <v>11354</v>
          </cell>
          <cell r="F8">
            <v>3.3300248138957711E-2</v>
          </cell>
          <cell r="G8">
            <v>5455</v>
          </cell>
          <cell r="H8">
            <v>5647</v>
          </cell>
          <cell r="I8">
            <v>11102</v>
          </cell>
          <cell r="K8">
            <v>6010</v>
          </cell>
          <cell r="L8">
            <v>6071</v>
          </cell>
          <cell r="M8">
            <v>12081</v>
          </cell>
          <cell r="O8">
            <v>6557</v>
          </cell>
          <cell r="P8">
            <v>6640</v>
          </cell>
          <cell r="Q8">
            <v>13197</v>
          </cell>
          <cell r="S8">
            <v>7016</v>
          </cell>
          <cell r="T8">
            <v>7325</v>
          </cell>
          <cell r="U8">
            <v>14341</v>
          </cell>
          <cell r="W8">
            <v>7833</v>
          </cell>
          <cell r="X8">
            <v>8985</v>
          </cell>
          <cell r="Y8">
            <v>16818</v>
          </cell>
          <cell r="AA8">
            <v>9692</v>
          </cell>
          <cell r="AB8">
            <v>9367</v>
          </cell>
          <cell r="AC8">
            <v>19059</v>
          </cell>
          <cell r="AE8">
            <v>9739</v>
          </cell>
          <cell r="AF8">
            <v>9920</v>
          </cell>
          <cell r="AG8">
            <v>19659</v>
          </cell>
          <cell r="AH8">
            <v>3.1481189988981528E-2</v>
          </cell>
          <cell r="AI8">
            <v>10105</v>
          </cell>
          <cell r="AJ8">
            <v>10045</v>
          </cell>
          <cell r="AK8">
            <v>20150</v>
          </cell>
          <cell r="AL8">
            <v>2.4975838038557407E-2</v>
          </cell>
          <cell r="AM8">
            <v>10526.803766441068</v>
          </cell>
          <cell r="AN8">
            <v>10746.232508234352</v>
          </cell>
          <cell r="AO8">
            <v>21273.036274675422</v>
          </cell>
          <cell r="AP8">
            <v>5.573381015758927E-2</v>
          </cell>
          <cell r="AQ8">
            <v>11131.482862945079</v>
          </cell>
          <cell r="AR8">
            <v>11167.114076813288</v>
          </cell>
          <cell r="AS8">
            <v>22298.596939758369</v>
          </cell>
          <cell r="AU8">
            <v>11583.937840230628</v>
          </cell>
          <cell r="AV8">
            <v>11604.902998682672</v>
          </cell>
          <cell r="AW8">
            <v>23188.840838913304</v>
          </cell>
          <cell r="AY8">
            <v>3.7580860457952614E-2</v>
          </cell>
          <cell r="AZ8">
            <v>1.2600806451612989E-2</v>
          </cell>
          <cell r="BA8">
            <v>2.4975838038557407E-2</v>
          </cell>
          <cell r="BC8">
            <v>4.1742084754187836E-2</v>
          </cell>
          <cell r="BD8">
            <v>6.9809109829203742E-2</v>
          </cell>
          <cell r="BE8">
            <v>5.573381015758927E-2</v>
          </cell>
          <cell r="BG8">
            <v>5.7441851289343759E-2</v>
          </cell>
          <cell r="BH8">
            <v>3.9165499932784176E-2</v>
          </cell>
          <cell r="BI8">
            <v>4.8209416457575927E-2</v>
          </cell>
          <cell r="BK8">
            <v>4.0646424457221331E-2</v>
          </cell>
          <cell r="BL8">
            <v>3.9203407331387607E-2</v>
          </cell>
          <cell r="BM8">
            <v>3.992376298652367E-2</v>
          </cell>
        </row>
        <row r="9">
          <cell r="B9" t="str">
            <v>Operating Expenses</v>
          </cell>
          <cell r="C9">
            <v>-2856</v>
          </cell>
          <cell r="D9">
            <v>-2991</v>
          </cell>
          <cell r="E9">
            <v>-5847</v>
          </cell>
          <cell r="F9">
            <v>2.0226185297955612E-2</v>
          </cell>
          <cell r="G9">
            <v>-2869</v>
          </cell>
          <cell r="H9">
            <v>-3000</v>
          </cell>
          <cell r="I9">
            <v>-5869</v>
          </cell>
          <cell r="K9">
            <v>-2967</v>
          </cell>
          <cell r="L9">
            <v>-3027</v>
          </cell>
          <cell r="M9">
            <v>-5994</v>
          </cell>
          <cell r="O9">
            <v>-3144</v>
          </cell>
          <cell r="P9">
            <v>-3283</v>
          </cell>
          <cell r="Q9">
            <v>-6427</v>
          </cell>
          <cell r="S9">
            <v>-3378</v>
          </cell>
          <cell r="T9">
            <v>-3643</v>
          </cell>
          <cell r="U9">
            <v>-7021</v>
          </cell>
          <cell r="W9">
            <v>-3551</v>
          </cell>
          <cell r="X9">
            <v>-4214</v>
          </cell>
          <cell r="Y9">
            <v>-7765</v>
          </cell>
          <cell r="AA9">
            <v>-4268</v>
          </cell>
          <cell r="AB9">
            <v>-4333</v>
          </cell>
          <cell r="AC9">
            <v>-8601</v>
          </cell>
          <cell r="AE9">
            <v>-4408</v>
          </cell>
          <cell r="AF9">
            <v>-4483</v>
          </cell>
          <cell r="AG9">
            <v>-8891</v>
          </cell>
          <cell r="AH9">
            <v>-3.3717009650040763E-2</v>
          </cell>
          <cell r="AI9">
            <v>-4602</v>
          </cell>
          <cell r="AJ9">
            <v>-4594</v>
          </cell>
          <cell r="AK9">
            <v>-9196</v>
          </cell>
          <cell r="AL9">
            <v>-3.4304352716229891E-2</v>
          </cell>
          <cell r="AM9">
            <v>-4652.4970758251129</v>
          </cell>
          <cell r="AN9">
            <v>-4742.6554092089755</v>
          </cell>
          <cell r="AO9">
            <v>-9395.1524850340866</v>
          </cell>
          <cell r="AP9">
            <v>-2.1656425079826791E-2</v>
          </cell>
          <cell r="AQ9">
            <v>-4815.3876674828462</v>
          </cell>
          <cell r="AR9">
            <v>-4895.802053599492</v>
          </cell>
          <cell r="AS9">
            <v>-9711.1897210823372</v>
          </cell>
          <cell r="AU9">
            <v>-4939.7327384310811</v>
          </cell>
          <cell r="AV9">
            <v>-4982.1614869733266</v>
          </cell>
          <cell r="AW9">
            <v>-9921.8942254044086</v>
          </cell>
          <cell r="AY9">
            <v>4.4010889292195987E-2</v>
          </cell>
          <cell r="AZ9">
            <v>2.4760205219718889E-2</v>
          </cell>
          <cell r="BA9">
            <v>3.4304352716229891E-2</v>
          </cell>
          <cell r="BC9">
            <v>1.097285437312312E-2</v>
          </cell>
          <cell r="BD9">
            <v>3.2358600176093821E-2</v>
          </cell>
          <cell r="BE9">
            <v>2.1656425079826791E-2</v>
          </cell>
          <cell r="BG9">
            <v>3.5011433430905514E-2</v>
          </cell>
          <cell r="BH9">
            <v>3.2291328628503368E-2</v>
          </cell>
          <cell r="BI9">
            <v>3.3638329612178053E-2</v>
          </cell>
          <cell r="BK9">
            <v>2.5822442456275629E-2</v>
          </cell>
          <cell r="BL9">
            <v>1.7639486324889653E-2</v>
          </cell>
          <cell r="BM9">
            <v>2.1697084535857281E-2</v>
          </cell>
        </row>
        <row r="10">
          <cell r="B10" t="str">
            <v>Underlying Profit</v>
          </cell>
          <cell r="C10">
            <v>2720</v>
          </cell>
          <cell r="D10">
            <v>2787</v>
          </cell>
          <cell r="E10">
            <v>5507</v>
          </cell>
          <cell r="F10">
            <v>7.8236260726675111E-2</v>
          </cell>
          <cell r="G10">
            <v>2586</v>
          </cell>
          <cell r="H10">
            <v>2647</v>
          </cell>
          <cell r="I10">
            <v>5233</v>
          </cell>
          <cell r="K10">
            <v>3043</v>
          </cell>
          <cell r="L10">
            <v>3044</v>
          </cell>
          <cell r="M10">
            <v>6087</v>
          </cell>
          <cell r="O10">
            <v>3413</v>
          </cell>
          <cell r="P10">
            <v>3357</v>
          </cell>
          <cell r="Q10">
            <v>6770</v>
          </cell>
          <cell r="S10">
            <v>3638</v>
          </cell>
          <cell r="T10">
            <v>3682</v>
          </cell>
          <cell r="U10">
            <v>7320</v>
          </cell>
          <cell r="W10">
            <v>4282</v>
          </cell>
          <cell r="X10">
            <v>4771</v>
          </cell>
          <cell r="Y10">
            <v>9053</v>
          </cell>
          <cell r="AA10">
            <v>5424</v>
          </cell>
          <cell r="AB10">
            <v>5034</v>
          </cell>
          <cell r="AC10">
            <v>10458</v>
          </cell>
          <cell r="AE10">
            <v>5331</v>
          </cell>
          <cell r="AF10">
            <v>5437</v>
          </cell>
          <cell r="AG10">
            <v>10768</v>
          </cell>
          <cell r="AH10">
            <v>2.9642379039969358E-2</v>
          </cell>
          <cell r="AI10">
            <v>5503</v>
          </cell>
          <cell r="AJ10">
            <v>5451</v>
          </cell>
          <cell r="AK10">
            <v>10954</v>
          </cell>
          <cell r="AL10">
            <v>1.7273402674591321E-2</v>
          </cell>
          <cell r="AM10">
            <v>5874.3066906159547</v>
          </cell>
          <cell r="AN10">
            <v>6003.5770990253768</v>
          </cell>
          <cell r="AO10">
            <v>11877.883789641335</v>
          </cell>
          <cell r="AP10">
            <v>8.4342138911934983E-2</v>
          </cell>
          <cell r="AQ10">
            <v>6316.0951954622324</v>
          </cell>
          <cell r="AR10">
            <v>6271.3120232137962</v>
          </cell>
          <cell r="AS10">
            <v>12587.407218676031</v>
          </cell>
          <cell r="AU10">
            <v>6644.2051017995473</v>
          </cell>
          <cell r="AV10">
            <v>6622.7415117093451</v>
          </cell>
          <cell r="AW10">
            <v>13266.946613508895</v>
          </cell>
          <cell r="AY10">
            <v>3.2264115550553418E-2</v>
          </cell>
          <cell r="AZ10">
            <v>2.5749494206364076E-3</v>
          </cell>
          <cell r="BA10">
            <v>1.7273402674591321E-2</v>
          </cell>
          <cell r="BC10">
            <v>6.7473503655452349E-2</v>
          </cell>
          <cell r="BD10">
            <v>0.10137169308849336</v>
          </cell>
          <cell r="BE10">
            <v>8.4342138911934983E-2</v>
          </cell>
          <cell r="BG10">
            <v>7.5206918554664881E-2</v>
          </cell>
          <cell r="BH10">
            <v>4.4595900039641867E-2</v>
          </cell>
          <cell r="BI10">
            <v>5.9734835059884084E-2</v>
          </cell>
          <cell r="BK10">
            <v>5.1948220567201719E-2</v>
          </cell>
          <cell r="BL10">
            <v>5.6037634101875788E-2</v>
          </cell>
          <cell r="BM10">
            <v>5.3985652726371347E-2</v>
          </cell>
        </row>
        <row r="11">
          <cell r="B11" t="str">
            <v>Impairment Charges</v>
          </cell>
          <cell r="C11">
            <v>-146</v>
          </cell>
          <cell r="D11">
            <v>-176</v>
          </cell>
          <cell r="E11">
            <v>-322</v>
          </cell>
          <cell r="F11">
            <v>6.4279155188246007E-3</v>
          </cell>
          <cell r="G11">
            <v>-146</v>
          </cell>
          <cell r="H11">
            <v>-176</v>
          </cell>
          <cell r="I11">
            <v>-322</v>
          </cell>
          <cell r="K11">
            <v>-188</v>
          </cell>
          <cell r="L11">
            <v>-210</v>
          </cell>
          <cell r="M11">
            <v>-398</v>
          </cell>
          <cell r="O11">
            <v>-195</v>
          </cell>
          <cell r="P11">
            <v>-239</v>
          </cell>
          <cell r="Q11">
            <v>-434</v>
          </cell>
          <cell r="S11">
            <v>-333</v>
          </cell>
          <cell r="T11">
            <v>-597</v>
          </cell>
          <cell r="U11">
            <v>-930</v>
          </cell>
          <cell r="W11">
            <v>-1607</v>
          </cell>
          <cell r="X11">
            <v>-1441</v>
          </cell>
          <cell r="Y11">
            <v>-3048</v>
          </cell>
          <cell r="AA11">
            <v>-1383</v>
          </cell>
          <cell r="AB11">
            <v>-692</v>
          </cell>
          <cell r="AC11">
            <v>-2075</v>
          </cell>
          <cell r="AE11">
            <v>-722</v>
          </cell>
          <cell r="AF11">
            <v>-558</v>
          </cell>
          <cell r="AG11">
            <v>-1280</v>
          </cell>
          <cell r="AH11">
            <v>0.38313253012048187</v>
          </cell>
          <cell r="AI11">
            <v>-545</v>
          </cell>
          <cell r="AJ11">
            <v>-544</v>
          </cell>
          <cell r="AK11">
            <v>-1089</v>
          </cell>
          <cell r="AL11">
            <v>0.14921874999999996</v>
          </cell>
          <cell r="AM11">
            <v>-608.20167674158733</v>
          </cell>
          <cell r="AN11">
            <v>-664.56183983368214</v>
          </cell>
          <cell r="AO11">
            <v>-1272.7635165752695</v>
          </cell>
          <cell r="AP11">
            <v>-0.16874519428399393</v>
          </cell>
          <cell r="AQ11">
            <v>-767.07200275132118</v>
          </cell>
          <cell r="AR11">
            <v>-861.93893386309242</v>
          </cell>
          <cell r="AS11">
            <v>-1629.0109366144136</v>
          </cell>
          <cell r="AU11">
            <v>-920.88147494368377</v>
          </cell>
          <cell r="AV11">
            <v>-942.38228869130307</v>
          </cell>
          <cell r="AW11">
            <v>-1863.2637636349868</v>
          </cell>
          <cell r="AY11">
            <v>-0.24515235457063711</v>
          </cell>
          <cell r="AZ11">
            <v>-2.508960573476704E-2</v>
          </cell>
          <cell r="BA11">
            <v>-0.14921874999999996</v>
          </cell>
          <cell r="BC11">
            <v>0.11596637934236198</v>
          </cell>
          <cell r="BD11">
            <v>0.22162102910603343</v>
          </cell>
          <cell r="BE11">
            <v>0.16874519428399393</v>
          </cell>
          <cell r="BG11">
            <v>0.26121323252654349</v>
          </cell>
          <cell r="BH11">
            <v>0.29700335198122008</v>
          </cell>
          <cell r="BI11">
            <v>0.27990071635438496</v>
          </cell>
          <cell r="BK11">
            <v>0.20051503853703601</v>
          </cell>
          <cell r="BL11">
            <v>9.3328368945668316E-2</v>
          </cell>
          <cell r="BM11">
            <v>0.14380064722427388</v>
          </cell>
        </row>
        <row r="12">
          <cell r="B12" t="str">
            <v>Goodwill Amortisation</v>
          </cell>
          <cell r="C12">
            <v>-162</v>
          </cell>
          <cell r="D12">
            <v>-163</v>
          </cell>
          <cell r="E12">
            <v>-325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K12">
            <v>0</v>
          </cell>
          <cell r="L12">
            <v>0</v>
          </cell>
          <cell r="M12">
            <v>0</v>
          </cell>
          <cell r="O12">
            <v>0</v>
          </cell>
          <cell r="P12">
            <v>0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  <cell r="W12">
            <v>0</v>
          </cell>
          <cell r="X12">
            <v>0</v>
          </cell>
          <cell r="Y12">
            <v>0</v>
          </cell>
          <cell r="AA12">
            <v>0</v>
          </cell>
          <cell r="AB12">
            <v>0</v>
          </cell>
          <cell r="AC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U12">
            <v>0</v>
          </cell>
          <cell r="AV12">
            <v>0</v>
          </cell>
          <cell r="AW12">
            <v>0</v>
          </cell>
          <cell r="AY12">
            <v>0</v>
          </cell>
          <cell r="AZ12">
            <v>0</v>
          </cell>
          <cell r="BA12">
            <v>0</v>
          </cell>
          <cell r="BC12">
            <v>0</v>
          </cell>
          <cell r="BG12">
            <v>0</v>
          </cell>
        </row>
        <row r="13">
          <cell r="B13" t="str">
            <v>Pre Tax Profit</v>
          </cell>
          <cell r="C13">
            <v>2412</v>
          </cell>
          <cell r="D13">
            <v>2448</v>
          </cell>
          <cell r="E13">
            <v>4860</v>
          </cell>
          <cell r="F13">
            <v>8.7582361885453652E-2</v>
          </cell>
          <cell r="G13">
            <v>2440</v>
          </cell>
          <cell r="H13">
            <v>2471</v>
          </cell>
          <cell r="I13">
            <v>4911</v>
          </cell>
          <cell r="K13">
            <v>2855</v>
          </cell>
          <cell r="L13">
            <v>2834</v>
          </cell>
          <cell r="M13">
            <v>5689</v>
          </cell>
          <cell r="O13">
            <v>3218</v>
          </cell>
          <cell r="P13">
            <v>3118</v>
          </cell>
          <cell r="Q13">
            <v>6336</v>
          </cell>
          <cell r="S13">
            <v>3305</v>
          </cell>
          <cell r="T13">
            <v>3085</v>
          </cell>
          <cell r="U13">
            <v>6390</v>
          </cell>
          <cell r="W13">
            <v>2675</v>
          </cell>
          <cell r="X13">
            <v>3330</v>
          </cell>
          <cell r="Y13">
            <v>6005</v>
          </cell>
          <cell r="AA13">
            <v>4041</v>
          </cell>
          <cell r="AB13">
            <v>4342</v>
          </cell>
          <cell r="AC13">
            <v>8383</v>
          </cell>
          <cell r="AE13">
            <v>4609</v>
          </cell>
          <cell r="AF13">
            <v>4879</v>
          </cell>
          <cell r="AG13">
            <v>9488</v>
          </cell>
          <cell r="AH13">
            <v>0.13181438625790287</v>
          </cell>
          <cell r="AI13">
            <v>4958</v>
          </cell>
          <cell r="AJ13">
            <v>4907</v>
          </cell>
          <cell r="AK13">
            <v>9865</v>
          </cell>
          <cell r="AL13">
            <v>3.9734401349072579E-2</v>
          </cell>
          <cell r="AM13">
            <v>5266.1050138743676</v>
          </cell>
          <cell r="AN13">
            <v>5339.0152591916949</v>
          </cell>
          <cell r="AO13">
            <v>10605.120273066066</v>
          </cell>
          <cell r="AP13">
            <v>7.5024862956519556E-2</v>
          </cell>
          <cell r="AQ13">
            <v>5549.0231927109107</v>
          </cell>
          <cell r="AR13">
            <v>5409.3730893507036</v>
          </cell>
          <cell r="AS13">
            <v>10958.396282061618</v>
          </cell>
          <cell r="AU13">
            <v>5723.323626855863</v>
          </cell>
          <cell r="AV13">
            <v>5680.359223018042</v>
          </cell>
          <cell r="AW13">
            <v>11403.682849873909</v>
          </cell>
          <cell r="AY13">
            <v>7.5721414623562522E-2</v>
          </cell>
          <cell r="AZ13">
            <v>5.7388809182210565E-3</v>
          </cell>
          <cell r="BA13">
            <v>3.9734401349072579E-2</v>
          </cell>
          <cell r="BC13">
            <v>6.2143004008545333E-2</v>
          </cell>
          <cell r="BD13">
            <v>8.8040607130975168E-2</v>
          </cell>
          <cell r="BE13">
            <v>7.5024862956519556E-2</v>
          </cell>
          <cell r="BG13">
            <v>5.3724370875846805E-2</v>
          </cell>
          <cell r="BH13">
            <v>1.3178053768975406E-2</v>
          </cell>
          <cell r="BI13">
            <v>3.3311834274314611E-2</v>
          </cell>
          <cell r="BK13">
            <v>3.1411012009088468E-2</v>
          </cell>
          <cell r="BL13">
            <v>5.0095663432944137E-2</v>
          </cell>
          <cell r="BM13">
            <v>4.0634282275519018E-2</v>
          </cell>
        </row>
        <row r="14">
          <cell r="B14" t="str">
            <v>Tax Expense</v>
          </cell>
          <cell r="C14">
            <v>-813</v>
          </cell>
          <cell r="D14">
            <v>-824</v>
          </cell>
          <cell r="E14">
            <v>-1637</v>
          </cell>
          <cell r="F14">
            <v>-7.9312865497076057E-2</v>
          </cell>
          <cell r="G14">
            <v>-702</v>
          </cell>
          <cell r="H14">
            <v>-707</v>
          </cell>
          <cell r="I14">
            <v>-1409</v>
          </cell>
          <cell r="K14">
            <v>-776</v>
          </cell>
          <cell r="L14">
            <v>-829</v>
          </cell>
          <cell r="M14">
            <v>-1605</v>
          </cell>
          <cell r="O14">
            <v>-909</v>
          </cell>
          <cell r="P14">
            <v>-873</v>
          </cell>
          <cell r="Q14">
            <v>-1782</v>
          </cell>
          <cell r="S14">
            <v>-905</v>
          </cell>
          <cell r="T14">
            <v>-721</v>
          </cell>
          <cell r="U14">
            <v>-1626</v>
          </cell>
          <cell r="W14">
            <v>-646</v>
          </cell>
          <cell r="X14">
            <v>-914</v>
          </cell>
          <cell r="Y14">
            <v>-1560</v>
          </cell>
          <cell r="AA14">
            <v>-1089</v>
          </cell>
          <cell r="AB14">
            <v>-1177</v>
          </cell>
          <cell r="AC14">
            <v>-2266</v>
          </cell>
          <cell r="AE14">
            <v>-1265</v>
          </cell>
          <cell r="AF14">
            <v>-1372</v>
          </cell>
          <cell r="AG14">
            <v>-2637</v>
          </cell>
          <cell r="AH14">
            <v>-0.16372462488967354</v>
          </cell>
          <cell r="AI14">
            <v>-1373</v>
          </cell>
          <cell r="AJ14">
            <v>-1363</v>
          </cell>
          <cell r="AK14">
            <v>-2736</v>
          </cell>
          <cell r="AL14">
            <v>-3.7542662116040848E-2</v>
          </cell>
          <cell r="AM14">
            <v>-1446.5540710077412</v>
          </cell>
          <cell r="AN14">
            <v>-1465.9997276807965</v>
          </cell>
          <cell r="AO14">
            <v>-2912.5537986885374</v>
          </cell>
          <cell r="AP14">
            <v>-6.4529897181482943E-2</v>
          </cell>
          <cell r="AQ14">
            <v>-1523.31902755391</v>
          </cell>
          <cell r="AR14">
            <v>-1484.540538507058</v>
          </cell>
          <cell r="AS14">
            <v>-3007.8595660609681</v>
          </cell>
          <cell r="AU14">
            <v>-1570.4316109920621</v>
          </cell>
          <cell r="AV14">
            <v>-1559.2448256324908</v>
          </cell>
          <cell r="AW14">
            <v>-3129.6764366245529</v>
          </cell>
          <cell r="AY14">
            <v>8.5375494071146196E-2</v>
          </cell>
          <cell r="AZ14">
            <v>-6.5597667638483959E-3</v>
          </cell>
          <cell r="BA14">
            <v>3.7542662116040848E-2</v>
          </cell>
          <cell r="BC14">
            <v>5.35717924309842E-2</v>
          </cell>
          <cell r="BD14">
            <v>7.5568398885397237E-2</v>
          </cell>
          <cell r="BE14">
            <v>6.4529897181482943E-2</v>
          </cell>
          <cell r="BG14">
            <v>5.3067464317245072E-2</v>
          </cell>
          <cell r="BH14">
            <v>1.2647213008417868E-2</v>
          </cell>
          <cell r="BI14">
            <v>3.2722405819712197E-2</v>
          </cell>
          <cell r="BK14">
            <v>3.0927588105955639E-2</v>
          </cell>
          <cell r="BL14">
            <v>5.0321486808679428E-2</v>
          </cell>
          <cell r="BM14">
            <v>4.0499520635238317E-2</v>
          </cell>
        </row>
        <row r="15">
          <cell r="B15" t="str">
            <v>Reported NPAT</v>
          </cell>
          <cell r="C15">
            <v>1859</v>
          </cell>
          <cell r="D15">
            <v>2132</v>
          </cell>
          <cell r="E15">
            <v>3991</v>
          </cell>
          <cell r="F15">
            <v>7.4471086036671297E-2</v>
          </cell>
          <cell r="G15">
            <v>1712</v>
          </cell>
          <cell r="H15">
            <v>1688</v>
          </cell>
          <cell r="I15">
            <v>3400</v>
          </cell>
          <cell r="K15">
            <v>1999</v>
          </cell>
          <cell r="L15">
            <v>1929</v>
          </cell>
          <cell r="M15">
            <v>3928</v>
          </cell>
          <cell r="O15">
            <v>2191</v>
          </cell>
          <cell r="P15">
            <v>2279</v>
          </cell>
          <cell r="Q15">
            <v>4470</v>
          </cell>
          <cell r="S15">
            <v>2371</v>
          </cell>
          <cell r="T15">
            <v>2420</v>
          </cell>
          <cell r="U15">
            <v>4791</v>
          </cell>
          <cell r="W15">
            <v>2573</v>
          </cell>
          <cell r="X15">
            <v>2150</v>
          </cell>
          <cell r="Y15">
            <v>4723</v>
          </cell>
          <cell r="AA15">
            <v>2914</v>
          </cell>
          <cell r="AB15">
            <v>2750</v>
          </cell>
          <cell r="AC15">
            <v>5664</v>
          </cell>
          <cell r="AE15">
            <v>3052</v>
          </cell>
          <cell r="AF15">
            <v>3342</v>
          </cell>
          <cell r="AG15">
            <v>6394</v>
          </cell>
          <cell r="AH15">
            <v>0.12888418079096042</v>
          </cell>
          <cell r="AI15">
            <v>3624</v>
          </cell>
          <cell r="AJ15">
            <v>3466</v>
          </cell>
          <cell r="AK15">
            <v>7090</v>
          </cell>
          <cell r="AL15">
            <v>0.10885204879574606</v>
          </cell>
          <cell r="AM15">
            <v>3791.7509428666262</v>
          </cell>
          <cell r="AN15">
            <v>3844.3835315108986</v>
          </cell>
          <cell r="AO15">
            <v>7636.1344743775289</v>
          </cell>
          <cell r="AP15">
            <v>7.7028839827578022E-2</v>
          </cell>
          <cell r="AQ15">
            <v>3996.2068851570007</v>
          </cell>
          <cell r="AR15">
            <v>3894.4353796436453</v>
          </cell>
          <cell r="AS15">
            <v>7890.6422648006501</v>
          </cell>
          <cell r="AU15">
            <v>4121.5589578158015</v>
          </cell>
          <cell r="AV15">
            <v>4088.8080170156313</v>
          </cell>
          <cell r="AW15">
            <v>8210.3669748314351</v>
          </cell>
          <cell r="AY15">
            <v>0.18741808650065539</v>
          </cell>
          <cell r="AZ15">
            <v>3.7103530819868391E-2</v>
          </cell>
          <cell r="BA15">
            <v>0.10885204879574606</v>
          </cell>
          <cell r="BC15">
            <v>4.6288891519488562E-2</v>
          </cell>
          <cell r="BD15">
            <v>0.10917008987619692</v>
          </cell>
          <cell r="BE15">
            <v>7.7028839827578022E-2</v>
          </cell>
          <cell r="BG15">
            <v>5.3921247827475316E-2</v>
          </cell>
          <cell r="BH15">
            <v>1.3019473141139937E-2</v>
          </cell>
          <cell r="BI15">
            <v>3.3329401319097007E-2</v>
          </cell>
          <cell r="BK15">
            <v>3.1367763547075711E-2</v>
          </cell>
          <cell r="BL15">
            <v>4.9910351161038369E-2</v>
          </cell>
          <cell r="BM15">
            <v>4.0519478554622124E-2</v>
          </cell>
        </row>
        <row r="16">
          <cell r="B16" t="str">
            <v>Reported Cash Profit</v>
          </cell>
          <cell r="C16">
            <v>1756</v>
          </cell>
          <cell r="D16">
            <v>1782</v>
          </cell>
          <cell r="E16">
            <v>3538</v>
          </cell>
          <cell r="F16">
            <v>7.4471086036671297E-2</v>
          </cell>
          <cell r="G16">
            <v>1733</v>
          </cell>
          <cell r="H16">
            <v>1759</v>
          </cell>
          <cell r="I16">
            <v>3492</v>
          </cell>
          <cell r="K16">
            <v>2061</v>
          </cell>
          <cell r="L16">
            <v>1992</v>
          </cell>
          <cell r="M16">
            <v>4053</v>
          </cell>
          <cell r="O16">
            <v>2296</v>
          </cell>
          <cell r="P16">
            <v>2231</v>
          </cell>
          <cell r="Q16">
            <v>4527</v>
          </cell>
          <cell r="S16">
            <v>2385</v>
          </cell>
          <cell r="T16">
            <v>2379</v>
          </cell>
          <cell r="U16">
            <v>4764</v>
          </cell>
          <cell r="W16">
            <v>2013</v>
          </cell>
          <cell r="X16">
            <v>2402</v>
          </cell>
          <cell r="Y16">
            <v>4415</v>
          </cell>
          <cell r="AA16">
            <v>2943</v>
          </cell>
          <cell r="AB16">
            <v>3158</v>
          </cell>
          <cell r="AC16">
            <v>6101</v>
          </cell>
          <cell r="AE16">
            <v>3335</v>
          </cell>
          <cell r="AF16">
            <v>3500</v>
          </cell>
          <cell r="AG16">
            <v>6835</v>
          </cell>
          <cell r="AH16">
            <v>0.12888418079096042</v>
          </cell>
          <cell r="AI16">
            <v>3576</v>
          </cell>
          <cell r="AJ16">
            <v>3537</v>
          </cell>
          <cell r="AK16">
            <v>7113</v>
          </cell>
          <cell r="AL16">
            <v>0.10885204879574606</v>
          </cell>
          <cell r="AM16">
            <v>3812.5509428666264</v>
          </cell>
          <cell r="AN16">
            <v>3866.0155315108987</v>
          </cell>
          <cell r="AO16">
            <v>7678.5664743775287</v>
          </cell>
          <cell r="AP16">
            <v>7.7028839827578022E-2</v>
          </cell>
          <cell r="AQ16">
            <v>4018.7041651570007</v>
          </cell>
          <cell r="AR16">
            <v>3917.8325508436455</v>
          </cell>
          <cell r="AS16">
            <v>7936.5367160006499</v>
          </cell>
          <cell r="AU16">
            <v>4145.8920158638011</v>
          </cell>
          <cell r="AV16">
            <v>4114.1143973855515</v>
          </cell>
          <cell r="AW16">
            <v>8260.0064132493553</v>
          </cell>
          <cell r="AY16">
            <v>7.2263868065967074E-2</v>
          </cell>
          <cell r="AZ16">
            <v>1.0571428571428676E-2</v>
          </cell>
          <cell r="BA16">
            <v>4.0673006583760163E-2</v>
          </cell>
          <cell r="BC16">
            <v>6.6149592524224365E-2</v>
          </cell>
          <cell r="BD16">
            <v>9.3021071956714385E-2</v>
          </cell>
          <cell r="BE16">
            <v>7.9511665173278345E-2</v>
          </cell>
          <cell r="BG16">
            <v>5.4072253821576322E-2</v>
          </cell>
          <cell r="BH16">
            <v>1.3403210336430327E-2</v>
          </cell>
          <cell r="BI16">
            <v>3.3596146166597229E-2</v>
          </cell>
          <cell r="BK16">
            <v>3.1648970782558683E-2</v>
          </cell>
          <cell r="BL16">
            <v>5.0099600734502925E-2</v>
          </cell>
          <cell r="BM16">
            <v>4.0757034059524466E-2</v>
          </cell>
        </row>
        <row r="17">
          <cell r="B17" t="str">
            <v>Modelware Profit</v>
          </cell>
          <cell r="C17">
            <v>1714</v>
          </cell>
          <cell r="D17">
            <v>1798</v>
          </cell>
          <cell r="E17">
            <v>3512</v>
          </cell>
          <cell r="F17">
            <v>9.1783340404469005E-2</v>
          </cell>
          <cell r="G17">
            <v>1691</v>
          </cell>
          <cell r="H17">
            <v>1775</v>
          </cell>
          <cell r="I17">
            <v>3466</v>
          </cell>
          <cell r="K17">
            <v>1925.8000000000002</v>
          </cell>
          <cell r="L17">
            <v>1973.2</v>
          </cell>
          <cell r="M17">
            <v>3899</v>
          </cell>
          <cell r="O17">
            <v>2268</v>
          </cell>
          <cell r="P17">
            <v>2220</v>
          </cell>
          <cell r="Q17">
            <v>4488</v>
          </cell>
          <cell r="S17">
            <v>2360</v>
          </cell>
          <cell r="T17">
            <v>2325</v>
          </cell>
          <cell r="U17">
            <v>4685</v>
          </cell>
          <cell r="W17">
            <v>1987</v>
          </cell>
          <cell r="X17">
            <v>2371</v>
          </cell>
          <cell r="Y17">
            <v>4358</v>
          </cell>
          <cell r="AA17">
            <v>2919</v>
          </cell>
          <cell r="AB17">
            <v>3135</v>
          </cell>
          <cell r="AC17">
            <v>6054</v>
          </cell>
          <cell r="AE17">
            <v>3313</v>
          </cell>
          <cell r="AF17">
            <v>3480</v>
          </cell>
          <cell r="AG17">
            <v>6793</v>
          </cell>
          <cell r="AH17">
            <v>0.12206805417905509</v>
          </cell>
          <cell r="AI17">
            <v>3556</v>
          </cell>
          <cell r="AJ17">
            <v>3515</v>
          </cell>
          <cell r="AK17">
            <v>7071</v>
          </cell>
          <cell r="AL17">
            <v>4.0924481083468356E-2</v>
          </cell>
          <cell r="AM17">
            <v>3790.5509428666264</v>
          </cell>
          <cell r="AN17">
            <v>3844.0155315108987</v>
          </cell>
          <cell r="AO17">
            <v>7634.5664743775287</v>
          </cell>
          <cell r="AP17">
            <v>7.9701099473558079E-2</v>
          </cell>
          <cell r="AQ17">
            <v>3996.7041651570007</v>
          </cell>
          <cell r="AR17">
            <v>3895.8325508436455</v>
          </cell>
          <cell r="AS17">
            <v>7892.5367160006499</v>
          </cell>
          <cell r="AU17">
            <v>4123.8920158638011</v>
          </cell>
          <cell r="AV17">
            <v>4092.1143973855515</v>
          </cell>
          <cell r="AW17">
            <v>8216.0064132493553</v>
          </cell>
          <cell r="AY17">
            <v>7.334741925747057E-2</v>
          </cell>
          <cell r="AZ17">
            <v>1.0057471264367734E-2</v>
          </cell>
          <cell r="BA17">
            <v>4.0924481083468356E-2</v>
          </cell>
          <cell r="BC17">
            <v>6.5959207780266205E-2</v>
          </cell>
          <cell r="BD17">
            <v>9.360328065743917E-2</v>
          </cell>
          <cell r="BE17">
            <v>7.9701099473558079E-2</v>
          </cell>
          <cell r="BG17">
            <v>5.4386084080555674E-2</v>
          </cell>
          <cell r="BH17">
            <v>1.3479919346834679E-2</v>
          </cell>
          <cell r="BI17">
            <v>3.3789769529009694E-2</v>
          </cell>
          <cell r="BK17">
            <v>3.1823183666085608E-2</v>
          </cell>
          <cell r="BL17">
            <v>5.0382516183710369E-2</v>
          </cell>
          <cell r="BM17">
            <v>4.0984249917131343E-2</v>
          </cell>
        </row>
        <row r="18">
          <cell r="B18" t="str">
            <v>Basic Cash EPS</v>
          </cell>
          <cell r="C18">
            <v>135.0669818754925</v>
          </cell>
          <cell r="D18">
            <v>140.79874706342991</v>
          </cell>
          <cell r="E18">
            <v>275.88373919874311</v>
          </cell>
          <cell r="F18">
            <v>7.2689065868975575</v>
          </cell>
          <cell r="G18">
            <v>133.67588932806325</v>
          </cell>
          <cell r="H18">
            <v>139.43440691280441</v>
          </cell>
          <cell r="I18">
            <v>273.12844759653274</v>
          </cell>
          <cell r="K18">
            <v>149.57064793130368</v>
          </cell>
          <cell r="L18">
            <v>155.01945525291831</v>
          </cell>
          <cell r="M18">
            <v>304.59859703819177</v>
          </cell>
          <cell r="O18">
            <v>176.63551401869159</v>
          </cell>
          <cell r="P18">
            <v>170.45630317092034</v>
          </cell>
          <cell r="Q18">
            <v>347.070236709352</v>
          </cell>
          <cell r="S18">
            <v>180.70444104134762</v>
          </cell>
          <cell r="T18">
            <v>176.24317768344451</v>
          </cell>
          <cell r="U18">
            <v>356.92518665244557</v>
          </cell>
          <cell r="W18">
            <v>146.3181148748159</v>
          </cell>
          <cell r="X18">
            <v>158.5433536834081</v>
          </cell>
          <cell r="Y18">
            <v>305.61009817671811</v>
          </cell>
          <cell r="AA18">
            <v>191.66119500984897</v>
          </cell>
          <cell r="AB18">
            <v>203.70370370370372</v>
          </cell>
          <cell r="AC18">
            <v>395.45365471291393</v>
          </cell>
          <cell r="AE18">
            <v>214.29495472186289</v>
          </cell>
          <cell r="AF18">
            <v>224.37137330754351</v>
          </cell>
          <cell r="AG18">
            <v>438.82428940568474</v>
          </cell>
          <cell r="AH18">
            <v>10.967311637126343</v>
          </cell>
          <cell r="AI18">
            <v>227.36572890025576</v>
          </cell>
          <cell r="AJ18">
            <v>222.04674668351231</v>
          </cell>
          <cell r="AK18">
            <v>449.52320406865863</v>
          </cell>
          <cell r="AL18">
            <v>2.4380862502993494</v>
          </cell>
          <cell r="AM18">
            <v>236.80484333619148</v>
          </cell>
          <cell r="AN18">
            <v>238.02091499128341</v>
          </cell>
          <cell r="AO18">
            <v>474.83116006014853</v>
          </cell>
          <cell r="AP18">
            <v>5.6299554199708268</v>
          </cell>
          <cell r="AQ18">
            <v>245.60138406634366</v>
          </cell>
          <cell r="AR18">
            <v>237.64392584278227</v>
          </cell>
          <cell r="AS18">
            <v>483.21597196563732</v>
          </cell>
          <cell r="AU18">
            <v>253.48412454541048</v>
          </cell>
          <cell r="AV18">
            <v>253.52746571257256</v>
          </cell>
          <cell r="AW18">
            <v>507.01141891944002</v>
          </cell>
          <cell r="AY18">
            <v>6.0994315966783397E-2</v>
          </cell>
          <cell r="AZ18">
            <v>-1.0360620384690766E-2</v>
          </cell>
          <cell r="BA18">
            <v>2.4380862502993539E-2</v>
          </cell>
          <cell r="BC18">
            <v>4.1515115235667865E-2</v>
          </cell>
          <cell r="BD18">
            <v>7.194056452688935E-2</v>
          </cell>
          <cell r="BE18">
            <v>5.6299554199708224E-2</v>
          </cell>
          <cell r="BG18">
            <v>3.7146793985390447E-2</v>
          </cell>
          <cell r="BH18">
            <v>-1.583848833263013E-3</v>
          </cell>
          <cell r="BI18">
            <v>1.7658512352952238E-2</v>
          </cell>
          <cell r="BK18">
            <v>3.2095667982626086E-2</v>
          </cell>
          <cell r="BL18">
            <v>6.6837558811826403E-2</v>
          </cell>
          <cell r="BM18">
            <v>4.924391645625259E-2</v>
          </cell>
        </row>
        <row r="19">
          <cell r="B19" t="str">
            <v>Basic Cash EPS</v>
          </cell>
          <cell r="C19">
            <v>233.70927318295739</v>
          </cell>
          <cell r="D19">
            <v>248.44333748443339</v>
          </cell>
          <cell r="E19">
            <v>482.19862585883828</v>
          </cell>
          <cell r="F19">
            <v>7.2689065868975575</v>
          </cell>
          <cell r="G19">
            <v>263.82846488502179</v>
          </cell>
          <cell r="H19">
            <v>267.93145898102642</v>
          </cell>
          <cell r="I19">
            <v>531.76643176983987</v>
          </cell>
          <cell r="K19">
            <v>149.57064793130368</v>
          </cell>
          <cell r="L19">
            <v>155.01945525291831</v>
          </cell>
          <cell r="M19">
            <v>304.59859703819177</v>
          </cell>
          <cell r="O19">
            <v>176.63551401869159</v>
          </cell>
          <cell r="P19">
            <v>170.45630317092034</v>
          </cell>
          <cell r="Q19">
            <v>347.070236709352</v>
          </cell>
          <cell r="S19">
            <v>180.70444104134762</v>
          </cell>
          <cell r="T19">
            <v>176.24317768344451</v>
          </cell>
          <cell r="U19">
            <v>356.92518665244557</v>
          </cell>
          <cell r="W19">
            <v>146.3181148748159</v>
          </cell>
          <cell r="X19">
            <v>158.5433536834081</v>
          </cell>
          <cell r="Y19">
            <v>305.61009817671811</v>
          </cell>
          <cell r="AA19">
            <v>191.66119500984897</v>
          </cell>
          <cell r="AB19">
            <v>203.70370370370372</v>
          </cell>
          <cell r="AC19">
            <v>395.45365471291393</v>
          </cell>
          <cell r="AE19">
            <v>214.29495472186289</v>
          </cell>
          <cell r="AF19">
            <v>224.37137330754351</v>
          </cell>
          <cell r="AG19">
            <v>438.82428940568474</v>
          </cell>
          <cell r="AH19">
            <v>10.967311637126343</v>
          </cell>
          <cell r="AI19">
            <v>227.36572890025576</v>
          </cell>
          <cell r="AJ19">
            <v>222.04674668351231</v>
          </cell>
          <cell r="AK19">
            <v>449.52320406865863</v>
          </cell>
          <cell r="AL19">
            <v>2.4380862502993494</v>
          </cell>
          <cell r="AM19">
            <v>236.80484333619148</v>
          </cell>
          <cell r="AN19">
            <v>238.02091499128341</v>
          </cell>
          <cell r="AO19">
            <v>474.83116006014853</v>
          </cell>
          <cell r="AP19">
            <v>5.6299554199708268</v>
          </cell>
          <cell r="AQ19">
            <v>245.60138406634366</v>
          </cell>
          <cell r="AR19">
            <v>237.64392584278227</v>
          </cell>
          <cell r="AS19">
            <v>483.21597196563732</v>
          </cell>
          <cell r="AU19">
            <v>253.48412454541048</v>
          </cell>
          <cell r="AV19">
            <v>253.52746571257256</v>
          </cell>
          <cell r="AW19">
            <v>507.01141891944002</v>
          </cell>
          <cell r="AY19">
            <v>6.0994315966783397E-2</v>
          </cell>
          <cell r="AZ19">
            <v>-1.0360620384690766E-2</v>
          </cell>
          <cell r="BA19">
            <v>2.4380862502993539E-2</v>
          </cell>
          <cell r="BC19">
            <v>4.1515115235667865E-2</v>
          </cell>
          <cell r="BD19">
            <v>7.194056452688935E-2</v>
          </cell>
          <cell r="BE19">
            <v>5.6299554199708224E-2</v>
          </cell>
          <cell r="BG19">
            <v>3.7146793985390447E-2</v>
          </cell>
          <cell r="BH19">
            <v>-1.583848833263013E-3</v>
          </cell>
          <cell r="BI19">
            <v>1.7658512352952238E-2</v>
          </cell>
          <cell r="BK19">
            <v>3.2095667982626086E-2</v>
          </cell>
          <cell r="BL19">
            <v>6.6837558811826403E-2</v>
          </cell>
          <cell r="BM19">
            <v>4.924391645625259E-2</v>
          </cell>
        </row>
        <row r="20">
          <cell r="B20" t="str">
            <v>Modelware EPS</v>
          </cell>
          <cell r="C20">
            <v>134.96062992125982</v>
          </cell>
          <cell r="D20">
            <v>140.68857589984353</v>
          </cell>
          <cell r="E20">
            <v>275.66718995290421</v>
          </cell>
          <cell r="F20">
            <v>8.0712482989291345</v>
          </cell>
          <cell r="G20">
            <v>130.42824943651391</v>
          </cell>
          <cell r="H20">
            <v>136.94507148231753</v>
          </cell>
          <cell r="I20">
            <v>267.36842105263156</v>
          </cell>
          <cell r="K20">
            <v>147.92198049512376</v>
          </cell>
          <cell r="L20">
            <v>150.83333333333334</v>
          </cell>
          <cell r="M20">
            <v>298.87892376681611</v>
          </cell>
          <cell r="O20">
            <v>172.65646301113463</v>
          </cell>
          <cell r="P20">
            <v>169.24778761061947</v>
          </cell>
          <cell r="Q20">
            <v>343.17425083240846</v>
          </cell>
          <cell r="S20">
            <v>177.92207792207793</v>
          </cell>
          <cell r="T20">
            <v>169.86778009742517</v>
          </cell>
          <cell r="U20">
            <v>343.05089485458615</v>
          </cell>
          <cell r="W20">
            <v>136.59961064243998</v>
          </cell>
          <cell r="X20">
            <v>150.85100989805193</v>
          </cell>
          <cell r="Y20">
            <v>292.37885094146634</v>
          </cell>
          <cell r="AA20">
            <v>185.11426806670787</v>
          </cell>
          <cell r="AB20">
            <v>195.24954900781719</v>
          </cell>
          <cell r="AC20">
            <v>379.82845671877851</v>
          </cell>
          <cell r="AE20">
            <v>205.69203115638106</v>
          </cell>
          <cell r="AF20">
            <v>215.01196172248802</v>
          </cell>
          <cell r="AG20">
            <v>420.58647516457211</v>
          </cell>
          <cell r="AH20">
            <v>10.730638456604751</v>
          </cell>
          <cell r="AI20">
            <v>218.89952153110048</v>
          </cell>
          <cell r="AJ20">
            <v>213.98933017190279</v>
          </cell>
          <cell r="AK20">
            <v>433.51222420989865</v>
          </cell>
          <cell r="AL20">
            <v>3.0732678791605963</v>
          </cell>
          <cell r="AM20">
            <v>228.51906127383245</v>
          </cell>
          <cell r="AN20">
            <v>231.11435932887397</v>
          </cell>
          <cell r="AO20">
            <v>459.64082717913197</v>
          </cell>
          <cell r="AP20">
            <v>6.0271894332055496</v>
          </cell>
          <cell r="AQ20">
            <v>238.92805723324796</v>
          </cell>
          <cell r="AR20">
            <v>231.98331226589954</v>
          </cell>
          <cell r="AS20">
            <v>470.895427591969</v>
          </cell>
          <cell r="AU20">
            <v>247.55905505059764</v>
          </cell>
          <cell r="AV20">
            <v>248.10630630902963</v>
          </cell>
          <cell r="AW20">
            <v>495.66269393935744</v>
          </cell>
          <cell r="AY20">
            <v>6.4210024571531354E-2</v>
          </cell>
          <cell r="AZ20">
            <v>-4.7561612032781531E-3</v>
          </cell>
          <cell r="BA20">
            <v>3.0732678791606016E-2</v>
          </cell>
          <cell r="BC20">
            <v>4.3945001229092506E-2</v>
          </cell>
          <cell r="BD20">
            <v>8.0027490824959413E-2</v>
          </cell>
          <cell r="BE20">
            <v>6.0271894332055487E-2</v>
          </cell>
          <cell r="BG20">
            <v>4.5549793095563729E-2</v>
          </cell>
          <cell r="BH20">
            <v>3.7598396722249294E-3</v>
          </cell>
          <cell r="BI20">
            <v>2.4485641281928316E-2</v>
          </cell>
          <cell r="BK20">
            <v>3.6123835422659845E-2</v>
          </cell>
          <cell r="BL20">
            <v>6.9500663153950981E-2</v>
          </cell>
          <cell r="BM20">
            <v>5.2596107110322698E-2</v>
          </cell>
        </row>
        <row r="21">
          <cell r="B21" t="str">
            <v>Dividend per Share</v>
          </cell>
          <cell r="C21">
            <v>85</v>
          </cell>
          <cell r="D21">
            <v>112</v>
          </cell>
          <cell r="E21">
            <v>197</v>
          </cell>
          <cell r="F21">
            <v>8.9820359281437021</v>
          </cell>
          <cell r="G21">
            <v>85</v>
          </cell>
          <cell r="H21">
            <v>112</v>
          </cell>
          <cell r="I21">
            <v>197</v>
          </cell>
          <cell r="K21">
            <v>94</v>
          </cell>
          <cell r="L21">
            <v>130</v>
          </cell>
          <cell r="M21">
            <v>224</v>
          </cell>
          <cell r="O21">
            <v>107</v>
          </cell>
          <cell r="P21">
            <v>149</v>
          </cell>
          <cell r="Q21">
            <v>256</v>
          </cell>
          <cell r="S21">
            <v>113</v>
          </cell>
          <cell r="T21">
            <v>153</v>
          </cell>
          <cell r="U21">
            <v>266</v>
          </cell>
          <cell r="W21">
            <v>113</v>
          </cell>
          <cell r="X21">
            <v>115</v>
          </cell>
          <cell r="Y21">
            <v>228</v>
          </cell>
          <cell r="AA21">
            <v>120</v>
          </cell>
          <cell r="AB21">
            <v>170</v>
          </cell>
          <cell r="AC21">
            <v>290</v>
          </cell>
          <cell r="AE21">
            <v>132</v>
          </cell>
          <cell r="AF21">
            <v>188</v>
          </cell>
          <cell r="AG21">
            <v>320</v>
          </cell>
          <cell r="AH21">
            <v>10.34482758620689</v>
          </cell>
          <cell r="AI21">
            <v>137</v>
          </cell>
          <cell r="AJ21">
            <v>197</v>
          </cell>
          <cell r="AK21">
            <v>334</v>
          </cell>
          <cell r="AL21">
            <v>4.375</v>
          </cell>
          <cell r="AM21">
            <v>163</v>
          </cell>
          <cell r="AN21">
            <v>194</v>
          </cell>
          <cell r="AO21">
            <v>357</v>
          </cell>
          <cell r="AP21">
            <v>6.8862275449101702</v>
          </cell>
          <cell r="AQ21">
            <v>168</v>
          </cell>
          <cell r="AR21">
            <v>197</v>
          </cell>
          <cell r="AS21">
            <v>365</v>
          </cell>
          <cell r="AU21">
            <v>176</v>
          </cell>
          <cell r="AV21">
            <v>206</v>
          </cell>
          <cell r="AW21">
            <v>382</v>
          </cell>
          <cell r="AY21">
            <v>3.7878787878787845E-2</v>
          </cell>
          <cell r="AZ21">
            <v>4.7872340425531901E-2</v>
          </cell>
          <cell r="BA21">
            <v>4.3749999999999956E-2</v>
          </cell>
          <cell r="BC21">
            <v>0.18978102189781021</v>
          </cell>
          <cell r="BD21">
            <v>-1.5228426395939132E-2</v>
          </cell>
          <cell r="BE21">
            <v>6.8862275449101729E-2</v>
          </cell>
          <cell r="BG21">
            <v>3.0674846625766916E-2</v>
          </cell>
          <cell r="BH21">
            <v>1.5463917525773141E-2</v>
          </cell>
          <cell r="BI21">
            <v>2.2408963585434094E-2</v>
          </cell>
          <cell r="BK21">
            <v>4.7619047619047672E-2</v>
          </cell>
          <cell r="BL21">
            <v>4.5685279187817285E-2</v>
          </cell>
          <cell r="BM21">
            <v>4.6575342465753344E-2</v>
          </cell>
        </row>
        <row r="22">
          <cell r="B22" t="str">
            <v>Dividend Payout Ratio</v>
          </cell>
          <cell r="C22">
            <v>63.173547257876308</v>
          </cell>
          <cell r="D22">
            <v>79.750236743047836</v>
          </cell>
          <cell r="E22">
            <v>71.660132592255138</v>
          </cell>
          <cell r="F22">
            <v>0</v>
          </cell>
          <cell r="G22">
            <v>64.032797161442929</v>
          </cell>
          <cell r="H22">
            <v>80.783620092394386</v>
          </cell>
          <cell r="I22">
            <v>72.611190324293133</v>
          </cell>
          <cell r="K22">
            <v>62.895885619482804</v>
          </cell>
          <cell r="L22">
            <v>84.521405924386798</v>
          </cell>
          <cell r="M22">
            <v>73.840096100538616</v>
          </cell>
          <cell r="O22">
            <v>60.860631055555558</v>
          </cell>
          <cell r="P22">
            <v>87.29140676756758</v>
          </cell>
          <cell r="Q22">
            <v>73.934677864973267</v>
          </cell>
          <cell r="S22">
            <v>63.010058130508476</v>
          </cell>
          <cell r="T22">
            <v>87.267967389677423</v>
          </cell>
          <cell r="U22">
            <v>75.048401572892203</v>
          </cell>
          <cell r="W22">
            <v>83.666602291897334</v>
          </cell>
          <cell r="X22">
            <v>73.666015577815287</v>
          </cell>
          <cell r="Y22">
            <v>78.225714017668665</v>
          </cell>
          <cell r="AA22">
            <v>63.072809126413155</v>
          </cell>
          <cell r="AB22">
            <v>83.982568925039871</v>
          </cell>
          <cell r="AC22">
            <v>73.900707535513703</v>
          </cell>
          <cell r="AE22">
            <v>61.713170470268643</v>
          </cell>
          <cell r="AF22">
            <v>84.202241917241366</v>
          </cell>
          <cell r="AG22">
            <v>73.23414332989843</v>
          </cell>
          <cell r="AH22">
            <v>0</v>
          </cell>
          <cell r="AI22">
            <v>60.92110271119234</v>
          </cell>
          <cell r="AJ22">
            <v>89.233141297297294</v>
          </cell>
          <cell r="AK22">
            <v>74.995040715740345</v>
          </cell>
          <cell r="AL22">
            <v>0</v>
          </cell>
          <cell r="AM22">
            <v>69.200797478657563</v>
          </cell>
          <cell r="AN22">
            <v>81.7947292658056</v>
          </cell>
          <cell r="AO22">
            <v>75.541860793131193</v>
          </cell>
          <cell r="AP22">
            <v>0</v>
          </cell>
          <cell r="AQ22">
            <v>68.680558531200731</v>
          </cell>
          <cell r="AR22">
            <v>83.172877446240136</v>
          </cell>
          <cell r="AS22">
            <v>75.834107484854101</v>
          </cell>
          <cell r="AU22">
            <v>68.667289795223112</v>
          </cell>
          <cell r="AV22">
            <v>81.510972093193573</v>
          </cell>
          <cell r="AW22">
            <v>75.064292743299504</v>
          </cell>
          <cell r="AY22">
            <v>69.759331500918293</v>
          </cell>
          <cell r="AZ22">
            <v>81.036854667437609</v>
          </cell>
          <cell r="BA22">
            <v>75.424517644409377</v>
          </cell>
        </row>
        <row r="23">
          <cell r="B23" t="str">
            <v>Gross Loans &amp; Advances</v>
          </cell>
          <cell r="C23">
            <v>209601</v>
          </cell>
          <cell r="D23">
            <v>220666</v>
          </cell>
          <cell r="E23">
            <v>220666</v>
          </cell>
          <cell r="F23">
            <v>4.9297450456283753</v>
          </cell>
          <cell r="G23">
            <v>215992</v>
          </cell>
          <cell r="H23">
            <v>231484</v>
          </cell>
          <cell r="I23">
            <v>231484</v>
          </cell>
          <cell r="K23">
            <v>248367</v>
          </cell>
          <cell r="L23">
            <v>261972</v>
          </cell>
          <cell r="M23">
            <v>261972</v>
          </cell>
          <cell r="O23">
            <v>280690</v>
          </cell>
          <cell r="P23">
            <v>318618</v>
          </cell>
          <cell r="Q23">
            <v>318618</v>
          </cell>
          <cell r="R23">
            <v>0</v>
          </cell>
          <cell r="S23">
            <v>346508</v>
          </cell>
          <cell r="T23">
            <v>365224</v>
          </cell>
          <cell r="U23">
            <v>365224</v>
          </cell>
          <cell r="W23">
            <v>466868</v>
          </cell>
          <cell r="X23">
            <v>488500</v>
          </cell>
          <cell r="Y23">
            <v>488500</v>
          </cell>
          <cell r="Z23">
            <v>27.378735964871105</v>
          </cell>
          <cell r="AA23">
            <v>500644</v>
          </cell>
          <cell r="AB23">
            <v>512838</v>
          </cell>
          <cell r="AC23">
            <v>512838</v>
          </cell>
          <cell r="AD23">
            <v>4.9821903787103272</v>
          </cell>
          <cell r="AE23">
            <v>509779</v>
          </cell>
          <cell r="AF23">
            <v>518075</v>
          </cell>
          <cell r="AG23">
            <v>518075</v>
          </cell>
          <cell r="AH23">
            <v>1.0211801777559426</v>
          </cell>
          <cell r="AI23">
            <v>530899</v>
          </cell>
          <cell r="AJ23">
            <v>542097</v>
          </cell>
          <cell r="AK23">
            <v>542097</v>
          </cell>
          <cell r="AL23">
            <v>4.6367803889398207</v>
          </cell>
          <cell r="AM23">
            <v>551694.17181095178</v>
          </cell>
          <cell r="AN23">
            <v>564178.42499598907</v>
          </cell>
          <cell r="AO23">
            <v>564178.42499598907</v>
          </cell>
          <cell r="AP23">
            <v>4.0733346607690235</v>
          </cell>
          <cell r="AQ23">
            <v>575596.99360077456</v>
          </cell>
          <cell r="AR23">
            <v>587131.36005708214</v>
          </cell>
          <cell r="AS23">
            <v>587131.36005708214</v>
          </cell>
          <cell r="AU23">
            <v>598742.63910262613</v>
          </cell>
          <cell r="AV23">
            <v>610584.173506747</v>
          </cell>
          <cell r="AW23">
            <v>610584.173506747</v>
          </cell>
          <cell r="AY23">
            <v>4.142971758350189E-2</v>
          </cell>
          <cell r="AZ23">
            <v>4.6367803889398207E-2</v>
          </cell>
          <cell r="BA23">
            <v>4.6367803889398207E-2</v>
          </cell>
          <cell r="BC23">
            <v>3.9169732493283593E-2</v>
          </cell>
          <cell r="BD23">
            <v>4.0733346607690235E-2</v>
          </cell>
          <cell r="BE23">
            <v>4.0733346607690235E-2</v>
          </cell>
          <cell r="BG23">
            <v>4.3326217696592728E-2</v>
          </cell>
          <cell r="BH23">
            <v>4.0683822784000068E-2</v>
          </cell>
          <cell r="BI23">
            <v>4.0683822784000068E-2</v>
          </cell>
          <cell r="BK23">
            <v>4.0211546896829375E-2</v>
          </cell>
          <cell r="BL23">
            <v>3.9944746687325283E-2</v>
          </cell>
          <cell r="BM23">
            <v>3.9944746687325283E-2</v>
          </cell>
        </row>
        <row r="24">
          <cell r="B24" t="str">
            <v>Average Interest Earning Assets</v>
          </cell>
          <cell r="C24">
            <v>238402</v>
          </cell>
          <cell r="D24">
            <v>249494</v>
          </cell>
          <cell r="E24">
            <v>243948</v>
          </cell>
          <cell r="F24">
            <v>3.8038066652373859</v>
          </cell>
          <cell r="G24">
            <v>239150</v>
          </cell>
          <cell r="H24">
            <v>250357</v>
          </cell>
          <cell r="I24">
            <v>244753.5</v>
          </cell>
          <cell r="K24">
            <v>267169</v>
          </cell>
          <cell r="L24">
            <v>282553</v>
          </cell>
          <cell r="M24">
            <v>274798</v>
          </cell>
          <cell r="O24">
            <v>321383</v>
          </cell>
          <cell r="P24">
            <v>343614</v>
          </cell>
          <cell r="Q24">
            <v>332492</v>
          </cell>
          <cell r="S24">
            <v>370819</v>
          </cell>
          <cell r="T24">
            <v>400678</v>
          </cell>
          <cell r="U24">
            <v>385667</v>
          </cell>
          <cell r="W24">
            <v>436722</v>
          </cell>
          <cell r="X24">
            <v>526512</v>
          </cell>
          <cell r="Y24">
            <v>481248</v>
          </cell>
          <cell r="Z24">
            <v>24.783297507953762</v>
          </cell>
          <cell r="AA24">
            <v>547379</v>
          </cell>
          <cell r="AB24">
            <v>560197</v>
          </cell>
          <cell r="AC24">
            <v>553735</v>
          </cell>
          <cell r="AD24">
            <v>15.062296362790084</v>
          </cell>
          <cell r="AE24">
            <v>573800</v>
          </cell>
          <cell r="AF24">
            <v>578982</v>
          </cell>
          <cell r="AG24">
            <v>597406</v>
          </cell>
          <cell r="AH24">
            <v>0</v>
          </cell>
          <cell r="AI24">
            <v>622898</v>
          </cell>
          <cell r="AJ24">
            <v>636547</v>
          </cell>
          <cell r="AK24">
            <v>629685</v>
          </cell>
          <cell r="AL24">
            <v>5.4031931383347276</v>
          </cell>
          <cell r="AM24">
            <v>645055.61025102809</v>
          </cell>
          <cell r="AN24">
            <v>662010.40703216649</v>
          </cell>
          <cell r="AO24">
            <v>653533.00864159735</v>
          </cell>
          <cell r="AP24">
            <v>3.7872918430004399</v>
          </cell>
          <cell r="AQ24">
            <v>678394.11109820008</v>
          </cell>
          <cell r="AR24">
            <v>692789.0103731578</v>
          </cell>
          <cell r="AS24">
            <v>685591.560735679</v>
          </cell>
          <cell r="AU24">
            <v>705279.53081415081</v>
          </cell>
          <cell r="AV24">
            <v>716195.36908659618</v>
          </cell>
          <cell r="AW24">
            <v>710737.4499503735</v>
          </cell>
          <cell r="AY24">
            <v>8.5566399442314367E-2</v>
          </cell>
          <cell r="AZ24">
            <v>9.942450715220863E-2</v>
          </cell>
          <cell r="BA24">
            <v>5.4031931383347276E-2</v>
          </cell>
          <cell r="BC24">
            <v>3.5571811518142704E-2</v>
          </cell>
          <cell r="BD24">
            <v>4.0002398930741201E-2</v>
          </cell>
          <cell r="BE24">
            <v>3.7872918430004399E-2</v>
          </cell>
          <cell r="BG24">
            <v>5.168314222427739E-2</v>
          </cell>
          <cell r="BH24">
            <v>4.6492627629486583E-2</v>
          </cell>
          <cell r="BI24">
            <v>4.9054220169715723E-2</v>
          </cell>
          <cell r="BK24">
            <v>3.9630974497151694E-2</v>
          </cell>
          <cell r="BL24">
            <v>3.3785695735605081E-2</v>
          </cell>
          <cell r="BM24">
            <v>3.6677652781652581E-2</v>
          </cell>
        </row>
        <row r="25">
          <cell r="B25" t="str">
            <v>Net Interest Margin</v>
          </cell>
          <cell r="C25">
            <v>2.0961264756399641E-2</v>
          </cell>
          <cell r="D25">
            <v>2.1705843163806447E-2</v>
          </cell>
          <cell r="E25">
            <v>2.1332941678638143E-2</v>
          </cell>
          <cell r="F25">
            <v>0</v>
          </cell>
          <cell r="G25">
            <v>2.1397626501990435E-2</v>
          </cell>
          <cell r="H25">
            <v>2.1397626501990435E-2</v>
          </cell>
          <cell r="I25">
            <v>2.1394621549760146E-2</v>
          </cell>
          <cell r="K25">
            <v>2.1297626501990435E-2</v>
          </cell>
          <cell r="L25">
            <v>2.1297626501990435E-2</v>
          </cell>
          <cell r="M25">
            <v>2.1296525351945265E-2</v>
          </cell>
          <cell r="O25">
            <v>2.1297626501990435E-2</v>
          </cell>
          <cell r="P25">
            <v>2.1197626501990436E-2</v>
          </cell>
          <cell r="Q25">
            <v>2.1246661172212831E-2</v>
          </cell>
          <cell r="S25">
            <v>2.0587625253009292E-2</v>
          </cell>
          <cell r="T25">
            <v>1.981989429016718E-2</v>
          </cell>
          <cell r="U25">
            <v>2.019099378479362E-2</v>
          </cell>
          <cell r="W25">
            <v>2.0444617240337748E-2</v>
          </cell>
          <cell r="X25">
            <v>2.1551769367783007E-2</v>
          </cell>
          <cell r="Y25">
            <v>2.104528226610812E-2</v>
          </cell>
          <cell r="Z25">
            <v>0</v>
          </cell>
          <cell r="AA25">
            <v>2.1809167751745333E-2</v>
          </cell>
          <cell r="AB25">
            <v>2.0788612277545578E-2</v>
          </cell>
          <cell r="AC25">
            <v>2.1297190894561481E-2</v>
          </cell>
          <cell r="AD25">
            <v>0</v>
          </cell>
          <cell r="AE25">
            <v>2.122671889917711E-2</v>
          </cell>
          <cell r="AF25">
            <v>2.2503442935687214E-2</v>
          </cell>
          <cell r="AG25">
            <v>2.116650987770461E-2</v>
          </cell>
          <cell r="AH25">
            <v>0</v>
          </cell>
          <cell r="AI25">
            <v>2.1216607869499745E-2</v>
          </cell>
          <cell r="AJ25">
            <v>2.0575969140647007E-2</v>
          </cell>
          <cell r="AK25">
            <v>2.0894574271262612E-2</v>
          </cell>
          <cell r="AL25">
            <v>0</v>
          </cell>
          <cell r="AM25">
            <v>2.0744099638070793E-2</v>
          </cell>
          <cell r="AN25">
            <v>2.0988283220190761E-2</v>
          </cell>
          <cell r="AO25">
            <v>2.0864546991016763E-2</v>
          </cell>
          <cell r="AP25">
            <v>0</v>
          </cell>
          <cell r="AQ25">
            <v>2.0768261438247872E-2</v>
          </cell>
          <cell r="AR25">
            <v>2.0613012541993839E-2</v>
          </cell>
          <cell r="AS25">
            <v>2.0688674768096639E-2</v>
          </cell>
          <cell r="AU25">
            <v>2.0630441331204053E-2</v>
          </cell>
          <cell r="AV25">
            <v>2.0530843642264967E-2</v>
          </cell>
          <cell r="AW25">
            <v>2.0579370387099994E-2</v>
          </cell>
          <cell r="AY25">
            <v>2.1299999999999999E-2</v>
          </cell>
          <cell r="AZ25">
            <v>2.1257530369021973E-2</v>
          </cell>
          <cell r="BA25">
            <v>2.1276302816501991E-2</v>
          </cell>
        </row>
        <row r="26">
          <cell r="B26" t="str">
            <v>Cost to Income Ratio</v>
          </cell>
          <cell r="C26">
            <v>0.43415297890951504</v>
          </cell>
          <cell r="D26">
            <v>0.4313520698822636</v>
          </cell>
          <cell r="E26">
            <v>0.43273617981845253</v>
          </cell>
          <cell r="F26">
            <v>-0.60738842586260344</v>
          </cell>
          <cell r="G26">
            <v>0.4261750986724076</v>
          </cell>
          <cell r="H26">
            <v>0.42096844872994993</v>
          </cell>
          <cell r="I26">
            <v>0.42354986345668477</v>
          </cell>
          <cell r="K26">
            <v>0.4132452730713943</v>
          </cell>
          <cell r="L26">
            <v>0.41095218219283769</v>
          </cell>
          <cell r="M26">
            <v>0.41209504074239278</v>
          </cell>
          <cell r="O26">
            <v>0.40273585572897241</v>
          </cell>
          <cell r="P26">
            <v>0.40041025393653867</v>
          </cell>
          <cell r="Q26">
            <v>0.40156871459905225</v>
          </cell>
          <cell r="S26">
            <v>0.48147092360319271</v>
          </cell>
          <cell r="T26">
            <v>0.49733788395904438</v>
          </cell>
          <cell r="U26">
            <v>0.48957534342096087</v>
          </cell>
          <cell r="W26">
            <v>0.45333843993361422</v>
          </cell>
          <cell r="X26">
            <v>0.46900389538119086</v>
          </cell>
          <cell r="Y26">
            <v>0.46170769413723389</v>
          </cell>
          <cell r="AA26">
            <v>0.4403631861328931</v>
          </cell>
          <cell r="AB26">
            <v>0.46258140279705351</v>
          </cell>
          <cell r="AC26">
            <v>0.45128285849205102</v>
          </cell>
          <cell r="AE26">
            <v>0.45261320464113358</v>
          </cell>
          <cell r="AF26">
            <v>0.45191532258064515</v>
          </cell>
          <cell r="AG26">
            <v>0.45226105091815455</v>
          </cell>
          <cell r="AH26">
            <v>1.0710208115335467</v>
          </cell>
          <cell r="AI26">
            <v>0.45541810984661057</v>
          </cell>
          <cell r="AJ26">
            <v>0.45734196117471376</v>
          </cell>
          <cell r="AK26">
            <v>0.45637717121588089</v>
          </cell>
          <cell r="AL26">
            <v>1.3735015683266056</v>
          </cell>
          <cell r="AM26">
            <v>0.44196673359268313</v>
          </cell>
          <cell r="AN26">
            <v>0.44133191847234771</v>
          </cell>
          <cell r="AO26">
            <v>0.44164605201273438</v>
          </cell>
          <cell r="AP26">
            <v>0.38856889594650901</v>
          </cell>
          <cell r="AQ26">
            <v>0.43259175141099121</v>
          </cell>
          <cell r="AR26">
            <v>0.43841246896231101</v>
          </cell>
          <cell r="AS26">
            <v>0.43550676068624294</v>
          </cell>
          <cell r="AU26">
            <v>0.42642949285134757</v>
          </cell>
          <cell r="AV26">
            <v>0.42931522025982255</v>
          </cell>
          <cell r="AW26">
            <v>0.42787366105659025</v>
          </cell>
          <cell r="AY26">
            <v>0.40189703494781714</v>
          </cell>
          <cell r="AZ26">
            <v>0.40118685336672405</v>
          </cell>
          <cell r="BA26">
            <v>0.40153981652162563</v>
          </cell>
        </row>
        <row r="27">
          <cell r="B27" t="str">
            <v>Impairment Charge / GL&amp;A</v>
          </cell>
          <cell r="C27">
            <v>1.2926187925523908E-3</v>
          </cell>
          <cell r="D27">
            <v>1.4824048649832388E-3</v>
          </cell>
          <cell r="E27">
            <v>1.3560635412630763E-3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K27">
            <v>1.4155027670067386E-3</v>
          </cell>
          <cell r="L27">
            <v>1.4984908056885566E-3</v>
          </cell>
          <cell r="M27">
            <v>1.4199984301524894E-3</v>
          </cell>
          <cell r="O27">
            <v>1.3039771302472542E-3</v>
          </cell>
          <cell r="P27">
            <v>1.4169722445373941E-3</v>
          </cell>
          <cell r="Q27">
            <v>1.286539652990019E-3</v>
          </cell>
          <cell r="S27">
            <v>1.8181172931345598E-3</v>
          </cell>
          <cell r="T27">
            <v>3.1134127071045263E-3</v>
          </cell>
          <cell r="U27">
            <v>2.4250199477447313E-3</v>
          </cell>
          <cell r="W27">
            <v>6.8841728282940792E-3</v>
          </cell>
          <cell r="X27">
            <v>5.8996929375639716E-3</v>
          </cell>
          <cell r="Y27">
            <v>6.2395087001023541E-3</v>
          </cell>
          <cell r="Z27">
            <v>0</v>
          </cell>
          <cell r="AA27">
            <v>9.4356840103362698E-3</v>
          </cell>
          <cell r="AB27">
            <v>4.7053223859792274E-3</v>
          </cell>
          <cell r="AC27">
            <v>4.0461120275798595E-3</v>
          </cell>
          <cell r="AD27">
            <v>0</v>
          </cell>
          <cell r="AE27">
            <v>2.8326000090235178E-3</v>
          </cell>
          <cell r="AF27">
            <v>2.1541282632823434E-3</v>
          </cell>
          <cell r="AG27">
            <v>2.4706847464170244E-3</v>
          </cell>
          <cell r="AH27">
            <v>0</v>
          </cell>
          <cell r="AI27">
            <v>2.053121215146384E-3</v>
          </cell>
          <cell r="AJ27">
            <v>2.007020883716383E-3</v>
          </cell>
          <cell r="AK27">
            <v>2.0088655720286223E-3</v>
          </cell>
          <cell r="AL27">
            <v>0</v>
          </cell>
          <cell r="AM27">
            <v>2.204850831558173E-3</v>
          </cell>
          <cell r="AN27">
            <v>2.355856978537975E-3</v>
          </cell>
          <cell r="AO27">
            <v>2.255959214647951E-3</v>
          </cell>
          <cell r="AP27">
            <v>0</v>
          </cell>
          <cell r="AQ27">
            <v>2.6653092746462496E-3</v>
          </cell>
          <cell r="AR27">
            <v>2.9361025232216959E-3</v>
          </cell>
          <cell r="AS27">
            <v>2.7745255107069016E-3</v>
          </cell>
          <cell r="AU27">
            <v>3.0760510937516247E-3</v>
          </cell>
          <cell r="AV27">
            <v>3.0868218652932043E-3</v>
          </cell>
          <cell r="AW27">
            <v>3.0516083522665982E-3</v>
          </cell>
          <cell r="AY27">
            <v>1.6758471543723617E-3</v>
          </cell>
          <cell r="AZ27">
            <v>1.6844475451338401E-3</v>
          </cell>
          <cell r="BA27">
            <v>1.6555525413761442E-3</v>
          </cell>
        </row>
        <row r="28">
          <cell r="B28" t="str">
            <v>Effective Tax Rate</v>
          </cell>
          <cell r="C28">
            <v>0.31934731934731936</v>
          </cell>
          <cell r="D28">
            <v>0.32937571811566452</v>
          </cell>
          <cell r="E28">
            <v>0.32439729990356797</v>
          </cell>
          <cell r="F28">
            <v>0</v>
          </cell>
          <cell r="G28">
            <v>0.2913934426229508</v>
          </cell>
          <cell r="H28">
            <v>0.30068798057466611</v>
          </cell>
          <cell r="I28">
            <v>0.29607004683363874</v>
          </cell>
          <cell r="K28">
            <v>0.27180385288966724</v>
          </cell>
          <cell r="L28">
            <v>0.29251940719830627</v>
          </cell>
          <cell r="M28">
            <v>0.28212339602742131</v>
          </cell>
          <cell r="O28">
            <v>0.28247358607830952</v>
          </cell>
          <cell r="P28">
            <v>0.27998717126363054</v>
          </cell>
          <cell r="Q28">
            <v>0.28125</v>
          </cell>
          <cell r="S28">
            <v>0.27382753403933435</v>
          </cell>
          <cell r="T28">
            <v>0.23371150729335494</v>
          </cell>
          <cell r="U28">
            <v>0.25446009389671359</v>
          </cell>
          <cell r="W28">
            <v>0.24149532710280375</v>
          </cell>
          <cell r="X28">
            <v>0.27447447447447448</v>
          </cell>
          <cell r="Y28">
            <v>0.25978351373855119</v>
          </cell>
          <cell r="Z28">
            <v>0</v>
          </cell>
          <cell r="AA28">
            <v>0.26948775055679286</v>
          </cell>
          <cell r="AB28">
            <v>0.27107323813910639</v>
          </cell>
          <cell r="AC28">
            <v>0.27030895860670406</v>
          </cell>
          <cell r="AD28">
            <v>0</v>
          </cell>
          <cell r="AE28">
            <v>0.27446300715990452</v>
          </cell>
          <cell r="AF28">
            <v>0.28120516499282638</v>
          </cell>
          <cell r="AG28">
            <v>0.2779300168634064</v>
          </cell>
          <cell r="AH28">
            <v>0</v>
          </cell>
          <cell r="AI28">
            <v>0.27692617991125451</v>
          </cell>
          <cell r="AJ28">
            <v>0.27776645608314654</v>
          </cell>
          <cell r="AK28">
            <v>0.27734414597060314</v>
          </cell>
          <cell r="AL28">
            <v>0</v>
          </cell>
          <cell r="AM28">
            <v>0.27469145928472199</v>
          </cell>
          <cell r="AN28">
            <v>0.27458241951208484</v>
          </cell>
          <cell r="AO28">
            <v>0.27463656457396157</v>
          </cell>
          <cell r="AP28">
            <v>0</v>
          </cell>
          <cell r="AQ28">
            <v>0.27452021277454963</v>
          </cell>
          <cell r="AR28">
            <v>0.27443855581520815</v>
          </cell>
          <cell r="AS28">
            <v>0.27447990459924265</v>
          </cell>
          <cell r="AT28" t="str">
            <v>1H12E</v>
          </cell>
          <cell r="AU28">
            <v>0.27439154473513266</v>
          </cell>
          <cell r="AV28">
            <v>0.27449757390590618</v>
          </cell>
          <cell r="AW28">
            <v>0.27444435958328656</v>
          </cell>
          <cell r="AX28" t="str">
            <v>2H14E</v>
          </cell>
          <cell r="AY28" t="str">
            <v>FY14E</v>
          </cell>
          <cell r="AZ28">
            <v>0.28014273878459367</v>
          </cell>
          <cell r="BA28" t="str">
            <v>1H15E</v>
          </cell>
          <cell r="BB28" t="str">
            <v>2H15E</v>
          </cell>
          <cell r="BC28" t="str">
            <v>FY15E</v>
          </cell>
          <cell r="BG28" t="str">
            <v>FY16E</v>
          </cell>
        </row>
        <row r="29">
          <cell r="B29" t="str">
            <v>Core Tier 1 Ratio</v>
          </cell>
          <cell r="C29">
            <v>4.7643822575467419E-2</v>
          </cell>
          <cell r="D29">
            <v>4.9103445365295241E-2</v>
          </cell>
          <cell r="E29">
            <v>4.9103445365295241E-2</v>
          </cell>
          <cell r="F29">
            <v>0</v>
          </cell>
          <cell r="G29">
            <v>4.7643822575467419E-2</v>
          </cell>
          <cell r="H29">
            <v>4.9103445365295241E-2</v>
          </cell>
          <cell r="I29">
            <v>4.9103445365295241E-2</v>
          </cell>
          <cell r="K29">
            <v>5.0042680850853866E-2</v>
          </cell>
          <cell r="L29">
            <v>4.5015200657925136E-2</v>
          </cell>
          <cell r="M29">
            <v>4.5015200657925136E-2</v>
          </cell>
          <cell r="O29">
            <v>4.7017897658858825E-2</v>
          </cell>
          <cell r="P29">
            <v>4.7916506692368632E-2</v>
          </cell>
          <cell r="Q29">
            <v>4.7916506692368632E-2</v>
          </cell>
          <cell r="S29">
            <v>7.2668180434248317E-2</v>
          </cell>
          <cell r="T29">
            <v>8.1707631593033611E-2</v>
          </cell>
          <cell r="U29">
            <v>8.1707631593033611E-2</v>
          </cell>
          <cell r="W29">
            <v>8.7542678518444231E-2</v>
          </cell>
          <cell r="X29">
            <v>8.0706698610976471E-2</v>
          </cell>
          <cell r="Y29">
            <v>8.0706698610976471E-2</v>
          </cell>
          <cell r="Z29">
            <v>0</v>
          </cell>
          <cell r="AA29">
            <v>6.8253717443998801E-2</v>
          </cell>
          <cell r="AB29">
            <v>6.8598897603680611E-2</v>
          </cell>
          <cell r="AC29">
            <v>6.8598897603680611E-2</v>
          </cell>
          <cell r="AD29">
            <v>0</v>
          </cell>
          <cell r="AE29">
            <v>7.3535437013898863E-2</v>
          </cell>
          <cell r="AF29">
            <v>7.6585578837887053E-2</v>
          </cell>
          <cell r="AG29">
            <v>7.6585578837887053E-2</v>
          </cell>
          <cell r="AH29">
            <v>0</v>
          </cell>
          <cell r="AI29">
            <v>7.6710166104029157E-2</v>
          </cell>
          <cell r="AJ29">
            <v>7.8153949806299472E-2</v>
          </cell>
          <cell r="AK29">
            <v>7.8153949806299472E-2</v>
          </cell>
          <cell r="AL29">
            <v>0</v>
          </cell>
          <cell r="AM29">
            <v>8.290950004465529E-2</v>
          </cell>
          <cell r="AN29">
            <v>8.54634958207416E-2</v>
          </cell>
          <cell r="AO29">
            <v>8.54634958207416E-2</v>
          </cell>
          <cell r="AP29">
            <v>0</v>
          </cell>
          <cell r="AQ29">
            <v>8.9532402858201438E-2</v>
          </cell>
          <cell r="AR29">
            <v>9.2087414874830242E-2</v>
          </cell>
          <cell r="AS29">
            <v>9.2087414874830242E-2</v>
          </cell>
          <cell r="AU29">
            <v>8.6533673265768246E-2</v>
          </cell>
          <cell r="AV29">
            <v>8.941906297867025E-2</v>
          </cell>
          <cell r="AW29">
            <v>8.941906297867025E-2</v>
          </cell>
          <cell r="AY29">
            <v>9.5424785158984476E-2</v>
          </cell>
          <cell r="AZ29">
            <v>9.3835820139916926E-2</v>
          </cell>
          <cell r="BA29">
            <v>9.3835820139916926E-2</v>
          </cell>
        </row>
        <row r="30">
          <cell r="B30" t="str">
            <v>Old</v>
          </cell>
          <cell r="C30" t="str">
            <v>Morgan Stanley Forecasts</v>
          </cell>
          <cell r="O30" t="str">
            <v>Morgan Stanley Forecasts</v>
          </cell>
          <cell r="U30" t="str">
            <v>Growth (y-o-y)</v>
          </cell>
          <cell r="Y30" t="str">
            <v>Growth (y-o-y)</v>
          </cell>
          <cell r="AU30" t="str">
            <v>YoY Growth</v>
          </cell>
          <cell r="BA30" t="str">
            <v>Growth (y-o-y)</v>
          </cell>
          <cell r="BE30" t="str">
            <v>Growth (y-o-y)</v>
          </cell>
          <cell r="BI30" t="str">
            <v>Growth (y-o-y)</v>
          </cell>
        </row>
        <row r="31">
          <cell r="C31" t="str">
            <v>1H05</v>
          </cell>
          <cell r="D31" t="str">
            <v>2H05</v>
          </cell>
          <cell r="E31" t="str">
            <v>FY05</v>
          </cell>
          <cell r="G31" t="str">
            <v>1H05</v>
          </cell>
          <cell r="H31" t="str">
            <v>2H05</v>
          </cell>
          <cell r="I31" t="str">
            <v>FY05</v>
          </cell>
          <cell r="K31" t="str">
            <v>1H06</v>
          </cell>
          <cell r="L31" t="str">
            <v>2H06</v>
          </cell>
          <cell r="M31" t="str">
            <v>FY06</v>
          </cell>
          <cell r="O31" t="str">
            <v>1H07E</v>
          </cell>
          <cell r="P31" t="str">
            <v>2H07E</v>
          </cell>
          <cell r="Q31" t="str">
            <v>FY07</v>
          </cell>
          <cell r="S31" t="str">
            <v>1H08</v>
          </cell>
          <cell r="T31" t="str">
            <v>2H08</v>
          </cell>
          <cell r="U31" t="str">
            <v>FY08</v>
          </cell>
          <cell r="W31" t="str">
            <v>1H09</v>
          </cell>
          <cell r="X31" t="str">
            <v>2H09E</v>
          </cell>
          <cell r="Y31" t="str">
            <v>FY09E</v>
          </cell>
          <cell r="AA31" t="str">
            <v>1H10</v>
          </cell>
          <cell r="AB31" t="str">
            <v>2H10</v>
          </cell>
          <cell r="AC31" t="str">
            <v>FY10</v>
          </cell>
          <cell r="AE31" t="str">
            <v>1H11</v>
          </cell>
          <cell r="AF31" t="str">
            <v>2H11E</v>
          </cell>
          <cell r="AG31" t="str">
            <v>FY11E</v>
          </cell>
          <cell r="AI31" t="str">
            <v>1H12</v>
          </cell>
          <cell r="AJ31" t="str">
            <v>2H12E</v>
          </cell>
          <cell r="AK31" t="str">
            <v>FY12</v>
          </cell>
          <cell r="AM31" t="str">
            <v>1H13E</v>
          </cell>
          <cell r="AN31" t="str">
            <v>2H13E</v>
          </cell>
          <cell r="AO31" t="str">
            <v>FY13E</v>
          </cell>
          <cell r="AQ31" t="str">
            <v>1H14E</v>
          </cell>
          <cell r="AR31" t="str">
            <v>2H14E</v>
          </cell>
          <cell r="AS31" t="str">
            <v>FY14E</v>
          </cell>
          <cell r="AU31" t="str">
            <v>1H15E</v>
          </cell>
          <cell r="AV31" t="str">
            <v>2H15E</v>
          </cell>
          <cell r="AW31" t="str">
            <v>FY15E</v>
          </cell>
          <cell r="AY31" t="str">
            <v>1H12</v>
          </cell>
          <cell r="AZ31" t="str">
            <v>2H12</v>
          </cell>
          <cell r="BA31" t="str">
            <v>FY12</v>
          </cell>
          <cell r="BC31" t="str">
            <v>1H13E</v>
          </cell>
          <cell r="BD31" t="str">
            <v>2H13E</v>
          </cell>
          <cell r="BE31" t="str">
            <v>FY13E</v>
          </cell>
          <cell r="BG31" t="str">
            <v>1H14E</v>
          </cell>
          <cell r="BH31" t="str">
            <v>2H14E</v>
          </cell>
          <cell r="BI31" t="str">
            <v>FY14E</v>
          </cell>
          <cell r="BK31" t="str">
            <v>1H15E</v>
          </cell>
          <cell r="BL31" t="str">
            <v>2H15E</v>
          </cell>
          <cell r="BM31" t="str">
            <v>FY15E</v>
          </cell>
        </row>
        <row r="32">
          <cell r="B32" t="str">
            <v>Net Interest Income (restated)</v>
          </cell>
          <cell r="C32">
            <v>2933</v>
          </cell>
          <cell r="D32">
            <v>3033</v>
          </cell>
          <cell r="E32">
            <v>5966</v>
          </cell>
          <cell r="F32">
            <v>5.9816067492589386E-2</v>
          </cell>
          <cell r="G32">
            <v>2958</v>
          </cell>
          <cell r="H32">
            <v>3068</v>
          </cell>
          <cell r="I32">
            <v>6026</v>
          </cell>
          <cell r="K32">
            <v>3255</v>
          </cell>
          <cell r="L32">
            <v>3259</v>
          </cell>
          <cell r="M32">
            <v>6514</v>
          </cell>
          <cell r="O32">
            <v>3485</v>
          </cell>
          <cell r="P32">
            <v>3551</v>
          </cell>
          <cell r="Q32">
            <v>7036</v>
          </cell>
          <cell r="S32">
            <v>3899</v>
          </cell>
          <cell r="T32">
            <v>4008</v>
          </cell>
          <cell r="U32">
            <v>7907</v>
          </cell>
          <cell r="W32">
            <v>4543</v>
          </cell>
          <cell r="X32">
            <v>5643</v>
          </cell>
          <cell r="Y32">
            <v>10186</v>
          </cell>
          <cell r="AA32">
            <v>6062</v>
          </cell>
          <cell r="AB32">
            <v>5806</v>
          </cell>
          <cell r="AC32">
            <v>11868</v>
          </cell>
          <cell r="AE32">
            <v>6170</v>
          </cell>
          <cell r="AF32">
            <v>6488</v>
          </cell>
          <cell r="AG32">
            <v>12658</v>
          </cell>
          <cell r="AH32">
            <v>6.6565554432086227E-2</v>
          </cell>
          <cell r="AI32">
            <v>6644</v>
          </cell>
          <cell r="AJ32">
            <v>6432.2400452300863</v>
          </cell>
          <cell r="AK32">
            <v>13157</v>
          </cell>
          <cell r="AL32">
            <v>4.0490312376433302E-2</v>
          </cell>
          <cell r="AM32">
            <v>6716.9743144889017</v>
          </cell>
          <cell r="AN32">
            <v>6861.3694192888725</v>
          </cell>
          <cell r="AO32">
            <v>13578.34373377778</v>
          </cell>
          <cell r="AP32">
            <v>3.202430141960777E-2</v>
          </cell>
          <cell r="AQ32">
            <v>7072.5460366118277</v>
          </cell>
          <cell r="AR32">
            <v>7051.5750923528522</v>
          </cell>
          <cell r="AS32">
            <v>14124.121128964682</v>
          </cell>
          <cell r="AU32">
            <v>7303.6248188972131</v>
          </cell>
          <cell r="AV32">
            <v>7260.4053815279567</v>
          </cell>
          <cell r="AW32">
            <v>14564.030200425172</v>
          </cell>
          <cell r="AY32">
            <v>7.5603043548648108E-2</v>
          </cell>
          <cell r="AZ32">
            <v>6.957328385899908E-3</v>
          </cell>
          <cell r="BA32">
            <v>4.0490312376433302E-2</v>
          </cell>
          <cell r="BC32">
            <v>1.0983491042880988E-2</v>
          </cell>
          <cell r="BD32">
            <v>5.348831863793535E-2</v>
          </cell>
          <cell r="BE32">
            <v>3.202430141960777E-2</v>
          </cell>
          <cell r="BG32">
            <v>5.2936293258697864E-2</v>
          </cell>
          <cell r="BH32">
            <v>2.7721240679632775E-2</v>
          </cell>
          <cell r="BI32">
            <v>4.0194695751383458E-2</v>
          </cell>
          <cell r="BK32">
            <v>3.2672644488870084E-2</v>
          </cell>
          <cell r="BL32">
            <v>2.9614701175283864E-2</v>
          </cell>
          <cell r="BM32">
            <v>3.1145942989568187E-2</v>
          </cell>
        </row>
        <row r="33">
          <cell r="B33" t="str">
            <v>Banking Non Interest Income (restated)</v>
          </cell>
          <cell r="C33">
            <v>1412</v>
          </cell>
          <cell r="D33">
            <v>1503</v>
          </cell>
          <cell r="E33">
            <v>2915</v>
          </cell>
          <cell r="F33">
            <v>5.8314234784823071</v>
          </cell>
          <cell r="G33">
            <v>1383</v>
          </cell>
          <cell r="H33">
            <v>1462</v>
          </cell>
          <cell r="I33">
            <v>2845</v>
          </cell>
          <cell r="K33">
            <v>1445</v>
          </cell>
          <cell r="L33">
            <v>1591</v>
          </cell>
          <cell r="M33">
            <v>3036</v>
          </cell>
          <cell r="O33">
            <v>1712</v>
          </cell>
          <cell r="P33">
            <v>1609</v>
          </cell>
          <cell r="Q33">
            <v>3321</v>
          </cell>
          <cell r="S33">
            <v>1541</v>
          </cell>
          <cell r="T33">
            <v>1771</v>
          </cell>
          <cell r="U33">
            <v>3312</v>
          </cell>
          <cell r="W33">
            <v>2036</v>
          </cell>
          <cell r="X33">
            <v>2140</v>
          </cell>
          <cell r="Y33">
            <v>4176</v>
          </cell>
          <cell r="AA33">
            <v>2078</v>
          </cell>
          <cell r="AB33">
            <v>2034</v>
          </cell>
          <cell r="AC33">
            <v>4112</v>
          </cell>
          <cell r="AE33">
            <v>2059</v>
          </cell>
          <cell r="AF33">
            <v>1924</v>
          </cell>
          <cell r="AG33">
            <v>3983</v>
          </cell>
          <cell r="AH33">
            <v>-3.1371595330739268</v>
          </cell>
          <cell r="AI33">
            <v>1927</v>
          </cell>
          <cell r="AJ33">
            <v>1985.7570105401119</v>
          </cell>
          <cell r="AK33">
            <v>3927</v>
          </cell>
          <cell r="AL33">
            <v>-1.7267267267267243</v>
          </cell>
          <cell r="AM33">
            <v>2119.1986211524754</v>
          </cell>
          <cell r="AN33">
            <v>2145.8471189253496</v>
          </cell>
          <cell r="AO33">
            <v>4265.045740077825</v>
          </cell>
          <cell r="AP33">
            <v>8.6082439541081044</v>
          </cell>
          <cell r="AQ33">
            <v>2182.396351804558</v>
          </cell>
          <cell r="AR33">
            <v>2219.4737780696782</v>
          </cell>
          <cell r="AS33">
            <v>4401.8701298742362</v>
          </cell>
          <cell r="AU33">
            <v>2264.3491048622323</v>
          </cell>
          <cell r="AV33">
            <v>2310.4010155666738</v>
          </cell>
          <cell r="AW33">
            <v>4574.7501204289065</v>
          </cell>
          <cell r="AY33">
            <v>-6.0916179337231924E-2</v>
          </cell>
          <cell r="AZ33">
            <v>2.8806584362139898E-2</v>
          </cell>
          <cell r="BA33">
            <v>-1.7267267267267239E-2</v>
          </cell>
          <cell r="BC33">
            <v>9.9739813779177622E-2</v>
          </cell>
          <cell r="BD33">
            <v>7.2923559462674703E-2</v>
          </cell>
          <cell r="BE33">
            <v>8.6082439541081079E-2</v>
          </cell>
          <cell r="BG33">
            <v>2.9821523108444659E-2</v>
          </cell>
          <cell r="BH33">
            <v>3.4311232377636225E-2</v>
          </cell>
          <cell r="BI33">
            <v>3.2080403853749662E-2</v>
          </cell>
          <cell r="BK33">
            <v>3.7551727480624741E-2</v>
          </cell>
          <cell r="BL33">
            <v>4.0967925999142452E-2</v>
          </cell>
          <cell r="BM33">
            <v>3.9274214243937511E-2</v>
          </cell>
        </row>
        <row r="34">
          <cell r="B34" t="str">
            <v>Wealth Management Income</v>
          </cell>
          <cell r="C34">
            <v>1231</v>
          </cell>
          <cell r="D34">
            <v>1242</v>
          </cell>
          <cell r="E34">
            <v>2473</v>
          </cell>
          <cell r="F34">
            <v>-11.25244618395304</v>
          </cell>
          <cell r="G34">
            <v>1114</v>
          </cell>
          <cell r="H34">
            <v>1117</v>
          </cell>
          <cell r="I34">
            <v>2231</v>
          </cell>
          <cell r="K34">
            <v>1310</v>
          </cell>
          <cell r="L34">
            <v>1221</v>
          </cell>
          <cell r="M34">
            <v>2531</v>
          </cell>
          <cell r="O34">
            <v>1360</v>
          </cell>
          <cell r="P34">
            <v>1480</v>
          </cell>
          <cell r="Q34">
            <v>2840</v>
          </cell>
          <cell r="S34">
            <v>1576</v>
          </cell>
          <cell r="T34">
            <v>1546</v>
          </cell>
          <cell r="U34">
            <v>3122</v>
          </cell>
          <cell r="W34">
            <v>1254</v>
          </cell>
          <cell r="X34">
            <v>1202</v>
          </cell>
          <cell r="Y34">
            <v>2456</v>
          </cell>
          <cell r="AA34">
            <v>1552</v>
          </cell>
          <cell r="AB34">
            <v>1527</v>
          </cell>
          <cell r="AC34">
            <v>3079</v>
          </cell>
          <cell r="AE34">
            <v>1510</v>
          </cell>
          <cell r="AF34">
            <v>1508</v>
          </cell>
          <cell r="AG34">
            <v>3018</v>
          </cell>
          <cell r="AH34">
            <v>-1.9811627151672582</v>
          </cell>
          <cell r="AI34">
            <v>1534</v>
          </cell>
          <cell r="AJ34">
            <v>1568.0446602249594</v>
          </cell>
          <cell r="AK34">
            <v>3066</v>
          </cell>
          <cell r="AL34">
            <v>1.5904572564612351</v>
          </cell>
          <cell r="AM34">
            <v>1609.5765336487189</v>
          </cell>
          <cell r="AN34">
            <v>1685.3623398814677</v>
          </cell>
          <cell r="AO34">
            <v>3294.9388735301864</v>
          </cell>
          <cell r="AP34">
            <v>7.4670213154007286</v>
          </cell>
          <cell r="AQ34">
            <v>1777.1696741265889</v>
          </cell>
          <cell r="AR34">
            <v>1822.3740877332773</v>
          </cell>
          <cell r="AS34">
            <v>3599.5437618598662</v>
          </cell>
          <cell r="AU34">
            <v>1897.9605914808617</v>
          </cell>
          <cell r="AV34">
            <v>1943.9457308691117</v>
          </cell>
          <cell r="AW34">
            <v>3841.9063223499734</v>
          </cell>
          <cell r="AY34">
            <v>1.5894039735099286E-2</v>
          </cell>
          <cell r="AZ34">
            <v>1.5915119363395291E-2</v>
          </cell>
          <cell r="BA34">
            <v>1.5904572564612307E-2</v>
          </cell>
          <cell r="BC34">
            <v>4.9267622978304226E-2</v>
          </cell>
          <cell r="BD34">
            <v>0.10010596598007027</v>
          </cell>
          <cell r="BE34">
            <v>7.4670213154007348E-2</v>
          </cell>
          <cell r="BG34">
            <v>0.10412250487894248</v>
          </cell>
          <cell r="BH34">
            <v>8.1295128418168883E-2</v>
          </cell>
          <cell r="BI34">
            <v>9.2446294156385056E-2</v>
          </cell>
          <cell r="BK34">
            <v>6.7968140078485728E-2</v>
          </cell>
          <cell r="BL34">
            <v>6.6710585907775233E-2</v>
          </cell>
          <cell r="BM34">
            <v>6.7331466575886179E-2</v>
          </cell>
        </row>
        <row r="35">
          <cell r="B35" t="str">
            <v>Total Income</v>
          </cell>
          <cell r="C35">
            <v>5576</v>
          </cell>
          <cell r="D35">
            <v>5778</v>
          </cell>
          <cell r="E35">
            <v>11354</v>
          </cell>
          <cell r="F35">
            <v>3.3300248138957711E-2</v>
          </cell>
          <cell r="G35">
            <v>5455</v>
          </cell>
          <cell r="H35">
            <v>5647</v>
          </cell>
          <cell r="I35">
            <v>11102</v>
          </cell>
          <cell r="K35">
            <v>6010</v>
          </cell>
          <cell r="L35">
            <v>6071</v>
          </cell>
          <cell r="M35">
            <v>12081</v>
          </cell>
          <cell r="O35">
            <v>6557</v>
          </cell>
          <cell r="P35">
            <v>6640</v>
          </cell>
          <cell r="Q35">
            <v>13197</v>
          </cell>
          <cell r="S35">
            <v>7016</v>
          </cell>
          <cell r="T35">
            <v>7325</v>
          </cell>
          <cell r="U35">
            <v>14341</v>
          </cell>
          <cell r="W35">
            <v>7833</v>
          </cell>
          <cell r="X35">
            <v>8985</v>
          </cell>
          <cell r="Y35">
            <v>16818</v>
          </cell>
          <cell r="AA35">
            <v>9692</v>
          </cell>
          <cell r="AB35">
            <v>9367</v>
          </cell>
          <cell r="AC35">
            <v>19059</v>
          </cell>
          <cell r="AE35">
            <v>9739</v>
          </cell>
          <cell r="AF35">
            <v>9920</v>
          </cell>
          <cell r="AG35">
            <v>19659</v>
          </cell>
          <cell r="AH35">
            <v>3.1481189988981528E-2</v>
          </cell>
          <cell r="AI35">
            <v>10105</v>
          </cell>
          <cell r="AJ35">
            <v>9986.0417159951576</v>
          </cell>
          <cell r="AK35">
            <v>20150</v>
          </cell>
          <cell r="AL35">
            <v>2.4975838038557407E-2</v>
          </cell>
          <cell r="AM35">
            <v>10445.749469290096</v>
          </cell>
          <cell r="AN35">
            <v>10692.57887809569</v>
          </cell>
          <cell r="AO35">
            <v>21138.328347385792</v>
          </cell>
          <cell r="AP35">
            <v>4.9048553220138569E-2</v>
          </cell>
          <cell r="AQ35">
            <v>11032.112062542976</v>
          </cell>
          <cell r="AR35">
            <v>11093.422958155807</v>
          </cell>
          <cell r="AS35">
            <v>22125.535020698786</v>
          </cell>
          <cell r="AU35">
            <v>11465.934515240308</v>
          </cell>
          <cell r="AV35">
            <v>11514.752127963742</v>
          </cell>
          <cell r="AW35">
            <v>22980.686643204052</v>
          </cell>
          <cell r="AY35">
            <v>3.7580860457952614E-2</v>
          </cell>
          <cell r="AZ35">
            <v>1.2600806451612989E-2</v>
          </cell>
          <cell r="BA35">
            <v>2.4975838038557407E-2</v>
          </cell>
          <cell r="BC35">
            <v>3.3720877713022901E-2</v>
          </cell>
          <cell r="BD35">
            <v>6.4467782787027472E-2</v>
          </cell>
          <cell r="BE35">
            <v>4.9048553220138569E-2</v>
          </cell>
          <cell r="BG35">
            <v>5.6134085445640025E-2</v>
          </cell>
          <cell r="BH35">
            <v>3.7488063883378553E-2</v>
          </cell>
          <cell r="BI35">
            <v>4.6702211125180249E-2</v>
          </cell>
          <cell r="BK35">
            <v>3.9323608230039442E-2</v>
          </cell>
          <cell r="BL35">
            <v>3.7980087065748958E-2</v>
          </cell>
          <cell r="BM35">
            <v>3.8649986167803796E-2</v>
          </cell>
        </row>
        <row r="36">
          <cell r="B36" t="str">
            <v>Operating Expenses</v>
          </cell>
          <cell r="C36">
            <v>-2856</v>
          </cell>
          <cell r="D36">
            <v>-2991</v>
          </cell>
          <cell r="E36">
            <v>-5847</v>
          </cell>
          <cell r="F36">
            <v>2.0226185297955612E-2</v>
          </cell>
          <cell r="G36">
            <v>-2869</v>
          </cell>
          <cell r="H36">
            <v>-3000</v>
          </cell>
          <cell r="I36">
            <v>-5869</v>
          </cell>
          <cell r="K36">
            <v>-2967</v>
          </cell>
          <cell r="L36">
            <v>-3027</v>
          </cell>
          <cell r="M36">
            <v>-5994</v>
          </cell>
          <cell r="O36">
            <v>-3144</v>
          </cell>
          <cell r="P36">
            <v>-3283</v>
          </cell>
          <cell r="Q36">
            <v>-6427</v>
          </cell>
          <cell r="S36">
            <v>-3378</v>
          </cell>
          <cell r="T36">
            <v>-3643</v>
          </cell>
          <cell r="U36">
            <v>-7021</v>
          </cell>
          <cell r="W36">
            <v>-3551</v>
          </cell>
          <cell r="X36">
            <v>-4214</v>
          </cell>
          <cell r="Y36">
            <v>-7765</v>
          </cell>
          <cell r="AA36">
            <v>-4268</v>
          </cell>
          <cell r="AB36">
            <v>-4333</v>
          </cell>
          <cell r="AC36">
            <v>-8601</v>
          </cell>
          <cell r="AE36">
            <v>-4408</v>
          </cell>
          <cell r="AF36">
            <v>-4483</v>
          </cell>
          <cell r="AG36">
            <v>-8891</v>
          </cell>
          <cell r="AH36">
            <v>-3.3717009650040763E-2</v>
          </cell>
          <cell r="AI36">
            <v>-4602</v>
          </cell>
          <cell r="AJ36">
            <v>-4642.5068065953856</v>
          </cell>
          <cell r="AK36">
            <v>-9196</v>
          </cell>
          <cell r="AL36">
            <v>-3.4304352716229891E-2</v>
          </cell>
          <cell r="AM36">
            <v>-4652.9376669534713</v>
          </cell>
          <cell r="AN36">
            <v>-4741.1926762868989</v>
          </cell>
          <cell r="AO36">
            <v>-9394.1303432403693</v>
          </cell>
          <cell r="AP36">
            <v>-2.1545274384555224E-2</v>
          </cell>
          <cell r="AQ36">
            <v>-4805.8090373732703</v>
          </cell>
          <cell r="AR36">
            <v>-4886.7626677737408</v>
          </cell>
          <cell r="AS36">
            <v>-9692.5717051470092</v>
          </cell>
          <cell r="AU36">
            <v>-4931.3380844092717</v>
          </cell>
          <cell r="AV36">
            <v>-4973.49904823221</v>
          </cell>
          <cell r="AW36">
            <v>-9904.8371326414835</v>
          </cell>
          <cell r="AY36">
            <v>4.4010889292195987E-2</v>
          </cell>
          <cell r="AZ36">
            <v>2.4760205219718889E-2</v>
          </cell>
          <cell r="BA36">
            <v>3.4304352716229891E-2</v>
          </cell>
          <cell r="BC36">
            <v>1.1068593427525197E-2</v>
          </cell>
          <cell r="BD36">
            <v>3.2040199452960216E-2</v>
          </cell>
          <cell r="BE36">
            <v>2.1545274384555224E-2</v>
          </cell>
          <cell r="BG36">
            <v>3.2854807298523747E-2</v>
          </cell>
          <cell r="BH36">
            <v>3.0703243134351244E-2</v>
          </cell>
          <cell r="BI36">
            <v>3.1768918569603066E-2</v>
          </cell>
          <cell r="BK36">
            <v>2.6120273622984413E-2</v>
          </cell>
          <cell r="BL36">
            <v>1.7749251673395472E-2</v>
          </cell>
          <cell r="BM36">
            <v>2.1899804711452919E-2</v>
          </cell>
        </row>
        <row r="37">
          <cell r="B37" t="str">
            <v>Underlying Profit</v>
          </cell>
          <cell r="C37">
            <v>2720</v>
          </cell>
          <cell r="D37">
            <v>2787</v>
          </cell>
          <cell r="E37">
            <v>5507</v>
          </cell>
          <cell r="F37">
            <v>7.8236260726675111E-2</v>
          </cell>
          <cell r="G37">
            <v>2586</v>
          </cell>
          <cell r="H37">
            <v>2647</v>
          </cell>
          <cell r="I37">
            <v>5233</v>
          </cell>
          <cell r="K37">
            <v>3043</v>
          </cell>
          <cell r="L37">
            <v>3044</v>
          </cell>
          <cell r="M37">
            <v>6087</v>
          </cell>
          <cell r="O37">
            <v>3413</v>
          </cell>
          <cell r="P37">
            <v>3357</v>
          </cell>
          <cell r="Q37">
            <v>6770</v>
          </cell>
          <cell r="S37">
            <v>3638</v>
          </cell>
          <cell r="T37">
            <v>3682</v>
          </cell>
          <cell r="U37">
            <v>7320</v>
          </cell>
          <cell r="W37">
            <v>4282</v>
          </cell>
          <cell r="X37">
            <v>4771</v>
          </cell>
          <cell r="Y37">
            <v>9053</v>
          </cell>
          <cell r="AA37">
            <v>5424</v>
          </cell>
          <cell r="AB37">
            <v>5034</v>
          </cell>
          <cell r="AC37">
            <v>10458</v>
          </cell>
          <cell r="AE37">
            <v>5331</v>
          </cell>
          <cell r="AF37">
            <v>5437</v>
          </cell>
          <cell r="AG37">
            <v>10768</v>
          </cell>
          <cell r="AH37">
            <v>2.9642379039969358E-2</v>
          </cell>
          <cell r="AI37">
            <v>5503</v>
          </cell>
          <cell r="AJ37">
            <v>5343.534909399772</v>
          </cell>
          <cell r="AK37">
            <v>10954</v>
          </cell>
          <cell r="AL37">
            <v>1.7273402674591321E-2</v>
          </cell>
          <cell r="AM37">
            <v>5792.8118023366251</v>
          </cell>
          <cell r="AN37">
            <v>5951.3862018087912</v>
          </cell>
          <cell r="AO37">
            <v>11744.198004145423</v>
          </cell>
          <cell r="AP37">
            <v>7.2137849565950596E-2</v>
          </cell>
          <cell r="AQ37">
            <v>6226.3030251697055</v>
          </cell>
          <cell r="AR37">
            <v>6206.6602903820658</v>
          </cell>
          <cell r="AS37">
            <v>12432.963315551777</v>
          </cell>
          <cell r="AU37">
            <v>6534.5964308310358</v>
          </cell>
          <cell r="AV37">
            <v>6541.2530797315321</v>
          </cell>
          <cell r="AW37">
            <v>13075.849510562568</v>
          </cell>
          <cell r="AY37">
            <v>3.2264115550553418E-2</v>
          </cell>
          <cell r="AZ37">
            <v>2.5749494206364076E-3</v>
          </cell>
          <cell r="BA37">
            <v>1.7273402674591321E-2</v>
          </cell>
          <cell r="BC37">
            <v>5.2664328972674035E-2</v>
          </cell>
          <cell r="BD37">
            <v>9.17971384716183E-2</v>
          </cell>
          <cell r="BE37">
            <v>7.2137849565950596E-2</v>
          </cell>
          <cell r="BG37">
            <v>7.483260938292946E-2</v>
          </cell>
          <cell r="BH37">
            <v>4.2893215112756344E-2</v>
          </cell>
          <cell r="BI37">
            <v>5.864728363428795E-2</v>
          </cell>
          <cell r="BK37">
            <v>4.9514680608229389E-2</v>
          </cell>
          <cell r="BL37">
            <v>5.3908668059045706E-2</v>
          </cell>
          <cell r="BM37">
            <v>5.170820332161985E-2</v>
          </cell>
        </row>
        <row r="38">
          <cell r="B38" t="str">
            <v>Impairment Charges</v>
          </cell>
          <cell r="C38">
            <v>-146</v>
          </cell>
          <cell r="D38">
            <v>-176</v>
          </cell>
          <cell r="E38">
            <v>-322</v>
          </cell>
          <cell r="F38">
            <v>6.4279155188246007E-3</v>
          </cell>
          <cell r="G38">
            <v>-146</v>
          </cell>
          <cell r="H38">
            <v>-176</v>
          </cell>
          <cell r="I38">
            <v>-322</v>
          </cell>
          <cell r="K38">
            <v>-188</v>
          </cell>
          <cell r="L38">
            <v>-210</v>
          </cell>
          <cell r="M38">
            <v>-398</v>
          </cell>
          <cell r="O38">
            <v>-195</v>
          </cell>
          <cell r="P38">
            <v>-239</v>
          </cell>
          <cell r="Q38">
            <v>-434</v>
          </cell>
          <cell r="S38">
            <v>-333</v>
          </cell>
          <cell r="T38">
            <v>-597</v>
          </cell>
          <cell r="U38">
            <v>-930</v>
          </cell>
          <cell r="W38">
            <v>-1607</v>
          </cell>
          <cell r="X38">
            <v>-1441</v>
          </cell>
          <cell r="Y38">
            <v>-3048</v>
          </cell>
          <cell r="AA38">
            <v>-1383</v>
          </cell>
          <cell r="AB38">
            <v>-692</v>
          </cell>
          <cell r="AC38">
            <v>-2075</v>
          </cell>
          <cell r="AE38">
            <v>-722</v>
          </cell>
          <cell r="AF38">
            <v>-558</v>
          </cell>
          <cell r="AG38">
            <v>-1280</v>
          </cell>
          <cell r="AH38">
            <v>0.38313253012048187</v>
          </cell>
          <cell r="AI38">
            <v>-545</v>
          </cell>
          <cell r="AJ38">
            <v>-531.95016283428083</v>
          </cell>
          <cell r="AK38">
            <v>-1089</v>
          </cell>
          <cell r="AL38">
            <v>0.14921875000000001</v>
          </cell>
          <cell r="AM38">
            <v>-608.20167801611092</v>
          </cell>
          <cell r="AN38">
            <v>-664.5744821764772</v>
          </cell>
          <cell r="AO38">
            <v>-1272.7761601925881</v>
          </cell>
          <cell r="AP38">
            <v>-0.16875680458456199</v>
          </cell>
          <cell r="AQ38">
            <v>-767.08513512420359</v>
          </cell>
          <cell r="AR38">
            <v>-861.95423762558153</v>
          </cell>
          <cell r="AS38">
            <v>-1629.0393727497851</v>
          </cell>
          <cell r="AU38">
            <v>-920.98576674224887</v>
          </cell>
          <cell r="AV38">
            <v>-942.4216845030428</v>
          </cell>
          <cell r="AW38">
            <v>-1863.4074512452917</v>
          </cell>
          <cell r="AY38">
            <v>-0.24515235457063711</v>
          </cell>
          <cell r="AZ38">
            <v>-2.508960573476704E-2</v>
          </cell>
          <cell r="BA38">
            <v>-0.14921875000000001</v>
          </cell>
          <cell r="BC38">
            <v>0.11596638168093754</v>
          </cell>
          <cell r="BD38">
            <v>0.22164426870675946</v>
          </cell>
          <cell r="BE38">
            <v>0.16875680458456199</v>
          </cell>
          <cell r="BG38">
            <v>0.2612348220188303</v>
          </cell>
          <cell r="BH38">
            <v>0.29700170672019621</v>
          </cell>
          <cell r="BI38">
            <v>0.27991034378212243</v>
          </cell>
          <cell r="BK38">
            <v>0.20063044448531286</v>
          </cell>
          <cell r="BL38">
            <v>9.3354662422826973E-2</v>
          </cell>
          <cell r="BM38">
            <v>0.14386888519452912</v>
          </cell>
        </row>
        <row r="39">
          <cell r="B39" t="str">
            <v>Goodwill Amortisation</v>
          </cell>
          <cell r="C39">
            <v>-162</v>
          </cell>
          <cell r="D39">
            <v>-163</v>
          </cell>
          <cell r="E39">
            <v>-325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K39">
            <v>0</v>
          </cell>
          <cell r="L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U39">
            <v>0</v>
          </cell>
          <cell r="W39">
            <v>0</v>
          </cell>
          <cell r="X39">
            <v>0</v>
          </cell>
          <cell r="Y39">
            <v>0</v>
          </cell>
          <cell r="AA39">
            <v>0</v>
          </cell>
          <cell r="AB39">
            <v>0</v>
          </cell>
          <cell r="AC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U39">
            <v>0</v>
          </cell>
          <cell r="AV39">
            <v>0</v>
          </cell>
          <cell r="AW39">
            <v>0</v>
          </cell>
          <cell r="AY39">
            <v>0</v>
          </cell>
          <cell r="AZ39">
            <v>0</v>
          </cell>
          <cell r="BA39">
            <v>0</v>
          </cell>
        </row>
        <row r="40">
          <cell r="B40" t="str">
            <v>Pre Tax Profit</v>
          </cell>
          <cell r="C40">
            <v>2412</v>
          </cell>
          <cell r="D40">
            <v>2448</v>
          </cell>
          <cell r="E40">
            <v>4860</v>
          </cell>
          <cell r="F40">
            <v>8.7582361885453652E-2</v>
          </cell>
          <cell r="G40">
            <v>2440</v>
          </cell>
          <cell r="H40">
            <v>2471</v>
          </cell>
          <cell r="I40">
            <v>4911</v>
          </cell>
          <cell r="K40">
            <v>2855</v>
          </cell>
          <cell r="L40">
            <v>2834</v>
          </cell>
          <cell r="M40">
            <v>5689</v>
          </cell>
          <cell r="O40">
            <v>3218</v>
          </cell>
          <cell r="P40">
            <v>3118</v>
          </cell>
          <cell r="Q40">
            <v>6336</v>
          </cell>
          <cell r="S40">
            <v>3305</v>
          </cell>
          <cell r="T40">
            <v>3085</v>
          </cell>
          <cell r="U40">
            <v>6390</v>
          </cell>
          <cell r="W40">
            <v>2675</v>
          </cell>
          <cell r="X40">
            <v>3330</v>
          </cell>
          <cell r="Y40">
            <v>6005</v>
          </cell>
          <cell r="AA40">
            <v>4041</v>
          </cell>
          <cell r="AB40">
            <v>4342</v>
          </cell>
          <cell r="AC40">
            <v>8383</v>
          </cell>
          <cell r="AE40">
            <v>4609</v>
          </cell>
          <cell r="AF40">
            <v>4879</v>
          </cell>
          <cell r="AG40">
            <v>9488</v>
          </cell>
          <cell r="AH40">
            <v>0.13181438625790287</v>
          </cell>
          <cell r="AI40">
            <v>4958</v>
          </cell>
          <cell r="AJ40">
            <v>4811.5847465654915</v>
          </cell>
          <cell r="AK40">
            <v>9865</v>
          </cell>
          <cell r="AL40">
            <v>3.9734401349072579E-2</v>
          </cell>
          <cell r="AM40">
            <v>5184.6101243205139</v>
          </cell>
          <cell r="AN40">
            <v>5286.8117196323137</v>
          </cell>
          <cell r="AO40">
            <v>10471.421843952834</v>
          </cell>
          <cell r="AP40">
            <v>6.1472057167038407E-2</v>
          </cell>
          <cell r="AQ40">
            <v>5459.2178900455019</v>
          </cell>
          <cell r="AR40">
            <v>5344.7060527564845</v>
          </cell>
          <cell r="AS40">
            <v>10803.923942801992</v>
          </cell>
          <cell r="AU40">
            <v>5613.6106640887865</v>
          </cell>
          <cell r="AV40">
            <v>5598.8313952284898</v>
          </cell>
          <cell r="AW40">
            <v>11212.442059317276</v>
          </cell>
          <cell r="AY40">
            <v>7.5721414623562522E-2</v>
          </cell>
          <cell r="AZ40">
            <v>5.7388809182210565E-3</v>
          </cell>
          <cell r="BA40">
            <v>3.9734401349072579E-2</v>
          </cell>
          <cell r="BC40">
            <v>4.5705954885137956E-2</v>
          </cell>
          <cell r="BD40">
            <v>7.7402021526862486E-2</v>
          </cell>
          <cell r="BE40">
            <v>6.1472057167038407E-2</v>
          </cell>
          <cell r="BG40">
            <v>5.296594327060955E-2</v>
          </cell>
          <cell r="BH40">
            <v>1.0950708327512881E-2</v>
          </cell>
          <cell r="BI40">
            <v>3.1753290413104152E-2</v>
          </cell>
          <cell r="BK40">
            <v>2.8281115931424683E-2</v>
          </cell>
          <cell r="BL40">
            <v>4.7547112968157057E-2</v>
          </cell>
          <cell r="BM40">
            <v>3.7812013364593833E-2</v>
          </cell>
        </row>
        <row r="41">
          <cell r="B41" t="str">
            <v>Tax Expense</v>
          </cell>
          <cell r="C41">
            <v>-813</v>
          </cell>
          <cell r="D41">
            <v>-824</v>
          </cell>
          <cell r="E41">
            <v>-1637</v>
          </cell>
          <cell r="F41">
            <v>-7.9312865497076057E-2</v>
          </cell>
          <cell r="G41">
            <v>-702</v>
          </cell>
          <cell r="H41">
            <v>-707</v>
          </cell>
          <cell r="I41">
            <v>-1409</v>
          </cell>
          <cell r="K41">
            <v>-776</v>
          </cell>
          <cell r="L41">
            <v>-829</v>
          </cell>
          <cell r="M41">
            <v>-1605</v>
          </cell>
          <cell r="O41">
            <v>-909</v>
          </cell>
          <cell r="P41">
            <v>-873</v>
          </cell>
          <cell r="Q41">
            <v>-1782</v>
          </cell>
          <cell r="S41">
            <v>-905</v>
          </cell>
          <cell r="T41">
            <v>-721</v>
          </cell>
          <cell r="U41">
            <v>-1626</v>
          </cell>
          <cell r="W41">
            <v>-646</v>
          </cell>
          <cell r="X41">
            <v>-914</v>
          </cell>
          <cell r="Y41">
            <v>-1560</v>
          </cell>
          <cell r="AA41">
            <v>-1089</v>
          </cell>
          <cell r="AB41">
            <v>-1177</v>
          </cell>
          <cell r="AC41">
            <v>-2266</v>
          </cell>
          <cell r="AE41">
            <v>-1265</v>
          </cell>
          <cell r="AF41">
            <v>-1372</v>
          </cell>
          <cell r="AG41">
            <v>-2637</v>
          </cell>
          <cell r="AH41">
            <v>-0.16372462488967354</v>
          </cell>
          <cell r="AI41">
            <v>-1373</v>
          </cell>
          <cell r="AJ41">
            <v>-1322.9421869808664</v>
          </cell>
          <cell r="AK41">
            <v>-2736</v>
          </cell>
          <cell r="AL41">
            <v>-3.7542662116040848E-2</v>
          </cell>
          <cell r="AM41">
            <v>-1424.0742076299944</v>
          </cell>
          <cell r="AN41">
            <v>-1451.6062435459287</v>
          </cell>
          <cell r="AO41">
            <v>-2875.6804511759228</v>
          </cell>
          <cell r="AP41">
            <v>-5.1052796482427887E-2</v>
          </cell>
          <cell r="AQ41">
            <v>-1498.5675254241792</v>
          </cell>
          <cell r="AR41">
            <v>-1466.7209377968336</v>
          </cell>
          <cell r="AS41">
            <v>-2965.2884632210125</v>
          </cell>
          <cell r="AU41">
            <v>-1540.8028990323735</v>
          </cell>
          <cell r="AV41">
            <v>-1536.9409155652359</v>
          </cell>
          <cell r="AW41">
            <v>-3077.7438145976093</v>
          </cell>
          <cell r="AY41">
            <v>8.5375494071146196E-2</v>
          </cell>
          <cell r="AZ41">
            <v>-6.5597667638483959E-3</v>
          </cell>
          <cell r="BA41">
            <v>3.7542662116040848E-2</v>
          </cell>
          <cell r="BC41">
            <v>3.7198985892202829E-2</v>
          </cell>
          <cell r="BD41">
            <v>6.500824911660219E-2</v>
          </cell>
          <cell r="BE41">
            <v>5.1052796482427887E-2</v>
          </cell>
          <cell r="BG41">
            <v>5.2309997186284152E-2</v>
          </cell>
          <cell r="BH41">
            <v>1.041239269816252E-2</v>
          </cell>
          <cell r="BI41">
            <v>3.116062913334039E-2</v>
          </cell>
          <cell r="BK41">
            <v>2.8183830819528355E-2</v>
          </cell>
          <cell r="BL41">
            <v>4.7875486030682701E-2</v>
          </cell>
          <cell r="BM41">
            <v>3.7923916263594704E-2</v>
          </cell>
        </row>
        <row r="42">
          <cell r="B42" t="str">
            <v>Reported NPAT</v>
          </cell>
          <cell r="C42">
            <v>1859</v>
          </cell>
          <cell r="D42">
            <v>2132</v>
          </cell>
          <cell r="E42">
            <v>3991</v>
          </cell>
          <cell r="F42">
            <v>7.4471086036671297E-2</v>
          </cell>
          <cell r="G42">
            <v>1712</v>
          </cell>
          <cell r="H42">
            <v>1688</v>
          </cell>
          <cell r="I42">
            <v>3400</v>
          </cell>
          <cell r="K42">
            <v>1999</v>
          </cell>
          <cell r="L42">
            <v>1929</v>
          </cell>
          <cell r="M42">
            <v>3928</v>
          </cell>
          <cell r="O42">
            <v>2191</v>
          </cell>
          <cell r="P42">
            <v>2279</v>
          </cell>
          <cell r="Q42">
            <v>4470</v>
          </cell>
          <cell r="S42">
            <v>2371</v>
          </cell>
          <cell r="T42">
            <v>2420</v>
          </cell>
          <cell r="U42">
            <v>4791</v>
          </cell>
          <cell r="W42">
            <v>2573</v>
          </cell>
          <cell r="X42">
            <v>2150</v>
          </cell>
          <cell r="Y42">
            <v>4723</v>
          </cell>
          <cell r="AA42">
            <v>2914</v>
          </cell>
          <cell r="AB42">
            <v>2750</v>
          </cell>
          <cell r="AC42">
            <v>5664</v>
          </cell>
          <cell r="AE42">
            <v>3052</v>
          </cell>
          <cell r="AF42">
            <v>3342</v>
          </cell>
          <cell r="AG42">
            <v>6394</v>
          </cell>
          <cell r="AH42">
            <v>0.12888418079096042</v>
          </cell>
          <cell r="AI42">
            <v>3624</v>
          </cell>
          <cell r="AJ42">
            <v>3486.8425595846247</v>
          </cell>
          <cell r="AK42">
            <v>7090</v>
          </cell>
          <cell r="AL42">
            <v>0.10885204879574606</v>
          </cell>
          <cell r="AM42">
            <v>3732.7359166905194</v>
          </cell>
          <cell r="AN42">
            <v>3806.5734760863847</v>
          </cell>
          <cell r="AO42">
            <v>7539.3093927769114</v>
          </cell>
          <cell r="AP42">
            <v>6.3372269785177959E-2</v>
          </cell>
          <cell r="AQ42">
            <v>3931.1530846213227</v>
          </cell>
          <cell r="AR42">
            <v>3847.5879437596504</v>
          </cell>
          <cell r="AS42">
            <v>7778.7410283809795</v>
          </cell>
          <cell r="AU42">
            <v>4041.4747070084127</v>
          </cell>
          <cell r="AV42">
            <v>4029.584099293334</v>
          </cell>
          <cell r="AW42">
            <v>8071.0588063017467</v>
          </cell>
          <cell r="AY42">
            <v>0.18741808650065539</v>
          </cell>
          <cell r="AZ42">
            <v>3.7103530819868391E-2</v>
          </cell>
          <cell r="BA42">
            <v>0.10885204879574606</v>
          </cell>
          <cell r="BC42">
            <v>3.0004392022770165E-2</v>
          </cell>
          <cell r="BD42">
            <v>9.8261245264392505E-2</v>
          </cell>
          <cell r="BE42">
            <v>6.3372269785177959E-2</v>
          </cell>
          <cell r="BG42">
            <v>5.3155961835821941E-2</v>
          </cell>
          <cell r="BH42">
            <v>1.0774642320955152E-2</v>
          </cell>
          <cell r="BI42">
            <v>3.175776760580451E-2</v>
          </cell>
          <cell r="BK42">
            <v>2.8063425669854647E-2</v>
          </cell>
          <cell r="BL42">
            <v>4.7301363398037699E-2</v>
          </cell>
          <cell r="BM42">
            <v>3.7579060268780884E-2</v>
          </cell>
        </row>
        <row r="43">
          <cell r="B43" t="str">
            <v>Reported Cash Profit</v>
          </cell>
          <cell r="C43">
            <v>1756</v>
          </cell>
          <cell r="D43">
            <v>1782</v>
          </cell>
          <cell r="E43">
            <v>3538</v>
          </cell>
          <cell r="F43">
            <v>7.4471086036671297E-2</v>
          </cell>
          <cell r="G43">
            <v>1733</v>
          </cell>
          <cell r="H43">
            <v>1759</v>
          </cell>
          <cell r="I43">
            <v>3492</v>
          </cell>
          <cell r="K43">
            <v>2061</v>
          </cell>
          <cell r="L43">
            <v>1992</v>
          </cell>
          <cell r="M43">
            <v>4053</v>
          </cell>
          <cell r="O43">
            <v>2296</v>
          </cell>
          <cell r="P43">
            <v>2231</v>
          </cell>
          <cell r="Q43">
            <v>4527</v>
          </cell>
          <cell r="S43">
            <v>2385</v>
          </cell>
          <cell r="T43">
            <v>2379</v>
          </cell>
          <cell r="U43">
            <v>4764</v>
          </cell>
          <cell r="W43">
            <v>2013</v>
          </cell>
          <cell r="X43">
            <v>2402</v>
          </cell>
          <cell r="Y43">
            <v>4415</v>
          </cell>
          <cell r="AA43">
            <v>2943</v>
          </cell>
          <cell r="AB43">
            <v>3158</v>
          </cell>
          <cell r="AC43">
            <v>6101</v>
          </cell>
          <cell r="AE43">
            <v>3335</v>
          </cell>
          <cell r="AF43">
            <v>3500</v>
          </cell>
          <cell r="AG43">
            <v>6835</v>
          </cell>
          <cell r="AH43">
            <v>0.12888418079096042</v>
          </cell>
          <cell r="AI43">
            <v>3576</v>
          </cell>
          <cell r="AJ43">
            <v>3481.6425595846249</v>
          </cell>
          <cell r="AK43">
            <v>7113</v>
          </cell>
          <cell r="AL43">
            <v>0.10885204879574606</v>
          </cell>
          <cell r="AM43">
            <v>3753.5359166905196</v>
          </cell>
          <cell r="AN43">
            <v>3828.2054760863848</v>
          </cell>
          <cell r="AO43">
            <v>7581.7413927769112</v>
          </cell>
          <cell r="AP43">
            <v>6.3372269785177959E-2</v>
          </cell>
          <cell r="AQ43">
            <v>3953.6503646213228</v>
          </cell>
          <cell r="AR43">
            <v>3870.9851149596507</v>
          </cell>
          <cell r="AS43">
            <v>7824.6354795809793</v>
          </cell>
          <cell r="AU43">
            <v>4065.8077650564128</v>
          </cell>
          <cell r="AV43">
            <v>4054.8904796632542</v>
          </cell>
          <cell r="AW43">
            <v>8120.6982447196669</v>
          </cell>
          <cell r="AY43">
            <v>7.2263868065967074E-2</v>
          </cell>
          <cell r="AZ43">
            <v>1.0571428571428676E-2</v>
          </cell>
          <cell r="BA43">
            <v>4.0673006583760163E-2</v>
          </cell>
          <cell r="BC43">
            <v>4.9646509141644257E-2</v>
          </cell>
          <cell r="BD43">
            <v>8.2331206131293522E-2</v>
          </cell>
          <cell r="BE43">
            <v>6.5899253869943886E-2</v>
          </cell>
          <cell r="BG43">
            <v>5.3313582811602256E-2</v>
          </cell>
          <cell r="BH43">
            <v>1.1174854416905466E-2</v>
          </cell>
          <cell r="BI43">
            <v>3.2036714815341982E-2</v>
          </cell>
          <cell r="BK43">
            <v>2.8368062446470832E-2</v>
          </cell>
          <cell r="BL43">
            <v>4.7508672661356943E-2</v>
          </cell>
          <cell r="BM43">
            <v>3.7837259756225983E-2</v>
          </cell>
        </row>
        <row r="44">
          <cell r="B44" t="str">
            <v>Modelware Profit</v>
          </cell>
          <cell r="C44">
            <v>1714</v>
          </cell>
          <cell r="D44">
            <v>1798</v>
          </cell>
          <cell r="E44">
            <v>3512</v>
          </cell>
          <cell r="F44">
            <v>9.1783340404469005E-2</v>
          </cell>
          <cell r="G44">
            <v>1691</v>
          </cell>
          <cell r="H44">
            <v>1775</v>
          </cell>
          <cell r="I44">
            <v>3466</v>
          </cell>
          <cell r="K44">
            <v>1925.8</v>
          </cell>
          <cell r="L44">
            <v>1973.2</v>
          </cell>
          <cell r="M44">
            <v>3899</v>
          </cell>
          <cell r="O44">
            <v>2268</v>
          </cell>
          <cell r="P44">
            <v>2220</v>
          </cell>
          <cell r="Q44">
            <v>4488</v>
          </cell>
          <cell r="S44">
            <v>2360</v>
          </cell>
          <cell r="T44">
            <v>2325</v>
          </cell>
          <cell r="U44">
            <v>4685</v>
          </cell>
          <cell r="W44">
            <v>1987</v>
          </cell>
          <cell r="X44">
            <v>2371</v>
          </cell>
          <cell r="Y44">
            <v>4358</v>
          </cell>
          <cell r="AA44">
            <v>2919</v>
          </cell>
          <cell r="AB44">
            <v>3135</v>
          </cell>
          <cell r="AC44">
            <v>6054</v>
          </cell>
          <cell r="AE44">
            <v>3313</v>
          </cell>
          <cell r="AF44">
            <v>3480</v>
          </cell>
          <cell r="AG44">
            <v>6793</v>
          </cell>
          <cell r="AH44">
            <v>0.12206805417905509</v>
          </cell>
          <cell r="AI44">
            <v>3556</v>
          </cell>
          <cell r="AJ44">
            <v>3461.6425595846249</v>
          </cell>
          <cell r="AK44">
            <v>7071</v>
          </cell>
          <cell r="AL44">
            <v>4.0924481083468356E-2</v>
          </cell>
          <cell r="AM44">
            <v>3731.5359166905196</v>
          </cell>
          <cell r="AN44">
            <v>3806.2054760863848</v>
          </cell>
          <cell r="AO44">
            <v>7537.7413927769112</v>
          </cell>
          <cell r="AP44">
            <v>6.6007833796762894E-2</v>
          </cell>
          <cell r="AQ44">
            <v>3931.6503646213228</v>
          </cell>
          <cell r="AR44">
            <v>3848.9851149596507</v>
          </cell>
          <cell r="AS44">
            <v>7780.6354795809793</v>
          </cell>
          <cell r="AU44">
            <v>4043.8077650564128</v>
          </cell>
          <cell r="AV44">
            <v>4032.8904796632542</v>
          </cell>
          <cell r="AW44">
            <v>8076.6982447196669</v>
          </cell>
          <cell r="AY44">
            <v>7.334741925747057E-2</v>
          </cell>
          <cell r="AZ44">
            <v>1.0057471264367734E-2</v>
          </cell>
          <cell r="BA44">
            <v>4.0924481083468356E-2</v>
          </cell>
          <cell r="BC44">
            <v>4.9363306155939091E-2</v>
          </cell>
          <cell r="BD44">
            <v>8.2846508132684127E-2</v>
          </cell>
          <cell r="BE44">
            <v>6.6007833796762894E-2</v>
          </cell>
          <cell r="BG44">
            <v>5.3627903468843829E-2</v>
          </cell>
          <cell r="BH44">
            <v>1.1239445464003905E-2</v>
          </cell>
          <cell r="BI44">
            <v>3.2223722484937323E-2</v>
          </cell>
          <cell r="BK44">
            <v>2.8526799189554142E-2</v>
          </cell>
          <cell r="BL44">
            <v>4.778022237312074E-2</v>
          </cell>
          <cell r="BM44">
            <v>3.8051231922592521E-2</v>
          </cell>
        </row>
        <row r="45">
          <cell r="B45" t="str">
            <v>Basic Cash EPS</v>
          </cell>
          <cell r="C45">
            <v>135.0669818754925</v>
          </cell>
          <cell r="D45">
            <v>140.79874706342991</v>
          </cell>
          <cell r="E45">
            <v>275.88373919874311</v>
          </cell>
          <cell r="F45">
            <v>7.2689065868975575</v>
          </cell>
          <cell r="G45">
            <v>133.67588932806325</v>
          </cell>
          <cell r="H45">
            <v>139.43440691280441</v>
          </cell>
          <cell r="I45">
            <v>273.12844759653274</v>
          </cell>
          <cell r="K45">
            <v>149.57064793130368</v>
          </cell>
          <cell r="L45">
            <v>155.01945525291831</v>
          </cell>
          <cell r="M45">
            <v>304.59859703819177</v>
          </cell>
          <cell r="O45">
            <v>176.63551401869159</v>
          </cell>
          <cell r="P45">
            <v>170.45630317092034</v>
          </cell>
          <cell r="Q45">
            <v>347.070236709352</v>
          </cell>
          <cell r="S45">
            <v>180.70444104134762</v>
          </cell>
          <cell r="T45">
            <v>176.24317768344451</v>
          </cell>
          <cell r="U45">
            <v>356.92518665244557</v>
          </cell>
          <cell r="W45">
            <v>146.3181148748159</v>
          </cell>
          <cell r="X45">
            <v>158.5433536834081</v>
          </cell>
          <cell r="Y45">
            <v>305.61009817671811</v>
          </cell>
          <cell r="AA45">
            <v>191.66119500984897</v>
          </cell>
          <cell r="AB45">
            <v>203.70370370370372</v>
          </cell>
          <cell r="AC45">
            <v>395.45365471291393</v>
          </cell>
          <cell r="AE45">
            <v>214.29495472186289</v>
          </cell>
          <cell r="AF45">
            <v>224.37137330754351</v>
          </cell>
          <cell r="AG45">
            <v>438.82428940568474</v>
          </cell>
          <cell r="AH45">
            <v>10.967311637126343</v>
          </cell>
          <cell r="AI45">
            <v>227.36572890025576</v>
          </cell>
          <cell r="AJ45">
            <v>218.16559132049611</v>
          </cell>
          <cell r="AK45">
            <v>449.52320406865863</v>
          </cell>
          <cell r="AL45">
            <v>2.4380862502993494</v>
          </cell>
          <cell r="AM45">
            <v>233.11803256943114</v>
          </cell>
          <cell r="AN45">
            <v>235.69092313809006</v>
          </cell>
          <cell r="AO45">
            <v>468.82032322484611</v>
          </cell>
          <cell r="AP45">
            <v>4.2927971195987737</v>
          </cell>
          <cell r="AQ45">
            <v>241.63886209595077</v>
          </cell>
          <cell r="AR45">
            <v>234.84405808174364</v>
          </cell>
          <cell r="AS45">
            <v>476.45821157929697</v>
          </cell>
          <cell r="AU45">
            <v>248.47028780535609</v>
          </cell>
          <cell r="AV45">
            <v>249.61948525177195</v>
          </cell>
          <cell r="AW45">
            <v>498.08556825904918</v>
          </cell>
          <cell r="AY45">
            <v>6.0994315966783397E-2</v>
          </cell>
          <cell r="AZ45">
            <v>-1.0360620384690766E-2</v>
          </cell>
          <cell r="BA45">
            <v>2.4380862502993539E-2</v>
          </cell>
          <cell r="BC45">
            <v>2.5299783291873768E-2</v>
          </cell>
          <cell r="BD45">
            <v>6.1447315298994498E-2</v>
          </cell>
          <cell r="BE45">
            <v>4.2927971195987791E-2</v>
          </cell>
          <cell r="BG45">
            <v>3.6551567601197155E-2</v>
          </cell>
          <cell r="BH45">
            <v>-3.5931169731565626E-3</v>
          </cell>
          <cell r="BI45">
            <v>1.6291717692425545E-2</v>
          </cell>
          <cell r="BK45">
            <v>2.8271221152716297E-2</v>
          </cell>
          <cell r="BL45">
            <v>6.291590807413705E-2</v>
          </cell>
          <cell r="BM45">
            <v>4.5391927674128807E-2</v>
          </cell>
        </row>
        <row r="46">
          <cell r="B46" t="str">
            <v>Basic Cash EPS</v>
          </cell>
          <cell r="C46">
            <v>233.70927318295739</v>
          </cell>
          <cell r="D46">
            <v>248.44333748443339</v>
          </cell>
          <cell r="E46">
            <v>482.19862585883828</v>
          </cell>
          <cell r="F46">
            <v>7.2689065868975575</v>
          </cell>
          <cell r="G46">
            <v>263.82846488502179</v>
          </cell>
          <cell r="H46">
            <v>267.63321673236675</v>
          </cell>
          <cell r="I46">
            <v>531.47014786931152</v>
          </cell>
          <cell r="K46">
            <v>149.57064793130368</v>
          </cell>
          <cell r="L46">
            <v>155.01945525291831</v>
          </cell>
          <cell r="M46">
            <v>304.59859703819177</v>
          </cell>
          <cell r="O46">
            <v>176.63551401869159</v>
          </cell>
          <cell r="P46">
            <v>170.45630317092034</v>
          </cell>
          <cell r="Q46">
            <v>347.070236709352</v>
          </cell>
          <cell r="S46">
            <v>180.70444104134762</v>
          </cell>
          <cell r="T46">
            <v>176.24317768344451</v>
          </cell>
          <cell r="U46">
            <v>356.92518665244557</v>
          </cell>
          <cell r="W46">
            <v>146.3181148748159</v>
          </cell>
          <cell r="X46">
            <v>158.5433536834081</v>
          </cell>
          <cell r="Y46">
            <v>305.61009817671811</v>
          </cell>
          <cell r="AA46">
            <v>191.66119500984897</v>
          </cell>
          <cell r="AB46">
            <v>203.70370370370372</v>
          </cell>
          <cell r="AC46">
            <v>395.45365471291393</v>
          </cell>
          <cell r="AE46">
            <v>214.29495472186289</v>
          </cell>
          <cell r="AF46">
            <v>224.37137330754351</v>
          </cell>
          <cell r="AG46">
            <v>438.82428940568474</v>
          </cell>
          <cell r="AH46">
            <v>10.967311637126343</v>
          </cell>
          <cell r="AI46">
            <v>227.36572890025576</v>
          </cell>
          <cell r="AJ46">
            <v>218.16559132049611</v>
          </cell>
          <cell r="AK46">
            <v>449.52320406865863</v>
          </cell>
          <cell r="AL46">
            <v>2.4380862502993494</v>
          </cell>
          <cell r="AM46">
            <v>233.11803256943114</v>
          </cell>
          <cell r="AN46">
            <v>235.69092313809006</v>
          </cell>
          <cell r="AO46">
            <v>468.82032322484611</v>
          </cell>
          <cell r="AP46">
            <v>4.2927971195987737</v>
          </cell>
          <cell r="AQ46">
            <v>241.63886209595077</v>
          </cell>
          <cell r="AR46">
            <v>234.84405808174364</v>
          </cell>
          <cell r="AS46">
            <v>476.45821157929697</v>
          </cell>
          <cell r="AU46">
            <v>248.47028780535609</v>
          </cell>
          <cell r="AV46">
            <v>249.61948525177195</v>
          </cell>
          <cell r="AW46">
            <v>498.08556825904918</v>
          </cell>
          <cell r="AY46">
            <v>6.0994315966783397E-2</v>
          </cell>
          <cell r="AZ46">
            <v>-1.0360620384690766E-2</v>
          </cell>
          <cell r="BA46">
            <v>2.4380862502993539E-2</v>
          </cell>
          <cell r="BC46">
            <v>2.5299783291873768E-2</v>
          </cell>
          <cell r="BD46">
            <v>6.1447315298994498E-2</v>
          </cell>
          <cell r="BE46">
            <v>4.2927971195987791E-2</v>
          </cell>
          <cell r="BG46">
            <v>3.6551567601197155E-2</v>
          </cell>
          <cell r="BH46">
            <v>-3.5931169731565626E-3</v>
          </cell>
          <cell r="BI46">
            <v>1.6291717692425545E-2</v>
          </cell>
          <cell r="BK46">
            <v>2.8271221152716297E-2</v>
          </cell>
          <cell r="BL46">
            <v>6.291590807413705E-2</v>
          </cell>
          <cell r="BM46">
            <v>4.5391927674128807E-2</v>
          </cell>
        </row>
        <row r="47">
          <cell r="B47" t="str">
            <v>Modelware EPS</v>
          </cell>
          <cell r="C47">
            <v>134.96062992125982</v>
          </cell>
          <cell r="D47">
            <v>140.68857589984353</v>
          </cell>
          <cell r="E47">
            <v>275.66718995290421</v>
          </cell>
          <cell r="F47">
            <v>8.0712482989291345</v>
          </cell>
          <cell r="G47">
            <v>130.42824943651391</v>
          </cell>
          <cell r="H47">
            <v>136.94507148231753</v>
          </cell>
          <cell r="I47">
            <v>267.36842105263156</v>
          </cell>
          <cell r="K47">
            <v>147.92198049512376</v>
          </cell>
          <cell r="L47">
            <v>150.83333333333334</v>
          </cell>
          <cell r="M47">
            <v>298.87892376681611</v>
          </cell>
          <cell r="O47">
            <v>172.65646301113463</v>
          </cell>
          <cell r="P47">
            <v>169.24778761061947</v>
          </cell>
          <cell r="Q47">
            <v>343.17425083240846</v>
          </cell>
          <cell r="S47">
            <v>177.92207792207793</v>
          </cell>
          <cell r="T47">
            <v>169.86778009742517</v>
          </cell>
          <cell r="U47">
            <v>343.05089485458615</v>
          </cell>
          <cell r="W47">
            <v>136.59961064243998</v>
          </cell>
          <cell r="X47">
            <v>150.85100989805193</v>
          </cell>
          <cell r="Y47">
            <v>292.37885094146634</v>
          </cell>
          <cell r="AA47">
            <v>185.11426806670787</v>
          </cell>
          <cell r="AB47">
            <v>195.24954900781719</v>
          </cell>
          <cell r="AC47">
            <v>379.82845671877851</v>
          </cell>
          <cell r="AE47">
            <v>205.69203115638106</v>
          </cell>
          <cell r="AF47">
            <v>215.01196172248802</v>
          </cell>
          <cell r="AG47">
            <v>420.58647516457211</v>
          </cell>
          <cell r="AH47">
            <v>10.730638456604751</v>
          </cell>
          <cell r="AI47">
            <v>218.89952153110048</v>
          </cell>
          <cell r="AJ47">
            <v>211.472772884215</v>
          </cell>
          <cell r="AK47">
            <v>433.51222420989865</v>
          </cell>
          <cell r="AL47">
            <v>3.0732678791605963</v>
          </cell>
          <cell r="AM47">
            <v>225.06146621729135</v>
          </cell>
          <cell r="AN47">
            <v>228.94099596257084</v>
          </cell>
          <cell r="AO47">
            <v>454.0133331976935</v>
          </cell>
          <cell r="AP47">
            <v>4.7290728710497802</v>
          </cell>
          <cell r="AQ47">
            <v>235.21372692784433</v>
          </cell>
          <cell r="AR47">
            <v>229.37259103641091</v>
          </cell>
          <cell r="AS47">
            <v>464.57332689731959</v>
          </cell>
          <cell r="AU47">
            <v>242.85255546668506</v>
          </cell>
          <cell r="AV47">
            <v>244.45910793393358</v>
          </cell>
          <cell r="AW47">
            <v>487.30425114964441</v>
          </cell>
          <cell r="AY47">
            <v>6.4210024571531354E-2</v>
          </cell>
          <cell r="AZ47">
            <v>-4.7561612032781531E-3</v>
          </cell>
          <cell r="BA47">
            <v>3.0732678791606016E-2</v>
          </cell>
          <cell r="BC47">
            <v>2.8149648948937456E-2</v>
          </cell>
          <cell r="BD47">
            <v>6.9871080855559597E-2</v>
          </cell>
          <cell r="BE47">
            <v>4.7290728710497776E-2</v>
          </cell>
          <cell r="BG47">
            <v>4.5108835738016717E-2</v>
          </cell>
          <cell r="BH47">
            <v>1.885180380322149E-3</v>
          </cell>
          <cell r="BI47">
            <v>2.3259214933733841E-2</v>
          </cell>
          <cell r="BK47">
            <v>3.2476117098319213E-2</v>
          </cell>
          <cell r="BL47">
            <v>6.5772971519198808E-2</v>
          </cell>
          <cell r="BM47">
            <v>4.8928603809724969E-2</v>
          </cell>
        </row>
        <row r="48">
          <cell r="B48" t="str">
            <v>Dividend per Share</v>
          </cell>
          <cell r="C48">
            <v>85</v>
          </cell>
          <cell r="D48">
            <v>112</v>
          </cell>
          <cell r="E48">
            <v>197</v>
          </cell>
          <cell r="F48">
            <v>8.9820359281437021</v>
          </cell>
          <cell r="G48">
            <v>85</v>
          </cell>
          <cell r="H48">
            <v>112</v>
          </cell>
          <cell r="I48">
            <v>197</v>
          </cell>
          <cell r="K48">
            <v>94</v>
          </cell>
          <cell r="L48">
            <v>130</v>
          </cell>
          <cell r="M48">
            <v>224</v>
          </cell>
          <cell r="O48">
            <v>107</v>
          </cell>
          <cell r="P48">
            <v>149</v>
          </cell>
          <cell r="Q48">
            <v>256</v>
          </cell>
          <cell r="S48">
            <v>113</v>
          </cell>
          <cell r="T48">
            <v>153</v>
          </cell>
          <cell r="U48">
            <v>266</v>
          </cell>
          <cell r="W48">
            <v>113</v>
          </cell>
          <cell r="X48">
            <v>115</v>
          </cell>
          <cell r="Y48">
            <v>228</v>
          </cell>
          <cell r="AA48">
            <v>120</v>
          </cell>
          <cell r="AB48">
            <v>170</v>
          </cell>
          <cell r="AC48">
            <v>290</v>
          </cell>
          <cell r="AE48">
            <v>132</v>
          </cell>
          <cell r="AF48">
            <v>188</v>
          </cell>
          <cell r="AG48">
            <v>320</v>
          </cell>
          <cell r="AH48">
            <v>10.34482758620689</v>
          </cell>
          <cell r="AI48">
            <v>137</v>
          </cell>
          <cell r="AJ48">
            <v>188</v>
          </cell>
          <cell r="AK48">
            <v>334</v>
          </cell>
          <cell r="AL48">
            <v>4.375</v>
          </cell>
          <cell r="AM48">
            <v>161</v>
          </cell>
          <cell r="AN48">
            <v>192</v>
          </cell>
          <cell r="AO48">
            <v>353</v>
          </cell>
          <cell r="AP48">
            <v>5.6886227544910213</v>
          </cell>
          <cell r="AQ48">
            <v>166</v>
          </cell>
          <cell r="AR48">
            <v>195</v>
          </cell>
          <cell r="AS48">
            <v>361</v>
          </cell>
          <cell r="AU48">
            <v>172</v>
          </cell>
          <cell r="AV48">
            <v>203</v>
          </cell>
          <cell r="AW48">
            <v>375</v>
          </cell>
          <cell r="AY48">
            <v>3.7878787878787845E-2</v>
          </cell>
          <cell r="AZ48">
            <v>4.7872340425531901E-2</v>
          </cell>
          <cell r="BA48">
            <v>4.3749999999999997E-2</v>
          </cell>
          <cell r="BC48">
            <v>0.17518248175182483</v>
          </cell>
          <cell r="BD48">
            <v>-2.5380710659898442E-2</v>
          </cell>
          <cell r="BE48">
            <v>5.6886227544910239E-2</v>
          </cell>
          <cell r="BG48">
            <v>3.105590062111796E-2</v>
          </cell>
          <cell r="BH48">
            <v>1.5625E-2</v>
          </cell>
          <cell r="BI48">
            <v>2.2662889518413554E-2</v>
          </cell>
          <cell r="BK48">
            <v>3.6144578313253017E-2</v>
          </cell>
          <cell r="BL48">
            <v>4.1025641025641102E-2</v>
          </cell>
          <cell r="BM48">
            <v>3.8781163434903121E-2</v>
          </cell>
        </row>
        <row r="49">
          <cell r="B49" t="str">
            <v>Dividend Payout Ratio</v>
          </cell>
          <cell r="C49">
            <v>63.173547257876308</v>
          </cell>
          <cell r="D49">
            <v>79.750236743047836</v>
          </cell>
          <cell r="E49">
            <v>71.660132592255138</v>
          </cell>
          <cell r="F49">
            <v>0</v>
          </cell>
          <cell r="G49">
            <v>64.032797161442929</v>
          </cell>
          <cell r="H49">
            <v>80.783620092394386</v>
          </cell>
          <cell r="I49">
            <v>72.611190324293133</v>
          </cell>
          <cell r="K49">
            <v>62.895885619482804</v>
          </cell>
          <cell r="L49">
            <v>84.521405924386798</v>
          </cell>
          <cell r="M49">
            <v>73.840096100538616</v>
          </cell>
          <cell r="O49">
            <v>60.860631055555558</v>
          </cell>
          <cell r="P49">
            <v>87.29140676756758</v>
          </cell>
          <cell r="Q49">
            <v>73.934677864973267</v>
          </cell>
          <cell r="S49">
            <v>63.010058130508476</v>
          </cell>
          <cell r="T49">
            <v>87.267967389677423</v>
          </cell>
          <cell r="U49">
            <v>75.048401572892203</v>
          </cell>
          <cell r="W49">
            <v>83.666602291897334</v>
          </cell>
          <cell r="X49">
            <v>73.666015577815287</v>
          </cell>
          <cell r="Y49">
            <v>78.225714017668665</v>
          </cell>
          <cell r="AA49">
            <v>63.072809126413155</v>
          </cell>
          <cell r="AB49">
            <v>83.982568925039871</v>
          </cell>
          <cell r="AC49">
            <v>73.900707535513703</v>
          </cell>
          <cell r="AE49">
            <v>61.713170470268643</v>
          </cell>
          <cell r="AF49">
            <v>84.202241917241366</v>
          </cell>
          <cell r="AG49">
            <v>73.23414332989843</v>
          </cell>
          <cell r="AH49">
            <v>0</v>
          </cell>
          <cell r="AI49">
            <v>60.92110271119234</v>
          </cell>
          <cell r="AJ49">
            <v>86.467627874075319</v>
          </cell>
          <cell r="AK49">
            <v>74.995040715740345</v>
          </cell>
          <cell r="AL49">
            <v>0</v>
          </cell>
          <cell r="AM49">
            <v>69.432704591161112</v>
          </cell>
          <cell r="AN49">
            <v>81.747896228055922</v>
          </cell>
          <cell r="AO49">
            <v>75.651298120028954</v>
          </cell>
          <cell r="AP49">
            <v>0</v>
          </cell>
          <cell r="AQ49">
            <v>68.972327279358737</v>
          </cell>
          <cell r="AR49">
            <v>83.305820844714276</v>
          </cell>
          <cell r="AS49">
            <v>76.062931063998974</v>
          </cell>
          <cell r="AU49">
            <v>68.507252196410079</v>
          </cell>
          <cell r="AV49">
            <v>81.574191536611394</v>
          </cell>
          <cell r="AW49">
            <v>75.031890565546547</v>
          </cell>
          <cell r="AY49">
            <v>70.611138202070137</v>
          </cell>
          <cell r="AZ49">
            <v>79.931541369534699</v>
          </cell>
          <cell r="BA49">
            <v>75.323615509597005</v>
          </cell>
        </row>
        <row r="50">
          <cell r="B50" t="str">
            <v>Gross Loans &amp; Advances</v>
          </cell>
          <cell r="C50">
            <v>209601</v>
          </cell>
          <cell r="D50">
            <v>220666</v>
          </cell>
          <cell r="E50">
            <v>220666</v>
          </cell>
          <cell r="F50">
            <v>4.9297450456283753</v>
          </cell>
          <cell r="G50">
            <v>215992</v>
          </cell>
          <cell r="H50">
            <v>231484</v>
          </cell>
          <cell r="I50">
            <v>231484</v>
          </cell>
          <cell r="K50">
            <v>248367</v>
          </cell>
          <cell r="L50">
            <v>261972</v>
          </cell>
          <cell r="M50">
            <v>261972</v>
          </cell>
          <cell r="O50">
            <v>280690</v>
          </cell>
          <cell r="P50">
            <v>318618</v>
          </cell>
          <cell r="Q50">
            <v>318618</v>
          </cell>
          <cell r="R50">
            <v>0</v>
          </cell>
          <cell r="S50">
            <v>346508</v>
          </cell>
          <cell r="T50">
            <v>365224</v>
          </cell>
          <cell r="U50">
            <v>365224</v>
          </cell>
          <cell r="W50">
            <v>466868</v>
          </cell>
          <cell r="X50">
            <v>488500</v>
          </cell>
          <cell r="Y50">
            <v>488500</v>
          </cell>
          <cell r="Z50">
            <v>27.378735964871105</v>
          </cell>
          <cell r="AA50">
            <v>500644</v>
          </cell>
          <cell r="AB50">
            <v>512838</v>
          </cell>
          <cell r="AC50">
            <v>512838</v>
          </cell>
          <cell r="AD50">
            <v>4.9821903787103272</v>
          </cell>
          <cell r="AE50">
            <v>509779</v>
          </cell>
          <cell r="AF50">
            <v>518075</v>
          </cell>
          <cell r="AG50">
            <v>518075</v>
          </cell>
          <cell r="AH50">
            <v>1.0211801777559426</v>
          </cell>
          <cell r="AI50">
            <v>530899</v>
          </cell>
          <cell r="AJ50">
            <v>539788.86893253447</v>
          </cell>
          <cell r="AK50">
            <v>542097</v>
          </cell>
          <cell r="AL50">
            <v>4.6367803889398207</v>
          </cell>
          <cell r="AM50">
            <v>551694.17181095178</v>
          </cell>
          <cell r="AN50">
            <v>564178.42499598907</v>
          </cell>
          <cell r="AO50">
            <v>564178.42499598907</v>
          </cell>
          <cell r="AP50">
            <v>4.0733346607690235</v>
          </cell>
          <cell r="AQ50">
            <v>575596.99360077456</v>
          </cell>
          <cell r="AR50">
            <v>587131.36005708214</v>
          </cell>
          <cell r="AS50">
            <v>587131.36005708214</v>
          </cell>
          <cell r="AU50">
            <v>598742.63910262613</v>
          </cell>
          <cell r="AV50">
            <v>610584.173506747</v>
          </cell>
          <cell r="AW50">
            <v>610584.173506747</v>
          </cell>
          <cell r="AY50">
            <v>4.142971758350189E-2</v>
          </cell>
          <cell r="AZ50">
            <v>4.6367803889398207E-2</v>
          </cell>
          <cell r="BA50">
            <v>4.6367803889398207E-2</v>
          </cell>
          <cell r="BC50">
            <v>3.9169732493283593E-2</v>
          </cell>
          <cell r="BD50">
            <v>4.0733346607690235E-2</v>
          </cell>
          <cell r="BE50">
            <v>4.0733346607690235E-2</v>
          </cell>
          <cell r="BG50">
            <v>4.3326217696592728E-2</v>
          </cell>
          <cell r="BH50">
            <v>4.0683822784000068E-2</v>
          </cell>
          <cell r="BI50">
            <v>4.0683822784000068E-2</v>
          </cell>
          <cell r="BK50">
            <v>4.0211546896829375E-2</v>
          </cell>
          <cell r="BL50">
            <v>3.9944746687325283E-2</v>
          </cell>
          <cell r="BM50">
            <v>3.9944746687325283E-2</v>
          </cell>
        </row>
        <row r="51">
          <cell r="B51" t="str">
            <v>Average Interest Earning Assets (restated)</v>
          </cell>
          <cell r="C51">
            <v>238402</v>
          </cell>
          <cell r="D51">
            <v>249494</v>
          </cell>
          <cell r="E51">
            <v>243948</v>
          </cell>
          <cell r="F51">
            <v>3.8038066652373859</v>
          </cell>
          <cell r="G51">
            <v>239150</v>
          </cell>
          <cell r="H51">
            <v>250357</v>
          </cell>
          <cell r="I51">
            <v>244753.5</v>
          </cell>
          <cell r="K51">
            <v>267169</v>
          </cell>
          <cell r="L51">
            <v>282553</v>
          </cell>
          <cell r="M51">
            <v>274798</v>
          </cell>
          <cell r="O51">
            <v>321383</v>
          </cell>
          <cell r="P51">
            <v>343614</v>
          </cell>
          <cell r="Q51">
            <v>332492</v>
          </cell>
          <cell r="S51">
            <v>370819</v>
          </cell>
          <cell r="T51">
            <v>400678</v>
          </cell>
          <cell r="U51">
            <v>385667</v>
          </cell>
          <cell r="W51">
            <v>436722</v>
          </cell>
          <cell r="X51">
            <v>526512</v>
          </cell>
          <cell r="Y51">
            <v>481248</v>
          </cell>
          <cell r="Z51">
            <v>24.783297507953762</v>
          </cell>
          <cell r="AA51">
            <v>547379</v>
          </cell>
          <cell r="AB51">
            <v>560197</v>
          </cell>
          <cell r="AC51">
            <v>553735</v>
          </cell>
          <cell r="AD51">
            <v>15.062296362790084</v>
          </cell>
          <cell r="AE51">
            <v>573800</v>
          </cell>
          <cell r="AF51">
            <v>578982</v>
          </cell>
          <cell r="AG51">
            <v>576369</v>
          </cell>
          <cell r="AH51">
            <v>0</v>
          </cell>
          <cell r="AI51">
            <v>622898</v>
          </cell>
          <cell r="AJ51">
            <v>640076.57245509326</v>
          </cell>
          <cell r="AK51">
            <v>629685</v>
          </cell>
          <cell r="AL51">
            <v>5.4031931383347276</v>
          </cell>
          <cell r="AM51">
            <v>645055.61204322928</v>
          </cell>
          <cell r="AN51">
            <v>662028.1879453538</v>
          </cell>
          <cell r="AO51">
            <v>653541.8999942916</v>
          </cell>
          <cell r="AP51">
            <v>3.7887038748408486</v>
          </cell>
          <cell r="AQ51">
            <v>678447.74196965748</v>
          </cell>
          <cell r="AR51">
            <v>692879.056149935</v>
          </cell>
          <cell r="AS51">
            <v>685663.39905979624</v>
          </cell>
          <cell r="AU51">
            <v>705510.90106877044</v>
          </cell>
          <cell r="AV51">
            <v>716583.67050773161</v>
          </cell>
          <cell r="AW51">
            <v>711047.28578825109</v>
          </cell>
          <cell r="AY51">
            <v>8.5566399442314367E-2</v>
          </cell>
          <cell r="AZ51">
            <v>9.942450715220863E-2</v>
          </cell>
          <cell r="BA51">
            <v>5.4031931383347276E-2</v>
          </cell>
          <cell r="BC51">
            <v>3.5571814395341184E-2</v>
          </cell>
          <cell r="BD51">
            <v>4.0030332316943973E-2</v>
          </cell>
          <cell r="BE51">
            <v>3.7887038748408486E-2</v>
          </cell>
          <cell r="BG51">
            <v>5.1766280771758266E-2</v>
          </cell>
          <cell r="BH51">
            <v>4.6600535696718293E-2</v>
          </cell>
          <cell r="BI51">
            <v>4.9149869451040828E-2</v>
          </cell>
          <cell r="BK51">
            <v>3.9889821168161976E-2</v>
          </cell>
          <cell r="BL51">
            <v>3.4211763434608855E-2</v>
          </cell>
          <cell r="BM51">
            <v>3.7020915456858372E-2</v>
          </cell>
        </row>
        <row r="52">
          <cell r="B52" t="str">
            <v>Net Interest Margin (restated)</v>
          </cell>
          <cell r="C52">
            <v>2.0961264756399641E-2</v>
          </cell>
          <cell r="D52">
            <v>2.1705843163806447E-2</v>
          </cell>
          <cell r="E52">
            <v>2.1332941678638143E-2</v>
          </cell>
          <cell r="F52">
            <v>0</v>
          </cell>
          <cell r="G52">
            <v>2.1397626501990431E-2</v>
          </cell>
          <cell r="H52">
            <v>2.1416952991477622E-2</v>
          </cell>
          <cell r="I52">
            <v>2.1404369014867686E-2</v>
          </cell>
          <cell r="K52">
            <v>2.1353776933616189E-2</v>
          </cell>
          <cell r="L52">
            <v>2.1340679709850895E-2</v>
          </cell>
          <cell r="M52">
            <v>2.1345176060211409E-2</v>
          </cell>
          <cell r="O52">
            <v>2.1299999999999999E-2</v>
          </cell>
          <cell r="P52">
            <v>2.1257530369021973E-2</v>
          </cell>
          <cell r="Q52">
            <v>2.1276302816501991E-2</v>
          </cell>
          <cell r="S52">
            <v>2.0587625253009292E-2</v>
          </cell>
          <cell r="T52">
            <v>1.981989429016718E-2</v>
          </cell>
          <cell r="U52">
            <v>2.019099378479362E-2</v>
          </cell>
          <cell r="W52">
            <v>2.0444617240337748E-2</v>
          </cell>
          <cell r="X52">
            <v>2.1551769367783007E-2</v>
          </cell>
          <cell r="Y52">
            <v>2.104528226610812E-2</v>
          </cell>
          <cell r="Z52">
            <v>0</v>
          </cell>
          <cell r="AA52">
            <v>2.1809167751745333E-2</v>
          </cell>
          <cell r="AB52">
            <v>2.0788612277545578E-2</v>
          </cell>
          <cell r="AC52">
            <v>2.1297190894561481E-2</v>
          </cell>
          <cell r="AD52">
            <v>0</v>
          </cell>
          <cell r="AE52">
            <v>2.122671889917711E-2</v>
          </cell>
          <cell r="AF52">
            <v>2.2503442935687214E-2</v>
          </cell>
          <cell r="AG52">
            <v>2.1862730299512981E-2</v>
          </cell>
          <cell r="AH52">
            <v>0</v>
          </cell>
          <cell r="AI52">
            <v>2.1216607869499745E-2</v>
          </cell>
          <cell r="AJ52">
            <v>2.020877595533099E-2</v>
          </cell>
          <cell r="AK52">
            <v>2.0894574271262612E-2</v>
          </cell>
          <cell r="AL52">
            <v>0</v>
          </cell>
          <cell r="AM52">
            <v>2.0656254274278803E-2</v>
          </cell>
          <cell r="AN52">
            <v>2.0900111876710144E-2</v>
          </cell>
          <cell r="AO52">
            <v>2.0776546590044766E-2</v>
          </cell>
          <cell r="AP52">
            <v>0</v>
          </cell>
          <cell r="AQ52">
            <v>2.0679232835082793E-2</v>
          </cell>
          <cell r="AR52">
            <v>2.0523101389372838E-2</v>
          </cell>
          <cell r="AS52">
            <v>2.0599205307344871E-2</v>
          </cell>
          <cell r="AU52">
            <v>2.0535712171715455E-2</v>
          </cell>
          <cell r="AV52">
            <v>2.0431876382873148E-2</v>
          </cell>
          <cell r="AW52">
            <v>2.0482505863558445E-2</v>
          </cell>
          <cell r="AY52">
            <v>2.1284757103027824E-2</v>
          </cell>
          <cell r="AZ52">
            <v>2.1265664530298985E-2</v>
          </cell>
          <cell r="BA52">
            <v>2.1272416014820213E-2</v>
          </cell>
        </row>
        <row r="53">
          <cell r="B53" t="str">
            <v>Cost to Income Ratio</v>
          </cell>
          <cell r="C53">
            <v>0.43415297890951504</v>
          </cell>
          <cell r="D53">
            <v>0.4313520698822636</v>
          </cell>
          <cell r="E53">
            <v>0.43273617981845253</v>
          </cell>
          <cell r="F53">
            <v>-0.60738842586260344</v>
          </cell>
          <cell r="G53">
            <v>0.4261750986724076</v>
          </cell>
          <cell r="H53">
            <v>0.42204982561613474</v>
          </cell>
          <cell r="I53">
            <v>0.42409554617758871</v>
          </cell>
          <cell r="K53">
            <v>0.41035356360092318</v>
          </cell>
          <cell r="L53">
            <v>0.41361183674394236</v>
          </cell>
          <cell r="M53">
            <v>0.41199009212455828</v>
          </cell>
          <cell r="O53">
            <v>0.40189703494781714</v>
          </cell>
          <cell r="P53">
            <v>0.40118685336672405</v>
          </cell>
          <cell r="Q53">
            <v>0.40153981652162563</v>
          </cell>
          <cell r="S53">
            <v>0.48147092360319271</v>
          </cell>
          <cell r="T53">
            <v>0.49733788395904438</v>
          </cell>
          <cell r="U53">
            <v>0.48957534342096087</v>
          </cell>
          <cell r="W53">
            <v>0.45333843993361422</v>
          </cell>
          <cell r="X53">
            <v>0.46900389538119086</v>
          </cell>
          <cell r="Y53">
            <v>0.46170769413723389</v>
          </cell>
          <cell r="AA53">
            <v>0.4403631861328931</v>
          </cell>
          <cell r="AB53">
            <v>0.46258140279705351</v>
          </cell>
          <cell r="AC53">
            <v>0.45128285849205102</v>
          </cell>
          <cell r="AE53">
            <v>0.45261320464113358</v>
          </cell>
          <cell r="AF53">
            <v>0.45191532258064515</v>
          </cell>
          <cell r="AG53">
            <v>0.45226105091815455</v>
          </cell>
          <cell r="AH53">
            <v>1.0710208115335467</v>
          </cell>
          <cell r="AI53">
            <v>0.45541810984661057</v>
          </cell>
          <cell r="AJ53">
            <v>0.46489960072560516</v>
          </cell>
          <cell r="AK53">
            <v>0.45637717121588089</v>
          </cell>
          <cell r="AL53">
            <v>1.3735015683266056</v>
          </cell>
          <cell r="AM53">
            <v>0.44543837477941062</v>
          </cell>
          <cell r="AN53">
            <v>0.4434096517164331</v>
          </cell>
          <cell r="AO53">
            <v>0.44441216868514372</v>
          </cell>
          <cell r="AP53">
            <v>0.43926421820958161</v>
          </cell>
          <cell r="AQ53">
            <v>0.43562003450729081</v>
          </cell>
          <cell r="AR53">
            <v>0.44050990268797308</v>
          </cell>
          <cell r="AS53">
            <v>0.43807174362470586</v>
          </cell>
          <cell r="AU53">
            <v>0.43008601504348631</v>
          </cell>
          <cell r="AV53">
            <v>0.43192410856626218</v>
          </cell>
          <cell r="AW53">
            <v>0.43100701412551506</v>
          </cell>
          <cell r="AY53">
            <v>0.42033144548720525</v>
          </cell>
          <cell r="AZ53">
            <v>0.41741944593130975</v>
          </cell>
          <cell r="BA53">
            <v>0.41886240731829216</v>
          </cell>
        </row>
        <row r="54">
          <cell r="B54" t="str">
            <v>Impairment Charge / GL&amp;A</v>
          </cell>
          <cell r="C54">
            <v>1.2926187925523908E-3</v>
          </cell>
          <cell r="D54">
            <v>1.4824048649832388E-3</v>
          </cell>
          <cell r="E54">
            <v>1.3560635412630763E-3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K54">
            <v>1.4155027670067386E-3</v>
          </cell>
          <cell r="L54">
            <v>1.4984908056885566E-3</v>
          </cell>
          <cell r="M54">
            <v>1.4199984301524894E-3</v>
          </cell>
          <cell r="O54">
            <v>1.3039771302472542E-3</v>
          </cell>
          <cell r="P54">
            <v>1.4169722445373941E-3</v>
          </cell>
          <cell r="Q54">
            <v>1.286539652990019E-3</v>
          </cell>
          <cell r="S54">
            <v>1.8181172931345598E-3</v>
          </cell>
          <cell r="T54">
            <v>3.1134127071045263E-3</v>
          </cell>
          <cell r="U54">
            <v>2.4250199477447313E-3</v>
          </cell>
          <cell r="W54">
            <v>6.8841728282940792E-3</v>
          </cell>
          <cell r="X54">
            <v>5.8996929375639716E-3</v>
          </cell>
          <cell r="Y54">
            <v>6.2395087001023541E-3</v>
          </cell>
          <cell r="Z54">
            <v>0</v>
          </cell>
          <cell r="AA54">
            <v>9.4356840103362698E-3</v>
          </cell>
          <cell r="AB54">
            <v>4.7053223859792274E-3</v>
          </cell>
          <cell r="AC54">
            <v>4.0461120275798595E-3</v>
          </cell>
          <cell r="AD54">
            <v>0</v>
          </cell>
          <cell r="AE54">
            <v>2.8326000090235178E-3</v>
          </cell>
          <cell r="AF54">
            <v>2.1541282632823434E-3</v>
          </cell>
          <cell r="AG54">
            <v>2.4706847464170244E-3</v>
          </cell>
          <cell r="AH54">
            <v>0</v>
          </cell>
          <cell r="AI54">
            <v>2.053121215146384E-3</v>
          </cell>
          <cell r="AJ54">
            <v>1.9709563996243378E-3</v>
          </cell>
          <cell r="AK54">
            <v>2.0088655720286223E-3</v>
          </cell>
          <cell r="AL54">
            <v>0</v>
          </cell>
          <cell r="AM54">
            <v>2.2048508361785721E-3</v>
          </cell>
          <cell r="AN54">
            <v>2.3559017953627059E-3</v>
          </cell>
          <cell r="AO54">
            <v>2.2559816253193954E-3</v>
          </cell>
          <cell r="AP54">
            <v>0</v>
          </cell>
          <cell r="AQ54">
            <v>2.6653549050891755E-3</v>
          </cell>
          <cell r="AR54">
            <v>2.9361546538470727E-3</v>
          </cell>
          <cell r="AS54">
            <v>2.774573943029387E-3</v>
          </cell>
          <cell r="AU54">
            <v>3.0763994631235522E-3</v>
          </cell>
          <cell r="AV54">
            <v>3.0869509083095454E-3</v>
          </cell>
          <cell r="AW54">
            <v>3.051843680361461E-3</v>
          </cell>
          <cell r="AY54">
            <v>1.7573166278590435E-3</v>
          </cell>
          <cell r="AZ54">
            <v>1.7692468820895537E-3</v>
          </cell>
          <cell r="BA54">
            <v>1.7377368564265097E-3</v>
          </cell>
        </row>
        <row r="55">
          <cell r="B55" t="str">
            <v>Effective Tax Rate</v>
          </cell>
          <cell r="C55">
            <v>0.31934731934731936</v>
          </cell>
          <cell r="D55">
            <v>0.32937571811566452</v>
          </cell>
          <cell r="E55">
            <v>0.32439729990356797</v>
          </cell>
          <cell r="F55">
            <v>0</v>
          </cell>
          <cell r="G55">
            <v>0.2913934426229508</v>
          </cell>
          <cell r="H55">
            <v>0.30068798057466611</v>
          </cell>
          <cell r="I55">
            <v>0.29607004683363874</v>
          </cell>
          <cell r="K55">
            <v>0.27180385288966724</v>
          </cell>
          <cell r="L55">
            <v>0.29251940719830627</v>
          </cell>
          <cell r="M55">
            <v>0.28212339602742131</v>
          </cell>
          <cell r="O55">
            <v>0.28247358607830952</v>
          </cell>
          <cell r="P55">
            <v>0.27998717126363054</v>
          </cell>
          <cell r="Q55">
            <v>0.28125</v>
          </cell>
          <cell r="S55">
            <v>0.27382753403933435</v>
          </cell>
          <cell r="T55">
            <v>0.23371150729335494</v>
          </cell>
          <cell r="U55">
            <v>0.25446009389671359</v>
          </cell>
          <cell r="W55">
            <v>0.24149532710280375</v>
          </cell>
          <cell r="X55">
            <v>0.27447447447447448</v>
          </cell>
          <cell r="Y55">
            <v>0.25978351373855119</v>
          </cell>
          <cell r="Z55">
            <v>0</v>
          </cell>
          <cell r="AA55">
            <v>0.26948775055679286</v>
          </cell>
          <cell r="AB55">
            <v>0.27107323813910639</v>
          </cell>
          <cell r="AC55">
            <v>0.27030895860670406</v>
          </cell>
          <cell r="AD55">
            <v>0</v>
          </cell>
          <cell r="AE55">
            <v>0.27446300715990452</v>
          </cell>
          <cell r="AF55">
            <v>0.28120516499282638</v>
          </cell>
          <cell r="AG55">
            <v>0.2779300168634064</v>
          </cell>
          <cell r="AH55">
            <v>0</v>
          </cell>
          <cell r="AI55">
            <v>0.27692617991125451</v>
          </cell>
          <cell r="AJ55">
            <v>0.2749493683812142</v>
          </cell>
          <cell r="AK55">
            <v>0.27734414597060314</v>
          </cell>
          <cell r="AL55">
            <v>0</v>
          </cell>
          <cell r="AM55">
            <v>0.27467334543629374</v>
          </cell>
          <cell r="AN55">
            <v>0.27457120104267391</v>
          </cell>
          <cell r="AO55">
            <v>0.27462177477231581</v>
          </cell>
          <cell r="AP55">
            <v>0</v>
          </cell>
          <cell r="AQ55">
            <v>0.27450223742794938</v>
          </cell>
          <cell r="AR55">
            <v>0.27442499612123389</v>
          </cell>
          <cell r="AS55">
            <v>0.27446402611864062</v>
          </cell>
          <cell r="AU55">
            <v>0.2744762669219562</v>
          </cell>
          <cell r="AV55">
            <v>0.27451101972369946</v>
          </cell>
          <cell r="AW55">
            <v>0.27449362041876296</v>
          </cell>
          <cell r="AY55">
            <v>0.27553795056564434</v>
          </cell>
          <cell r="AZ55">
            <v>0.27515252085587028</v>
          </cell>
          <cell r="BA55">
            <v>0.27534313751342321</v>
          </cell>
        </row>
        <row r="56">
          <cell r="B56" t="str">
            <v>Core Tier 1 Ratio</v>
          </cell>
          <cell r="C56">
            <v>4.7643822575467419E-2</v>
          </cell>
          <cell r="D56">
            <v>4.9103445365295241E-2</v>
          </cell>
          <cell r="E56">
            <v>4.9103445365295241E-2</v>
          </cell>
          <cell r="F56">
            <v>0</v>
          </cell>
          <cell r="G56">
            <v>4.7643822575467419E-2</v>
          </cell>
          <cell r="H56">
            <v>4.9103445365295241E-2</v>
          </cell>
          <cell r="I56">
            <v>4.9103445365295241E-2</v>
          </cell>
          <cell r="K56">
            <v>5.0042680850853866E-2</v>
          </cell>
          <cell r="L56">
            <v>4.5015200657925136E-2</v>
          </cell>
          <cell r="M56">
            <v>4.5015200657925136E-2</v>
          </cell>
          <cell r="O56">
            <v>4.7017897658858825E-2</v>
          </cell>
          <cell r="P56">
            <v>4.7916506692368632E-2</v>
          </cell>
          <cell r="Q56">
            <v>4.7916506692368632E-2</v>
          </cell>
          <cell r="S56">
            <v>7.2668180434248317E-2</v>
          </cell>
          <cell r="T56">
            <v>8.1707631593033611E-2</v>
          </cell>
          <cell r="U56">
            <v>8.1707631593033611E-2</v>
          </cell>
          <cell r="W56">
            <v>8.7542678518444231E-2</v>
          </cell>
          <cell r="X56">
            <v>8.0706698610976471E-2</v>
          </cell>
          <cell r="Y56">
            <v>8.0706698610976471E-2</v>
          </cell>
          <cell r="Z56">
            <v>0</v>
          </cell>
          <cell r="AA56">
            <v>6.8253717443998801E-2</v>
          </cell>
          <cell r="AB56">
            <v>6.8598897603680611E-2</v>
          </cell>
          <cell r="AC56">
            <v>6.8598897603680611E-2</v>
          </cell>
          <cell r="AD56">
            <v>0</v>
          </cell>
          <cell r="AE56">
            <v>7.3535437013898863E-2</v>
          </cell>
          <cell r="AF56">
            <v>7.6585578837887053E-2</v>
          </cell>
          <cell r="AG56">
            <v>7.6585578837887053E-2</v>
          </cell>
          <cell r="AH56">
            <v>0</v>
          </cell>
          <cell r="AI56">
            <v>7.6710166104029157E-2</v>
          </cell>
          <cell r="AJ56">
            <v>7.7056806230414304E-2</v>
          </cell>
          <cell r="AK56">
            <v>7.8153949806299472E-2</v>
          </cell>
          <cell r="AL56">
            <v>0</v>
          </cell>
          <cell r="AM56">
            <v>8.2796371608378203E-2</v>
          </cell>
          <cell r="AN56">
            <v>8.5310316473955275E-2</v>
          </cell>
          <cell r="AO56">
            <v>8.5310316473955303E-2</v>
          </cell>
          <cell r="AP56">
            <v>0</v>
          </cell>
          <cell r="AQ56">
            <v>8.9257002164333299E-2</v>
          </cell>
          <cell r="AR56">
            <v>9.175153936216511E-2</v>
          </cell>
          <cell r="AS56">
            <v>9.1751539362165152E-2</v>
          </cell>
          <cell r="AU56">
            <v>8.6522463696293503E-2</v>
          </cell>
          <cell r="AV56">
            <v>8.9334009075582435E-2</v>
          </cell>
          <cell r="AW56">
            <v>8.9334009075582435E-2</v>
          </cell>
          <cell r="AY56">
            <v>9.2763556827960086E-2</v>
          </cell>
          <cell r="AZ56">
            <v>8.9607183961390544E-2</v>
          </cell>
          <cell r="BA56">
            <v>8.9607183961390585E-2</v>
          </cell>
        </row>
        <row r="57">
          <cell r="B57" t="str">
            <v>Change</v>
          </cell>
          <cell r="C57" t="str">
            <v>1H05</v>
          </cell>
          <cell r="D57" t="str">
            <v>2H05</v>
          </cell>
          <cell r="E57" t="str">
            <v>FY05</v>
          </cell>
          <cell r="K57" t="str">
            <v>1H06</v>
          </cell>
          <cell r="L57" t="str">
            <v>2H06</v>
          </cell>
          <cell r="M57" t="str">
            <v>FY06</v>
          </cell>
          <cell r="O57" t="str">
            <v>1H07E</v>
          </cell>
          <cell r="P57" t="str">
            <v>2H07E</v>
          </cell>
          <cell r="Q57" t="str">
            <v>FY07</v>
          </cell>
          <cell r="S57" t="str">
            <v>1H08</v>
          </cell>
          <cell r="T57" t="str">
            <v>2H08</v>
          </cell>
          <cell r="U57" t="str">
            <v>FY08</v>
          </cell>
          <cell r="W57" t="str">
            <v>1H09</v>
          </cell>
          <cell r="X57" t="str">
            <v>2H09E</v>
          </cell>
          <cell r="Y57" t="str">
            <v>FY09E</v>
          </cell>
          <cell r="AA57" t="str">
            <v>1H10</v>
          </cell>
          <cell r="AB57" t="str">
            <v>2H10</v>
          </cell>
          <cell r="AC57" t="str">
            <v>FY10</v>
          </cell>
          <cell r="AE57" t="str">
            <v>1H11</v>
          </cell>
          <cell r="AF57" t="str">
            <v>2H11</v>
          </cell>
          <cell r="AG57" t="str">
            <v>FY11</v>
          </cell>
          <cell r="AI57" t="str">
            <v>1H12</v>
          </cell>
          <cell r="AJ57" t="str">
            <v>2H12E</v>
          </cell>
          <cell r="AK57" t="str">
            <v>FY12E</v>
          </cell>
          <cell r="AM57" t="str">
            <v>1H13E</v>
          </cell>
          <cell r="AN57" t="str">
            <v>2H13E</v>
          </cell>
          <cell r="AO57" t="str">
            <v>FY13E</v>
          </cell>
          <cell r="AQ57" t="str">
            <v>1H14E</v>
          </cell>
          <cell r="AR57" t="str">
            <v>2H14E</v>
          </cell>
          <cell r="AS57" t="str">
            <v>FY14E</v>
          </cell>
        </row>
        <row r="58">
          <cell r="B58" t="str">
            <v>Net Interest Income</v>
          </cell>
          <cell r="C58" t="str">
            <v>1H05</v>
          </cell>
          <cell r="D58" t="str">
            <v>2H05</v>
          </cell>
          <cell r="E58" t="str">
            <v>FY05</v>
          </cell>
          <cell r="G58">
            <v>0</v>
          </cell>
          <cell r="H58">
            <v>0</v>
          </cell>
          <cell r="I58">
            <v>0</v>
          </cell>
          <cell r="K58" t="str">
            <v>1H06</v>
          </cell>
          <cell r="L58" t="str">
            <v>2H06</v>
          </cell>
          <cell r="M58" t="str">
            <v>FY06</v>
          </cell>
          <cell r="O58" t="str">
            <v>1H07E</v>
          </cell>
          <cell r="P58" t="str">
            <v>2H07E</v>
          </cell>
          <cell r="Q58" t="str">
            <v>FY07</v>
          </cell>
          <cell r="R58" t="e">
            <v>#DIV/0!</v>
          </cell>
          <cell r="S58" t="str">
            <v>1H08</v>
          </cell>
          <cell r="T58" t="str">
            <v>2H08</v>
          </cell>
          <cell r="U58" t="str">
            <v>FY08</v>
          </cell>
          <cell r="W58" t="str">
            <v>1H09</v>
          </cell>
          <cell r="X58" t="str">
            <v>2H09E</v>
          </cell>
          <cell r="Y58" t="str">
            <v>FY09E</v>
          </cell>
          <cell r="AA58" t="str">
            <v>1H10</v>
          </cell>
          <cell r="AB58" t="str">
            <v>2H10</v>
          </cell>
          <cell r="AC58" t="str">
            <v>FY10</v>
          </cell>
          <cell r="AE58" t="str">
            <v>1H11</v>
          </cell>
          <cell r="AF58" t="str">
            <v>2H11</v>
          </cell>
          <cell r="AG58" t="str">
            <v>FY11</v>
          </cell>
          <cell r="AI58" t="str">
            <v>1H12</v>
          </cell>
          <cell r="AJ58" t="str">
            <v>2H12</v>
          </cell>
          <cell r="AK58" t="str">
            <v>FY12</v>
          </cell>
          <cell r="AM58" t="str">
            <v>1H13E</v>
          </cell>
          <cell r="AN58" t="str">
            <v>2H13E</v>
          </cell>
          <cell r="AO58" t="str">
            <v>FY13E</v>
          </cell>
          <cell r="AQ58" t="str">
            <v>1H14E</v>
          </cell>
          <cell r="AR58" t="str">
            <v>2H14E</v>
          </cell>
          <cell r="AS58" t="str">
            <v>FY14E</v>
          </cell>
          <cell r="AU58" t="str">
            <v>1H15E</v>
          </cell>
          <cell r="AV58" t="str">
            <v>2H15E</v>
          </cell>
          <cell r="AW58" t="str">
            <v>FY15E</v>
          </cell>
          <cell r="AY58" t="str">
            <v>1H16E</v>
          </cell>
          <cell r="AZ58" t="str">
            <v>2H16E</v>
          </cell>
          <cell r="BA58" t="str">
            <v>FY16E</v>
          </cell>
        </row>
        <row r="59">
          <cell r="B59" t="str">
            <v>Net Interest Income</v>
          </cell>
          <cell r="C59">
            <v>0</v>
          </cell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  <cell r="K59">
            <v>0</v>
          </cell>
          <cell r="L59">
            <v>0</v>
          </cell>
          <cell r="M59">
            <v>0</v>
          </cell>
          <cell r="O59">
            <v>0</v>
          </cell>
          <cell r="P59">
            <v>0</v>
          </cell>
          <cell r="Q59">
            <v>0</v>
          </cell>
          <cell r="R59" t="e">
            <v>#DIV/0!</v>
          </cell>
          <cell r="S59">
            <v>0</v>
          </cell>
          <cell r="T59">
            <v>0</v>
          </cell>
          <cell r="U59">
            <v>0</v>
          </cell>
          <cell r="W59">
            <v>0</v>
          </cell>
          <cell r="X59">
            <v>0</v>
          </cell>
          <cell r="Y59">
            <v>0</v>
          </cell>
          <cell r="AA59">
            <v>0</v>
          </cell>
          <cell r="AB59">
            <v>0</v>
          </cell>
          <cell r="AC59">
            <v>0</v>
          </cell>
          <cell r="AE59">
            <v>1.1345218800649093E-3</v>
          </cell>
          <cell r="AF59">
            <v>-3.0826140567200566E-3</v>
          </cell>
          <cell r="AG59">
            <v>-1.027018486332798E-3</v>
          </cell>
          <cell r="AI59">
            <v>0</v>
          </cell>
          <cell r="AJ59">
            <v>1.25554945403199E-2</v>
          </cell>
          <cell r="AK59">
            <v>0</v>
          </cell>
          <cell r="AM59">
            <v>4.2527219596952825E-3</v>
          </cell>
          <cell r="AN59">
            <v>4.1917304371645869E-3</v>
          </cell>
          <cell r="AO59">
            <v>4.2219018997722291E-3</v>
          </cell>
          <cell r="AQ59">
            <v>4.2258281885991789E-3</v>
          </cell>
          <cell r="AR59">
            <v>4.250444765649064E-3</v>
          </cell>
          <cell r="AS59">
            <v>4.2381182022570574E-3</v>
          </cell>
          <cell r="AU59">
            <v>4.2834387884558289E-3</v>
          </cell>
          <cell r="AV59">
            <v>4.2992641044992119E-3</v>
          </cell>
          <cell r="AW59">
            <v>4.2913279652967429E-3</v>
          </cell>
          <cell r="AY59">
            <v>2.6863696188131891E-2</v>
          </cell>
          <cell r="AZ59">
            <v>2.136278430194416E-2</v>
          </cell>
          <cell r="BA59">
            <v>2.4094224018244681E-2</v>
          </cell>
        </row>
        <row r="60">
          <cell r="B60" t="str">
            <v>Banking Non Interest Income</v>
          </cell>
          <cell r="C60">
            <v>0</v>
          </cell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  <cell r="K60">
            <v>0</v>
          </cell>
          <cell r="L60">
            <v>0</v>
          </cell>
          <cell r="M60">
            <v>0</v>
          </cell>
          <cell r="O60">
            <v>0</v>
          </cell>
          <cell r="P60">
            <v>0</v>
          </cell>
          <cell r="Q60">
            <v>0</v>
          </cell>
          <cell r="R60" t="e">
            <v>#DIV/0!</v>
          </cell>
          <cell r="S60">
            <v>0</v>
          </cell>
          <cell r="T60">
            <v>0</v>
          </cell>
          <cell r="U60">
            <v>0</v>
          </cell>
          <cell r="W60">
            <v>0</v>
          </cell>
          <cell r="X60">
            <v>0</v>
          </cell>
          <cell r="Y60">
            <v>0</v>
          </cell>
          <cell r="AA60">
            <v>0</v>
          </cell>
          <cell r="AB60">
            <v>0</v>
          </cell>
          <cell r="AC60">
            <v>0</v>
          </cell>
          <cell r="AE60">
            <v>-3.399708596406037E-3</v>
          </cell>
          <cell r="AF60">
            <v>1.039501039501034E-2</v>
          </cell>
          <cell r="AG60">
            <v>3.2638714536781244E-3</v>
          </cell>
          <cell r="AI60">
            <v>0</v>
          </cell>
          <cell r="AJ60">
            <v>7.172574179161062E-3</v>
          </cell>
          <cell r="AK60">
            <v>0</v>
          </cell>
          <cell r="AM60">
            <v>0</v>
          </cell>
          <cell r="AN60">
            <v>0</v>
          </cell>
          <cell r="AO60">
            <v>0</v>
          </cell>
          <cell r="AQ60">
            <v>0</v>
          </cell>
          <cell r="AR60">
            <v>0</v>
          </cell>
          <cell r="AS60">
            <v>0</v>
          </cell>
          <cell r="AU60">
            <v>0</v>
          </cell>
          <cell r="AV60">
            <v>0</v>
          </cell>
          <cell r="AW60">
            <v>0</v>
          </cell>
          <cell r="AY60">
            <v>3.0801350765225166E-2</v>
          </cell>
          <cell r="AZ60">
            <v>2.413481503449888E-2</v>
          </cell>
          <cell r="BA60">
            <v>2.7433035915275905E-2</v>
          </cell>
        </row>
        <row r="61">
          <cell r="B61" t="str">
            <v>Wealth Management Non Interest Income</v>
          </cell>
          <cell r="C61">
            <v>0</v>
          </cell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  <cell r="K61">
            <v>0</v>
          </cell>
          <cell r="L61">
            <v>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 t="e">
            <v>#DIV/0!</v>
          </cell>
          <cell r="S61">
            <v>0</v>
          </cell>
          <cell r="T61">
            <v>0</v>
          </cell>
          <cell r="U61">
            <v>0</v>
          </cell>
          <cell r="W61">
            <v>0</v>
          </cell>
          <cell r="X61">
            <v>0</v>
          </cell>
          <cell r="Y61">
            <v>0</v>
          </cell>
          <cell r="AA61">
            <v>0</v>
          </cell>
          <cell r="AB61">
            <v>0</v>
          </cell>
          <cell r="AC61">
            <v>0</v>
          </cell>
          <cell r="AE61">
            <v>0</v>
          </cell>
          <cell r="AF61">
            <v>0</v>
          </cell>
          <cell r="AG61">
            <v>0</v>
          </cell>
          <cell r="AI61">
            <v>0</v>
          </cell>
          <cell r="AJ61">
            <v>-2.2987011237159738E-2</v>
          </cell>
          <cell r="AK61">
            <v>0</v>
          </cell>
          <cell r="AM61">
            <v>3.2610361721694181E-2</v>
          </cell>
          <cell r="AN61">
            <v>1.4769891621613462E-2</v>
          </cell>
          <cell r="AO61">
            <v>2.3484955276674935E-2</v>
          </cell>
          <cell r="AQ61">
            <v>3.909780647679173E-2</v>
          </cell>
          <cell r="AR61">
            <v>2.3990018575706706E-2</v>
          </cell>
          <cell r="AS61">
            <v>3.1449047907543992E-2</v>
          </cell>
          <cell r="AU61">
            <v>4.5690461400500926E-2</v>
          </cell>
          <cell r="AV61">
            <v>3.0317960806274025E-2</v>
          </cell>
          <cell r="AW61">
            <v>3.7912211647484595E-2</v>
          </cell>
          <cell r="AY61">
            <v>-0.1854070753060858</v>
          </cell>
          <cell r="AZ61">
            <v>-0.1892376975447756</v>
          </cell>
          <cell r="BA61">
            <v>-0.18735072381681239</v>
          </cell>
        </row>
        <row r="62">
          <cell r="B62" t="str">
            <v>Total Income</v>
          </cell>
          <cell r="C62">
            <v>0</v>
          </cell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  <cell r="K62">
            <v>0</v>
          </cell>
          <cell r="L62">
            <v>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 t="e">
            <v>#DIV/0!</v>
          </cell>
          <cell r="S62">
            <v>0</v>
          </cell>
          <cell r="T62">
            <v>0</v>
          </cell>
          <cell r="U62">
            <v>0</v>
          </cell>
          <cell r="W62">
            <v>0</v>
          </cell>
          <cell r="X62">
            <v>0</v>
          </cell>
          <cell r="Y62">
            <v>0</v>
          </cell>
          <cell r="AA62">
            <v>0</v>
          </cell>
          <cell r="AB62">
            <v>0</v>
          </cell>
          <cell r="AC62">
            <v>0</v>
          </cell>
          <cell r="AE62">
            <v>0</v>
          </cell>
          <cell r="AF62">
            <v>0</v>
          </cell>
          <cell r="AG62">
            <v>0</v>
          </cell>
          <cell r="AI62">
            <v>0</v>
          </cell>
          <cell r="AJ62">
            <v>5.904069468326556E-3</v>
          </cell>
          <cell r="AK62">
            <v>0</v>
          </cell>
          <cell r="AM62">
            <v>7.7595482630774537E-3</v>
          </cell>
          <cell r="AN62">
            <v>5.0178381427303798E-3</v>
          </cell>
          <cell r="AO62">
            <v>6.3726859132779978E-3</v>
          </cell>
          <cell r="AQ62">
            <v>9.0074139782800877E-3</v>
          </cell>
          <cell r="AR62">
            <v>6.6427755378517528E-3</v>
          </cell>
          <cell r="AS62">
            <v>7.8218184960354709E-3</v>
          </cell>
          <cell r="AU62">
            <v>1.0291644770295205E-2</v>
          </cell>
          <cell r="AV62">
            <v>7.829162948284063E-3</v>
          </cell>
          <cell r="AW62">
            <v>9.057788348147966E-3</v>
          </cell>
          <cell r="AY62">
            <v>-9.0007517740490206E-3</v>
          </cell>
          <cell r="AZ62">
            <v>-1.4856638889661267E-2</v>
          </cell>
          <cell r="BA62">
            <v>-1.1954914891369794E-2</v>
          </cell>
        </row>
        <row r="63">
          <cell r="B63" t="str">
            <v>Operating Expenses</v>
          </cell>
          <cell r="C63">
            <v>0</v>
          </cell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  <cell r="K63">
            <v>0</v>
          </cell>
          <cell r="L63">
            <v>0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 t="e">
            <v>#DIV/0!</v>
          </cell>
          <cell r="S63">
            <v>0</v>
          </cell>
          <cell r="T63">
            <v>0</v>
          </cell>
          <cell r="U63">
            <v>0</v>
          </cell>
          <cell r="W63">
            <v>0</v>
          </cell>
          <cell r="X63">
            <v>0</v>
          </cell>
          <cell r="Y63">
            <v>0</v>
          </cell>
          <cell r="AA63">
            <v>0</v>
          </cell>
          <cell r="AB63">
            <v>0</v>
          </cell>
          <cell r="AC63">
            <v>0</v>
          </cell>
          <cell r="AE63">
            <v>0</v>
          </cell>
          <cell r="AF63">
            <v>0</v>
          </cell>
          <cell r="AG63">
            <v>0</v>
          </cell>
          <cell r="AI63">
            <v>0</v>
          </cell>
          <cell r="AJ63">
            <v>-1.04484082880556E-2</v>
          </cell>
          <cell r="AK63">
            <v>0</v>
          </cell>
          <cell r="AM63">
            <v>-9.4690958679199966E-5</v>
          </cell>
          <cell r="AN63">
            <v>3.0851581489033109E-4</v>
          </cell>
          <cell r="AO63">
            <v>1.0880643086386144E-4</v>
          </cell>
          <cell r="AQ63">
            <v>1.9931358144040789E-3</v>
          </cell>
          <cell r="AR63">
            <v>1.8497697638075739E-3</v>
          </cell>
          <cell r="AS63">
            <v>1.9208540830748522E-3</v>
          </cell>
          <cell r="AU63">
            <v>1.702307543737458E-3</v>
          </cell>
          <cell r="AV63">
            <v>1.7417191914805841E-3</v>
          </cell>
          <cell r="AW63">
            <v>1.7220972474865093E-3</v>
          </cell>
          <cell r="AY63">
            <v>-5.2462850986843224E-2</v>
          </cell>
          <cell r="AZ63">
            <v>-5.3166858872182532E-2</v>
          </cell>
          <cell r="BA63">
            <v>-5.2816783607576467E-2</v>
          </cell>
        </row>
        <row r="64">
          <cell r="B64" t="str">
            <v>Underlying Profit</v>
          </cell>
          <cell r="C64">
            <v>0</v>
          </cell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  <cell r="K64">
            <v>0</v>
          </cell>
          <cell r="L64">
            <v>0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 t="e">
            <v>#DIV/0!</v>
          </cell>
          <cell r="S64">
            <v>0</v>
          </cell>
          <cell r="T64">
            <v>0</v>
          </cell>
          <cell r="U64">
            <v>0</v>
          </cell>
          <cell r="W64">
            <v>0</v>
          </cell>
          <cell r="X64">
            <v>0</v>
          </cell>
          <cell r="Y64">
            <v>0</v>
          </cell>
          <cell r="AA64">
            <v>0</v>
          </cell>
          <cell r="AB64">
            <v>0</v>
          </cell>
          <cell r="AC64">
            <v>0</v>
          </cell>
          <cell r="AE64">
            <v>0</v>
          </cell>
          <cell r="AF64">
            <v>0</v>
          </cell>
          <cell r="AG64">
            <v>0</v>
          </cell>
          <cell r="AI64">
            <v>0</v>
          </cell>
          <cell r="AJ64">
            <v>2.0111235805943206E-2</v>
          </cell>
          <cell r="AK64">
            <v>0</v>
          </cell>
          <cell r="AM64">
            <v>1.4068278248994259E-2</v>
          </cell>
          <cell r="AN64">
            <v>8.7695362805935151E-3</v>
          </cell>
          <cell r="AO64">
            <v>1.1383134501711023E-2</v>
          </cell>
          <cell r="AQ64">
            <v>1.4421426315029073E-2</v>
          </cell>
          <cell r="AR64">
            <v>1.0416509009187447E-2</v>
          </cell>
          <cell r="AS64">
            <v>1.2422131329790753E-2</v>
          </cell>
          <cell r="AU64">
            <v>1.6773594533147307E-2</v>
          </cell>
          <cell r="AV64">
            <v>1.2457617980002889E-2</v>
          </cell>
          <cell r="AW64">
            <v>1.4614507668657462E-2</v>
          </cell>
          <cell r="AY64">
            <v>2.2514649300926726E-2</v>
          </cell>
          <cell r="AZ64">
            <v>1.2592665222753485E-2</v>
          </cell>
          <cell r="BA64">
            <v>1.7496803451292342E-2</v>
          </cell>
        </row>
        <row r="65">
          <cell r="B65" t="str">
            <v>Impairment Charges</v>
          </cell>
          <cell r="C65">
            <v>0</v>
          </cell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  <cell r="K65">
            <v>0</v>
          </cell>
          <cell r="L65">
            <v>0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 t="e">
            <v>#DIV/0!</v>
          </cell>
          <cell r="S65">
            <v>0</v>
          </cell>
          <cell r="T65">
            <v>0</v>
          </cell>
          <cell r="U65">
            <v>0</v>
          </cell>
          <cell r="W65">
            <v>0</v>
          </cell>
          <cell r="X65">
            <v>0</v>
          </cell>
          <cell r="Y65">
            <v>0</v>
          </cell>
          <cell r="AA65">
            <v>0</v>
          </cell>
          <cell r="AB65">
            <v>0</v>
          </cell>
          <cell r="AC65">
            <v>0</v>
          </cell>
          <cell r="AE65">
            <v>0</v>
          </cell>
          <cell r="AF65">
            <v>0</v>
          </cell>
          <cell r="AG65">
            <v>0</v>
          </cell>
          <cell r="AI65">
            <v>0</v>
          </cell>
          <cell r="AJ65">
            <v>2.2652191892406748E-2</v>
          </cell>
          <cell r="AK65">
            <v>0</v>
          </cell>
          <cell r="AM65">
            <v>-2.0955608359685129E-9</v>
          </cell>
          <cell r="AN65">
            <v>-1.9023214303470759E-5</v>
          </cell>
          <cell r="AO65">
            <v>-9.9338891740297086E-6</v>
          </cell>
          <cell r="AQ65">
            <v>-1.7119837526613502E-5</v>
          </cell>
          <cell r="AR65">
            <v>-1.7754727363761269E-5</v>
          </cell>
          <cell r="AS65">
            <v>-1.7455769238727825E-5</v>
          </cell>
          <cell r="AU65">
            <v>-1.1323931631868067E-4</v>
          </cell>
          <cell r="AV65">
            <v>-4.180274328102751E-5</v>
          </cell>
          <cell r="AW65">
            <v>-7.7110140462743892E-5</v>
          </cell>
          <cell r="AY65">
            <v>-3.4684383608621916E-2</v>
          </cell>
          <cell r="AZ65">
            <v>-3.5995588155749103E-2</v>
          </cell>
          <cell r="BA65">
            <v>-3.5351873783617815E-2</v>
          </cell>
        </row>
        <row r="66">
          <cell r="B66" t="str">
            <v>Pre Tax Profit</v>
          </cell>
          <cell r="C66">
            <v>0</v>
          </cell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  <cell r="K66">
            <v>0</v>
          </cell>
          <cell r="L66">
            <v>0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 t="e">
            <v>#DIV/0!</v>
          </cell>
          <cell r="S66">
            <v>0</v>
          </cell>
          <cell r="T66">
            <v>0</v>
          </cell>
          <cell r="U66">
            <v>0</v>
          </cell>
          <cell r="W66">
            <v>0</v>
          </cell>
          <cell r="X66">
            <v>0</v>
          </cell>
          <cell r="Y66">
            <v>0</v>
          </cell>
          <cell r="AA66">
            <v>0</v>
          </cell>
          <cell r="AB66">
            <v>0</v>
          </cell>
          <cell r="AC66">
            <v>0</v>
          </cell>
          <cell r="AE66">
            <v>0</v>
          </cell>
          <cell r="AF66">
            <v>0</v>
          </cell>
          <cell r="AG66">
            <v>0</v>
          </cell>
          <cell r="AI66">
            <v>0</v>
          </cell>
          <cell r="AJ66">
            <v>1.9830317548208187E-2</v>
          </cell>
          <cell r="AK66">
            <v>0</v>
          </cell>
          <cell r="AM66">
            <v>1.5718614823430732E-2</v>
          </cell>
          <cell r="AN66">
            <v>9.8742951948762592E-3</v>
          </cell>
          <cell r="AO66">
            <v>1.2767934584780649E-2</v>
          </cell>
          <cell r="AQ66">
            <v>1.6450214018598253E-2</v>
          </cell>
          <cell r="AR66">
            <v>1.2099269062864071E-2</v>
          </cell>
          <cell r="AS66">
            <v>1.4297799584431781E-2</v>
          </cell>
          <cell r="AU66">
            <v>1.9544099035746942E-2</v>
          </cell>
          <cell r="AV66">
            <v>1.4561579378695511E-2</v>
          </cell>
          <cell r="AW66">
            <v>1.7056122969903331E-2</v>
          </cell>
          <cell r="AY66">
            <v>2.7387092376060185E-2</v>
          </cell>
          <cell r="AZ66">
            <v>1.6792032373361687E-2</v>
          </cell>
          <cell r="BA66">
            <v>2.2031885122315131E-2</v>
          </cell>
        </row>
        <row r="67">
          <cell r="B67" t="str">
            <v>Tax Expense</v>
          </cell>
          <cell r="C67">
            <v>0</v>
          </cell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  <cell r="K67">
            <v>0</v>
          </cell>
          <cell r="L67">
            <v>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 t="e">
            <v>#DIV/0!</v>
          </cell>
          <cell r="S67">
            <v>0</v>
          </cell>
          <cell r="T67">
            <v>0</v>
          </cell>
          <cell r="U67">
            <v>0</v>
          </cell>
          <cell r="W67">
            <v>0</v>
          </cell>
          <cell r="X67">
            <v>0</v>
          </cell>
          <cell r="Y67">
            <v>0</v>
          </cell>
          <cell r="AA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  <cell r="AI67">
            <v>0</v>
          </cell>
          <cell r="AJ67">
            <v>3.0279337535188189E-2</v>
          </cell>
          <cell r="AK67">
            <v>0</v>
          </cell>
          <cell r="AM67">
            <v>1.5785598290666947E-2</v>
          </cell>
          <cell r="AN67">
            <v>9.9155567832966973E-3</v>
          </cell>
          <cell r="AO67">
            <v>1.2822477371411845E-2</v>
          </cell>
          <cell r="AQ67">
            <v>1.6516774659670164E-2</v>
          </cell>
          <cell r="AR67">
            <v>1.2149278196704083E-2</v>
          </cell>
          <cell r="AS67">
            <v>1.4356479434622482E-2</v>
          </cell>
          <cell r="AU67">
            <v>1.9229397853739449E-2</v>
          </cell>
          <cell r="AV67">
            <v>1.4511885161865301E-2</v>
          </cell>
          <cell r="AW67">
            <v>1.6873601298662111E-2</v>
          </cell>
          <cell r="AY67">
            <v>3.8926201920071568E-2</v>
          </cell>
          <cell r="AZ67">
            <v>3.5232764131696293E-2</v>
          </cell>
          <cell r="BA67">
            <v>3.7060669116444789E-2</v>
          </cell>
        </row>
        <row r="68">
          <cell r="B68" t="str">
            <v>Reported NPAT</v>
          </cell>
          <cell r="C68">
            <v>0</v>
          </cell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  <cell r="K68">
            <v>0</v>
          </cell>
          <cell r="L68">
            <v>0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 t="e">
            <v>#DIV/0!</v>
          </cell>
          <cell r="S68">
            <v>0</v>
          </cell>
          <cell r="T68">
            <v>0</v>
          </cell>
          <cell r="U68">
            <v>0</v>
          </cell>
          <cell r="W68">
            <v>0</v>
          </cell>
          <cell r="X68">
            <v>0</v>
          </cell>
          <cell r="Y68">
            <v>0</v>
          </cell>
          <cell r="AA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  <cell r="AI68">
            <v>0</v>
          </cell>
          <cell r="AJ68">
            <v>-5.9774880076912673E-3</v>
          </cell>
          <cell r="AK68">
            <v>0</v>
          </cell>
          <cell r="AM68">
            <v>1.5810126270178193E-2</v>
          </cell>
          <cell r="AN68">
            <v>9.9328321552292209E-3</v>
          </cell>
          <cell r="AO68">
            <v>1.2842699053229101E-2</v>
          </cell>
          <cell r="AQ68">
            <v>1.6548274548291886E-2</v>
          </cell>
          <cell r="AR68">
            <v>1.2175793398036872E-2</v>
          </cell>
          <cell r="AS68">
            <v>1.4385520228967108E-2</v>
          </cell>
          <cell r="AU68">
            <v>1.9815601138988503E-2</v>
          </cell>
          <cell r="AV68">
            <v>1.4697277997668179E-2</v>
          </cell>
          <cell r="AW68">
            <v>1.7260209827850481E-2</v>
          </cell>
          <cell r="AY68">
            <v>1.9522490794851244E-2</v>
          </cell>
          <cell r="AZ68">
            <v>6.1521209691239864E-3</v>
          </cell>
          <cell r="BA68">
            <v>1.2762965961595318E-2</v>
          </cell>
        </row>
        <row r="69">
          <cell r="B69" t="str">
            <v>Reported Cash Profit</v>
          </cell>
          <cell r="C69">
            <v>0</v>
          </cell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  <cell r="K69">
            <v>0</v>
          </cell>
          <cell r="L69">
            <v>0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 t="e">
            <v>#DIV/0!</v>
          </cell>
          <cell r="S69">
            <v>0</v>
          </cell>
          <cell r="T69">
            <v>0</v>
          </cell>
          <cell r="U69">
            <v>0</v>
          </cell>
          <cell r="W69">
            <v>0</v>
          </cell>
          <cell r="X69">
            <v>0</v>
          </cell>
          <cell r="Y69">
            <v>0</v>
          </cell>
          <cell r="AA69">
            <v>0</v>
          </cell>
          <cell r="AB69">
            <v>0</v>
          </cell>
          <cell r="AC69">
            <v>0</v>
          </cell>
          <cell r="AE69">
            <v>0</v>
          </cell>
          <cell r="AF69">
            <v>0</v>
          </cell>
          <cell r="AG69">
            <v>0</v>
          </cell>
          <cell r="AI69">
            <v>0</v>
          </cell>
          <cell r="AJ69">
            <v>1.5899805757768393E-2</v>
          </cell>
          <cell r="AK69">
            <v>0</v>
          </cell>
          <cell r="AM69">
            <v>1.572251537908298E-2</v>
          </cell>
          <cell r="AN69">
            <v>9.8767048061294549E-3</v>
          </cell>
          <cell r="AO69">
            <v>1.2770823559461242E-2</v>
          </cell>
          <cell r="AQ69">
            <v>1.6454110641093367E-2</v>
          </cell>
          <cell r="AR69">
            <v>1.2102199954980408E-2</v>
          </cell>
          <cell r="AS69">
            <v>1.4301143703331132E-2</v>
          </cell>
          <cell r="AU69">
            <v>1.969700867209534E-2</v>
          </cell>
          <cell r="AV69">
            <v>1.4605552978391501E-2</v>
          </cell>
          <cell r="AW69">
            <v>1.7154703244917524E-2</v>
          </cell>
          <cell r="AY69">
            <v>2.3036344899159067E-2</v>
          </cell>
          <cell r="AZ69">
            <v>9.8077309958493064E-3</v>
          </cell>
          <cell r="BA69">
            <v>1.634814493986636E-2</v>
          </cell>
        </row>
        <row r="70">
          <cell r="B70" t="str">
            <v>Modelware Profit</v>
          </cell>
          <cell r="C70">
            <v>0</v>
          </cell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  <cell r="K70">
            <v>0</v>
          </cell>
          <cell r="L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 t="e">
            <v>#DIV/0!</v>
          </cell>
          <cell r="S70">
            <v>0</v>
          </cell>
          <cell r="T70">
            <v>0</v>
          </cell>
          <cell r="U70">
            <v>0</v>
          </cell>
          <cell r="W70">
            <v>0</v>
          </cell>
          <cell r="X70">
            <v>0</v>
          </cell>
          <cell r="Y70">
            <v>0</v>
          </cell>
          <cell r="AA70">
            <v>0</v>
          </cell>
          <cell r="AB70">
            <v>0</v>
          </cell>
          <cell r="AC70">
            <v>0</v>
          </cell>
          <cell r="AE70">
            <v>0</v>
          </cell>
          <cell r="AF70">
            <v>0</v>
          </cell>
          <cell r="AG70">
            <v>0</v>
          </cell>
          <cell r="AI70">
            <v>0</v>
          </cell>
          <cell r="AJ70">
            <v>1.5413908136655774E-2</v>
          </cell>
          <cell r="AK70">
            <v>0</v>
          </cell>
          <cell r="AM70">
            <v>1.5815210544307678E-2</v>
          </cell>
          <cell r="AN70">
            <v>9.9337925033387009E-3</v>
          </cell>
          <cell r="AO70">
            <v>1.2845370589842808E-2</v>
          </cell>
          <cell r="AQ70">
            <v>1.6546181502063328E-2</v>
          </cell>
          <cell r="AR70">
            <v>1.2171373617922088E-2</v>
          </cell>
          <cell r="AS70">
            <v>1.4382017601690444E-2</v>
          </cell>
          <cell r="AU70">
            <v>1.9804168610441097E-2</v>
          </cell>
          <cell r="AV70">
            <v>1.4685228379234916E-2</v>
          </cell>
          <cell r="AW70">
            <v>1.7248158134515412E-2</v>
          </cell>
          <cell r="AY70">
            <v>2.2510070660169745E-2</v>
          </cell>
          <cell r="AZ70">
            <v>9.2395156337445883E-3</v>
          </cell>
          <cell r="BA70">
            <v>1.5800362045994554E-2</v>
          </cell>
        </row>
        <row r="71">
          <cell r="B71" t="str">
            <v>Basic Cash EPS</v>
          </cell>
          <cell r="C71">
            <v>0</v>
          </cell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  <cell r="K71">
            <v>0</v>
          </cell>
          <cell r="L71">
            <v>0</v>
          </cell>
          <cell r="M71">
            <v>0</v>
          </cell>
          <cell r="O71">
            <v>0</v>
          </cell>
          <cell r="P71">
            <v>0</v>
          </cell>
          <cell r="Q71">
            <v>0</v>
          </cell>
          <cell r="R71" t="e">
            <v>#DIV/0!</v>
          </cell>
          <cell r="S71">
            <v>0</v>
          </cell>
          <cell r="T71">
            <v>0</v>
          </cell>
          <cell r="U71">
            <v>0</v>
          </cell>
          <cell r="W71">
            <v>0</v>
          </cell>
          <cell r="X71">
            <v>0</v>
          </cell>
          <cell r="Y71">
            <v>0</v>
          </cell>
          <cell r="AA71">
            <v>0</v>
          </cell>
          <cell r="AB71">
            <v>0</v>
          </cell>
          <cell r="AC71">
            <v>0</v>
          </cell>
          <cell r="AE71">
            <v>0</v>
          </cell>
          <cell r="AF71">
            <v>0</v>
          </cell>
          <cell r="AG71">
            <v>0</v>
          </cell>
          <cell r="AI71">
            <v>0</v>
          </cell>
          <cell r="AJ71">
            <v>1.778995184128096E-2</v>
          </cell>
          <cell r="AK71">
            <v>0</v>
          </cell>
          <cell r="AM71">
            <v>1.5815210544307678E-2</v>
          </cell>
          <cell r="AN71">
            <v>9.8857937428002973E-3</v>
          </cell>
          <cell r="AO71">
            <v>1.28211951093673E-2</v>
          </cell>
          <cell r="AQ71">
            <v>1.6398529342599888E-2</v>
          </cell>
          <cell r="AR71">
            <v>1.1922242290942187E-2</v>
          </cell>
          <cell r="AS71">
            <v>1.4183322318951586E-2</v>
          </cell>
          <cell r="AU71">
            <v>2.0178818096681539E-2</v>
          </cell>
          <cell r="AV71">
            <v>1.565575081952808E-2</v>
          </cell>
          <cell r="AW71">
            <v>1.7920315763392258E-2</v>
          </cell>
          <cell r="AY71">
            <v>1.7089796675052504E-2</v>
          </cell>
          <cell r="AZ71">
            <v>1.1188685642049556E-3</v>
          </cell>
          <cell r="BA71">
            <v>9.021218302591727E-3</v>
          </cell>
        </row>
        <row r="72">
          <cell r="B72" t="str">
            <v>Basic Cash EPS</v>
          </cell>
          <cell r="C72">
            <v>0</v>
          </cell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  <cell r="K72">
            <v>0</v>
          </cell>
          <cell r="L72">
            <v>0</v>
          </cell>
          <cell r="M72">
            <v>0</v>
          </cell>
          <cell r="O72">
            <v>0</v>
          </cell>
          <cell r="P72">
            <v>0</v>
          </cell>
          <cell r="Q72">
            <v>0</v>
          </cell>
          <cell r="R72" t="e">
            <v>#DIV/0!</v>
          </cell>
          <cell r="S72">
            <v>0</v>
          </cell>
          <cell r="T72">
            <v>0</v>
          </cell>
          <cell r="U72">
            <v>0</v>
          </cell>
          <cell r="W72">
            <v>0</v>
          </cell>
          <cell r="X72">
            <v>0</v>
          </cell>
          <cell r="Y72">
            <v>0</v>
          </cell>
          <cell r="AA72">
            <v>0</v>
          </cell>
          <cell r="AB72">
            <v>0</v>
          </cell>
          <cell r="AC72">
            <v>0</v>
          </cell>
          <cell r="AE72">
            <v>0</v>
          </cell>
          <cell r="AF72">
            <v>0</v>
          </cell>
          <cell r="AG72">
            <v>0</v>
          </cell>
          <cell r="AI72">
            <v>0</v>
          </cell>
          <cell r="AJ72">
            <v>1.778995184128096E-2</v>
          </cell>
          <cell r="AK72">
            <v>0</v>
          </cell>
          <cell r="AM72">
            <v>1.5815210544307678E-2</v>
          </cell>
          <cell r="AN72">
            <v>9.8857937428002973E-3</v>
          </cell>
          <cell r="AO72">
            <v>1.28211951093673E-2</v>
          </cell>
          <cell r="AQ72">
            <v>1.6398529342599888E-2</v>
          </cell>
          <cell r="AR72">
            <v>1.1922242290942187E-2</v>
          </cell>
          <cell r="AS72">
            <v>1.4183322318951586E-2</v>
          </cell>
          <cell r="AU72">
            <v>2.0178818096681539E-2</v>
          </cell>
          <cell r="AV72">
            <v>1.565575081952808E-2</v>
          </cell>
          <cell r="AW72">
            <v>1.7920315763392258E-2</v>
          </cell>
          <cell r="AY72">
            <v>1.7089796675052504E-2</v>
          </cell>
          <cell r="AZ72">
            <v>1.1188685642049556E-3</v>
          </cell>
          <cell r="BA72">
            <v>9.021218302591727E-3</v>
          </cell>
        </row>
        <row r="73">
          <cell r="B73" t="str">
            <v>Modelware EPS</v>
          </cell>
          <cell r="C73">
            <v>0</v>
          </cell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  <cell r="K73">
            <v>0</v>
          </cell>
          <cell r="L73">
            <v>0</v>
          </cell>
          <cell r="M73">
            <v>0</v>
          </cell>
          <cell r="O73">
            <v>0</v>
          </cell>
          <cell r="P73">
            <v>0</v>
          </cell>
          <cell r="Q73">
            <v>0</v>
          </cell>
          <cell r="R73" t="e">
            <v>#DIV/0!</v>
          </cell>
          <cell r="S73">
            <v>0</v>
          </cell>
          <cell r="T73">
            <v>0</v>
          </cell>
          <cell r="U73">
            <v>0</v>
          </cell>
          <cell r="W73">
            <v>0</v>
          </cell>
          <cell r="X73">
            <v>0</v>
          </cell>
          <cell r="Y73">
            <v>0</v>
          </cell>
          <cell r="AA73">
            <v>0</v>
          </cell>
          <cell r="AB73">
            <v>0</v>
          </cell>
          <cell r="AC73">
            <v>0</v>
          </cell>
          <cell r="AE73">
            <v>0</v>
          </cell>
          <cell r="AF73">
            <v>0</v>
          </cell>
          <cell r="AG73">
            <v>0</v>
          </cell>
          <cell r="AI73">
            <v>0</v>
          </cell>
          <cell r="AJ73">
            <v>1.1900147964039043E-2</v>
          </cell>
          <cell r="AK73">
            <v>0</v>
          </cell>
          <cell r="AM73">
            <v>1.5362892256299832E-2</v>
          </cell>
          <cell r="AN73">
            <v>9.4931157137905231E-3</v>
          </cell>
          <cell r="AO73">
            <v>1.2394997172887168E-2</v>
          </cell>
          <cell r="AQ73">
            <v>1.579129906199328E-2</v>
          </cell>
          <cell r="AR73">
            <v>1.1382010455966762E-2</v>
          </cell>
          <cell r="AS73">
            <v>1.3608402223330263E-2</v>
          </cell>
          <cell r="AU73">
            <v>1.9380070244137126E-2</v>
          </cell>
          <cell r="AV73">
            <v>1.4919462015224871E-2</v>
          </cell>
          <cell r="AW73">
            <v>1.7152410983474642E-2</v>
          </cell>
          <cell r="AY73">
            <v>2.9742110581011838E-2</v>
          </cell>
          <cell r="AZ73">
            <v>1.3855043577905679E-2</v>
          </cell>
          <cell r="BA73">
            <v>2.1719054190100895E-2</v>
          </cell>
        </row>
        <row r="74">
          <cell r="B74" t="str">
            <v>Dividend per Share</v>
          </cell>
          <cell r="C74">
            <v>0</v>
          </cell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  <cell r="K74">
            <v>0</v>
          </cell>
          <cell r="L74">
            <v>0</v>
          </cell>
          <cell r="M74">
            <v>0</v>
          </cell>
          <cell r="O74">
            <v>0</v>
          </cell>
          <cell r="P74">
            <v>0</v>
          </cell>
          <cell r="Q74">
            <v>0</v>
          </cell>
          <cell r="R74" t="e">
            <v>#DIV/0!</v>
          </cell>
          <cell r="S74">
            <v>0</v>
          </cell>
          <cell r="T74">
            <v>0</v>
          </cell>
          <cell r="U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I74">
            <v>0</v>
          </cell>
          <cell r="AJ74">
            <v>4.7872340425531901E-2</v>
          </cell>
          <cell r="AK74">
            <v>0</v>
          </cell>
          <cell r="AM74">
            <v>1.2422360248447228E-2</v>
          </cell>
          <cell r="AN74">
            <v>1.0416666666666741E-2</v>
          </cell>
          <cell r="AO74">
            <v>1.1331444759206777E-2</v>
          </cell>
          <cell r="AQ74">
            <v>1.2048192771084265E-2</v>
          </cell>
          <cell r="AR74">
            <v>1.025641025641022E-2</v>
          </cell>
          <cell r="AS74">
            <v>1.1080332409972193E-2</v>
          </cell>
          <cell r="AU74">
            <v>2.3255813953488413E-2</v>
          </cell>
          <cell r="AV74">
            <v>1.4778325123152802E-2</v>
          </cell>
          <cell r="AW74">
            <v>1.8666666666666609E-2</v>
          </cell>
          <cell r="AY74">
            <v>4.761904761904745E-3</v>
          </cell>
          <cell r="AZ74">
            <v>1.2195121951219523E-2</v>
          </cell>
          <cell r="BA74">
            <v>8.7719298245614308E-3</v>
          </cell>
        </row>
        <row r="75">
          <cell r="B75" t="str">
            <v>Gross Loans &amp; Advances</v>
          </cell>
          <cell r="C75">
            <v>0</v>
          </cell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  <cell r="K75">
            <v>0</v>
          </cell>
          <cell r="L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 t="e">
            <v>#DIV/0!</v>
          </cell>
          <cell r="S75">
            <v>0</v>
          </cell>
          <cell r="T75">
            <v>0</v>
          </cell>
          <cell r="U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I75">
            <v>0</v>
          </cell>
          <cell r="AJ75">
            <v>4.2759886324259533E-3</v>
          </cell>
          <cell r="AK75">
            <v>0</v>
          </cell>
          <cell r="AM75">
            <v>0</v>
          </cell>
          <cell r="AN75">
            <v>0</v>
          </cell>
          <cell r="AO75">
            <v>0</v>
          </cell>
          <cell r="AQ75">
            <v>0</v>
          </cell>
          <cell r="AR75">
            <v>0</v>
          </cell>
          <cell r="AS75">
            <v>0</v>
          </cell>
          <cell r="AU75">
            <v>0</v>
          </cell>
          <cell r="AV75">
            <v>0</v>
          </cell>
          <cell r="AW75">
            <v>0</v>
          </cell>
          <cell r="AY75">
            <v>1.2243377560224644E-2</v>
          </cell>
          <cell r="AZ75">
            <v>1.2534824787611365E-2</v>
          </cell>
          <cell r="BA75">
            <v>1.2534824787611365E-2</v>
          </cell>
        </row>
        <row r="76">
          <cell r="B76" t="str">
            <v>Average Interest Earning Assets</v>
          </cell>
          <cell r="C76">
            <v>0</v>
          </cell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  <cell r="K76">
            <v>0</v>
          </cell>
          <cell r="L76">
            <v>0</v>
          </cell>
          <cell r="M76">
            <v>0</v>
          </cell>
          <cell r="O76">
            <v>0</v>
          </cell>
          <cell r="P76">
            <v>0</v>
          </cell>
          <cell r="Q76">
            <v>0</v>
          </cell>
          <cell r="R76" t="e">
            <v>#DIV/0!</v>
          </cell>
          <cell r="S76">
            <v>0</v>
          </cell>
          <cell r="T76">
            <v>0</v>
          </cell>
          <cell r="U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3.649918715267475E-2</v>
          </cell>
          <cell r="AI76">
            <v>0</v>
          </cell>
          <cell r="AJ76">
            <v>-5.5142972059657458E-3</v>
          </cell>
          <cell r="AK76">
            <v>0</v>
          </cell>
          <cell r="AM76">
            <v>-2.7783669809267053E-9</v>
          </cell>
          <cell r="AN76">
            <v>-2.6858241855998166E-5</v>
          </cell>
          <cell r="AO76">
            <v>-1.3604870161110227E-5</v>
          </cell>
          <cell r="AQ76">
            <v>-7.9049377188167291E-5</v>
          </cell>
          <cell r="AR76">
            <v>-1.299588665265583E-4</v>
          </cell>
          <cell r="AS76">
            <v>-1.0477199776992574E-4</v>
          </cell>
          <cell r="AU76">
            <v>-3.279471008443835E-4</v>
          </cell>
          <cell r="AV76">
            <v>-5.4187869067723327E-4</v>
          </cell>
          <cell r="AW76">
            <v>-4.3574575709703911E-4</v>
          </cell>
          <cell r="AY76">
            <v>2.6128842783180284E-2</v>
          </cell>
          <cell r="AZ76">
            <v>2.1753607199318958E-2</v>
          </cell>
          <cell r="BA76">
            <v>2.3907140238391911E-2</v>
          </cell>
        </row>
        <row r="77">
          <cell r="B77" t="str">
            <v>Net Interest Margin</v>
          </cell>
          <cell r="C77" t="e">
            <v>#DIV/0!</v>
          </cell>
          <cell r="D77" t="e">
            <v>#DIV/0!</v>
          </cell>
          <cell r="E77" t="e">
            <v>#DIV/0!</v>
          </cell>
          <cell r="G77" t="e">
            <v>#DIV/0!</v>
          </cell>
          <cell r="H77" t="e">
            <v>#DIV/0!</v>
          </cell>
          <cell r="I77" t="e">
            <v>#DIV/0!</v>
          </cell>
          <cell r="K77" t="e">
            <v>#DIV/0!</v>
          </cell>
          <cell r="L77" t="e">
            <v>#DIV/0!</v>
          </cell>
          <cell r="M77" t="e">
            <v>#DIV/0!</v>
          </cell>
          <cell r="O77" t="e">
            <v>#DIV/0!</v>
          </cell>
          <cell r="P77" t="e">
            <v>#DIV/0!</v>
          </cell>
          <cell r="Q77" t="e">
            <v>#DIV/0!</v>
          </cell>
          <cell r="R77" t="e">
            <v>#DIV/0!</v>
          </cell>
          <cell r="S77">
            <v>0</v>
          </cell>
          <cell r="T77">
            <v>0</v>
          </cell>
          <cell r="U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-6.9622042180837038</v>
          </cell>
          <cell r="AI77">
            <v>0</v>
          </cell>
          <cell r="AJ77">
            <v>3.6719318531601779</v>
          </cell>
          <cell r="AK77">
            <v>0</v>
          </cell>
          <cell r="AM77">
            <v>0.87845363791989173</v>
          </cell>
          <cell r="AN77">
            <v>0.88171343480616948</v>
          </cell>
          <cell r="AO77">
            <v>0.88000400971996462</v>
          </cell>
          <cell r="AQ77">
            <v>0.89028603165078324</v>
          </cell>
          <cell r="AR77">
            <v>0.89911152621000712</v>
          </cell>
          <cell r="AS77">
            <v>0.89469460751768337</v>
          </cell>
          <cell r="AU77">
            <v>0.9472915948859767</v>
          </cell>
          <cell r="AV77">
            <v>0.9896725939181894</v>
          </cell>
          <cell r="AW77">
            <v>0.96864523541548975</v>
          </cell>
          <cell r="AY77">
            <v>0.15242896972175735</v>
          </cell>
          <cell r="AZ77">
            <v>-8.1341612770124971E-2</v>
          </cell>
          <cell r="BA77">
            <v>3.8868016817780737E-2</v>
          </cell>
        </row>
        <row r="78">
          <cell r="B78" t="str">
            <v>Cost to Income Ratio</v>
          </cell>
          <cell r="C78" t="e">
            <v>#DIV/0!</v>
          </cell>
          <cell r="D78" t="e">
            <v>#DIV/0!</v>
          </cell>
          <cell r="E78" t="e">
            <v>#DIV/0!</v>
          </cell>
          <cell r="G78" t="e">
            <v>#DIV/0!</v>
          </cell>
          <cell r="H78" t="e">
            <v>#DIV/0!</v>
          </cell>
          <cell r="I78" t="e">
            <v>#DIV/0!</v>
          </cell>
          <cell r="K78" t="e">
            <v>#DIV/0!</v>
          </cell>
          <cell r="L78" t="e">
            <v>#DIV/0!</v>
          </cell>
          <cell r="M78" t="e">
            <v>#DIV/0!</v>
          </cell>
          <cell r="O78" t="e">
            <v>#DIV/0!</v>
          </cell>
          <cell r="P78" t="e">
            <v>#DIV/0!</v>
          </cell>
          <cell r="Q78" t="e">
            <v>#DIV/0!</v>
          </cell>
          <cell r="R78" t="e">
            <v>#DIV/0!</v>
          </cell>
          <cell r="S78">
            <v>0</v>
          </cell>
          <cell r="T78">
            <v>0</v>
          </cell>
          <cell r="U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I78">
            <v>0</v>
          </cell>
          <cell r="AJ78">
            <v>-75.576395508913933</v>
          </cell>
          <cell r="AK78">
            <v>0</v>
          </cell>
          <cell r="AM78">
            <v>-34.716411867274921</v>
          </cell>
          <cell r="AN78">
            <v>-20.77733244085389</v>
          </cell>
          <cell r="AO78">
            <v>-27.661166724093356</v>
          </cell>
          <cell r="AQ78">
            <v>-30.282830962995998</v>
          </cell>
          <cell r="AR78">
            <v>-20.974337256620679</v>
          </cell>
          <cell r="AS78">
            <v>-25.649829384629118</v>
          </cell>
          <cell r="AU78">
            <v>-36.565221921387447</v>
          </cell>
          <cell r="AV78">
            <v>-26.088883064396274</v>
          </cell>
          <cell r="AW78">
            <v>-31.333530689248157</v>
          </cell>
          <cell r="AY78">
            <v>-184.34410539388102</v>
          </cell>
          <cell r="AZ78">
            <v>-162.32592564585701</v>
          </cell>
          <cell r="BA78">
            <v>-173.22590796666537</v>
          </cell>
        </row>
        <row r="79">
          <cell r="B79" t="str">
            <v>Impairment Charge / GL&amp;A</v>
          </cell>
          <cell r="C79">
            <v>0</v>
          </cell>
          <cell r="D79">
            <v>0</v>
          </cell>
          <cell r="E79">
            <v>0</v>
          </cell>
          <cell r="G79" t="e">
            <v>#DIV/0!</v>
          </cell>
          <cell r="H79" t="e">
            <v>#DIV/0!</v>
          </cell>
          <cell r="I79" t="e">
            <v>#DIV/0!</v>
          </cell>
          <cell r="K79">
            <v>0</v>
          </cell>
          <cell r="L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 t="e">
            <v>#DIV/0!</v>
          </cell>
          <cell r="S79">
            <v>0</v>
          </cell>
          <cell r="T79">
            <v>0</v>
          </cell>
          <cell r="U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I79">
            <v>0</v>
          </cell>
          <cell r="AJ79">
            <v>0.36064484092045246</v>
          </cell>
          <cell r="AK79">
            <v>0</v>
          </cell>
          <cell r="AM79">
            <v>-4.6203991153903612E-8</v>
          </cell>
          <cell r="AN79">
            <v>-4.4816824730942867E-4</v>
          </cell>
          <cell r="AO79">
            <v>-2.2410671444463015E-4</v>
          </cell>
          <cell r="AQ79">
            <v>-4.5630442925895243E-4</v>
          </cell>
          <cell r="AR79">
            <v>-5.2130625376786005E-4</v>
          </cell>
          <cell r="AS79">
            <v>-4.8432322485424811E-4</v>
          </cell>
          <cell r="AU79">
            <v>-3.483693719274171E-3</v>
          </cell>
          <cell r="AV79">
            <v>-1.2904301634111132E-3</v>
          </cell>
          <cell r="AW79">
            <v>-2.3532809486281545E-3</v>
          </cell>
          <cell r="AY79">
            <v>-0.81469473486681754</v>
          </cell>
          <cell r="AZ79">
            <v>-0.84799336955713533</v>
          </cell>
          <cell r="BA79">
            <v>-0.82184315050365475</v>
          </cell>
        </row>
        <row r="80">
          <cell r="B80" t="str">
            <v>Effective Tax Rate</v>
          </cell>
          <cell r="C80">
            <v>0</v>
          </cell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  <cell r="K80">
            <v>0</v>
          </cell>
          <cell r="L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R80" t="e">
            <v>#DIV/0!</v>
          </cell>
          <cell r="S80">
            <v>0</v>
          </cell>
          <cell r="T80">
            <v>0</v>
          </cell>
          <cell r="U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I80">
            <v>0</v>
          </cell>
          <cell r="AJ80">
            <v>28.170877019323413</v>
          </cell>
          <cell r="AK80">
            <v>0</v>
          </cell>
          <cell r="AM80">
            <v>0.18113848428258361</v>
          </cell>
          <cell r="AN80">
            <v>0.11218469410934073</v>
          </cell>
          <cell r="AO80">
            <v>0.14789801645764822</v>
          </cell>
          <cell r="AQ80">
            <v>0.17975346600251907</v>
          </cell>
          <cell r="AR80">
            <v>0.13559693974263265</v>
          </cell>
          <cell r="AS80">
            <v>0.15878480602027345</v>
          </cell>
          <cell r="AU80">
            <v>-0.84722186823538159</v>
          </cell>
          <cell r="AV80">
            <v>-0.13445817793278358</v>
          </cell>
          <cell r="AW80">
            <v>-0.49260835476405695</v>
          </cell>
          <cell r="AY80">
            <v>30.947075534656921</v>
          </cell>
          <cell r="AZ80">
            <v>49.902179287233949</v>
          </cell>
          <cell r="BA80">
            <v>40.488683359031775</v>
          </cell>
        </row>
      </sheetData>
      <sheetData sheetId="6" refreshError="1"/>
      <sheetData sheetId="7"/>
      <sheetData sheetId="8"/>
      <sheetData sheetId="9"/>
      <sheetData sheetId="10"/>
      <sheetData sheetId="11"/>
      <sheetData sheetId="12"/>
      <sheetData sheetId="13" refreshError="1">
        <row r="3">
          <cell r="B3" t="str">
            <v>SHARE PRICE TARGET</v>
          </cell>
        </row>
        <row r="6">
          <cell r="B6" t="str">
            <v>12-month fwd RIVM Valuation</v>
          </cell>
          <cell r="D6">
            <v>0.05</v>
          </cell>
        </row>
        <row r="7">
          <cell r="B7" t="str">
            <v>Bull Case</v>
          </cell>
          <cell r="D7">
            <v>65.713601622779379</v>
          </cell>
        </row>
        <row r="8">
          <cell r="B8" t="str">
            <v>Base Case</v>
          </cell>
          <cell r="D8">
            <v>59.705828813803748</v>
          </cell>
        </row>
        <row r="9">
          <cell r="B9" t="str">
            <v>Bear Case</v>
          </cell>
          <cell r="D9">
            <v>51.687992098951774</v>
          </cell>
        </row>
        <row r="10">
          <cell r="B10" t="str">
            <v>Probability</v>
          </cell>
        </row>
        <row r="11">
          <cell r="B11" t="str">
            <v>Bull Case</v>
          </cell>
          <cell r="D11">
            <v>0.15</v>
          </cell>
        </row>
        <row r="12">
          <cell r="B12" t="str">
            <v>Base Case</v>
          </cell>
          <cell r="D12">
            <v>0.64999999999999991</v>
          </cell>
        </row>
        <row r="13">
          <cell r="B13" t="str">
            <v>Bear Case</v>
          </cell>
          <cell r="D13">
            <v>0.2</v>
          </cell>
        </row>
        <row r="14">
          <cell r="B14" t="str">
            <v>Probability Weighted Price Target</v>
          </cell>
          <cell r="D14">
            <v>59</v>
          </cell>
        </row>
        <row r="15">
          <cell r="B15" t="str">
            <v>Current Price</v>
          </cell>
          <cell r="D15">
            <v>62.2</v>
          </cell>
        </row>
        <row r="16">
          <cell r="B16" t="str">
            <v>Upside / (Downside)</v>
          </cell>
          <cell r="D16">
            <v>-5.144694533762062E-2</v>
          </cell>
        </row>
        <row r="17">
          <cell r="B17" t="str">
            <v>Less: Exp 12-month Div</v>
          </cell>
          <cell r="D17">
            <v>3.57</v>
          </cell>
        </row>
        <row r="18">
          <cell r="B18" t="str">
            <v>Implied 12 month TSR</v>
          </cell>
          <cell r="D18">
            <v>5.9485530546623533E-3</v>
          </cell>
        </row>
        <row r="19">
          <cell r="B19" t="str">
            <v>FY13E Base Case Cash EPS</v>
          </cell>
          <cell r="D19">
            <v>474.83116006014853</v>
          </cell>
        </row>
        <row r="20">
          <cell r="B20" t="str">
            <v>Implied CBA FY13E P/E Multiple</v>
          </cell>
          <cell r="D20">
            <v>12.425469295765312</v>
          </cell>
        </row>
        <row r="21">
          <cell r="B21" t="str">
            <v>Current FY13E All Industrials ex Banks P/E Multiple (1)</v>
          </cell>
          <cell r="D21">
            <v>14.761534369077719</v>
          </cell>
        </row>
        <row r="22">
          <cell r="B22" t="str">
            <v>Implied Discount to All Industrials ex Banks</v>
          </cell>
          <cell r="D22">
            <v>-0.15825354024212868</v>
          </cell>
        </row>
        <row r="23">
          <cell r="B23" t="str">
            <v>Implied Major Bank Average FY13E P/E Multiple (2)</v>
          </cell>
          <cell r="D23">
            <v>11.493384036038684</v>
          </cell>
        </row>
        <row r="24">
          <cell r="B24" t="str">
            <v>Premium / Discount to Major Bank Average</v>
          </cell>
          <cell r="D24">
            <v>8.1097547667769554E-2</v>
          </cell>
        </row>
        <row r="25">
          <cell r="B25" t="str">
            <v>FY14E Base Case Cash EPS</v>
          </cell>
          <cell r="D25">
            <v>483.21597196563732</v>
          </cell>
        </row>
        <row r="26">
          <cell r="B26" t="str">
            <v>Implied CBA FY14E P/E Multiple</v>
          </cell>
          <cell r="D26">
            <v>12.209861309012284</v>
          </cell>
        </row>
        <row r="27">
          <cell r="B27" t="str">
            <v>Current FY14E All Industrials ex Banks P/E Multiple (1)</v>
          </cell>
          <cell r="D27">
            <v>13.544316361752934</v>
          </cell>
        </row>
        <row r="28">
          <cell r="B28" t="str">
            <v>Implied Discount to All Industrials ex Banks</v>
          </cell>
          <cell r="D28">
            <v>-9.8525094740768537E-2</v>
          </cell>
        </row>
        <row r="29">
          <cell r="B29" t="str">
            <v>Implied Major Bank Average FY14E P/E Multiple (2)</v>
          </cell>
          <cell r="D29">
            <v>11.339396440483926</v>
          </cell>
        </row>
        <row r="30">
          <cell r="B30" t="str">
            <v>Premium / Discount to Major Bank Average</v>
          </cell>
          <cell r="D30">
            <v>7.676465613466199E-2</v>
          </cell>
        </row>
        <row r="31">
          <cell r="B31" t="str">
            <v>FY13E ROE</v>
          </cell>
          <cell r="D31">
            <v>0.1829132484468006</v>
          </cell>
        </row>
        <row r="32">
          <cell r="B32" t="str">
            <v>FY14E ROE</v>
          </cell>
          <cell r="D32">
            <v>0.17465891222689983</v>
          </cell>
        </row>
        <row r="33">
          <cell r="B33" t="str">
            <v>Implied FY13E P/E Multiple</v>
          </cell>
          <cell r="D33">
            <v>12.425469295765312</v>
          </cell>
        </row>
        <row r="34">
          <cell r="B34" t="str">
            <v>Implied FY13E P/BV Multiple</v>
          </cell>
          <cell r="D34">
            <v>2.1971601766580591</v>
          </cell>
        </row>
      </sheetData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areInputs"/>
      <sheetName val="MW-Cache"/>
      <sheetName val="Valuation"/>
      <sheetName val="DCF val"/>
      <sheetName val="MWA RR"/>
      <sheetName val="Financial Tables"/>
      <sheetName val="Revision"/>
      <sheetName val="P&amp;L"/>
      <sheetName val="BS"/>
      <sheetName val="Cashflow"/>
      <sheetName val="Divisions"/>
      <sheetName val="Forecast Changes"/>
      <sheetName val="Oboz acq"/>
      <sheetName val="acq comps"/>
      <sheetName val="Metrics"/>
      <sheetName val="Divisional charts"/>
      <sheetName val="Stores"/>
      <sheetName val="Charts"/>
      <sheetName val="Comps"/>
      <sheetName val="Sheet1"/>
      <sheetName val="currency"/>
      <sheetName val="Global Brands"/>
      <sheetName val="mwareDates"/>
      <sheetName val="mwareSettings"/>
      <sheetName val="#REF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74E9-5C7C-42EA-AB42-A3C56DA90F24}">
  <dimension ref="B2:B9"/>
  <sheetViews>
    <sheetView showGridLines="0" showRowColHeaders="0" tabSelected="1" workbookViewId="0">
      <selection activeCell="Z1" sqref="Z1"/>
    </sheetView>
  </sheetViews>
  <sheetFormatPr defaultRowHeight="13.2"/>
  <cols>
    <col min="1" max="1" width="8.88671875" style="841"/>
    <col min="2" max="2" width="101.109375" style="841" customWidth="1"/>
    <col min="3" max="16384" width="8.88671875" style="841"/>
  </cols>
  <sheetData>
    <row r="2" spans="2:2" ht="52.2">
      <c r="B2" s="840" t="s">
        <v>731</v>
      </c>
    </row>
    <row r="3" spans="2:2" ht="17.399999999999999">
      <c r="B3" s="840"/>
    </row>
    <row r="4" spans="2:2" ht="17.399999999999999">
      <c r="B4" s="840"/>
    </row>
    <row r="5" spans="2:2" ht="17.399999999999999">
      <c r="B5" s="840" t="s">
        <v>732</v>
      </c>
    </row>
    <row r="6" spans="2:2" ht="17.399999999999999">
      <c r="B6" s="840" t="s">
        <v>733</v>
      </c>
    </row>
    <row r="7" spans="2:2" ht="17.399999999999999">
      <c r="B7" s="840" t="s">
        <v>734</v>
      </c>
    </row>
    <row r="8" spans="2:2" ht="17.399999999999999">
      <c r="B8" s="840"/>
    </row>
    <row r="9" spans="2:2" ht="34.799999999999997">
      <c r="B9" s="842" t="s">
        <v>735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0CC04-37DA-4E7C-BCE5-C77CF05FBEFA}">
  <dimension ref="A1:H437"/>
  <sheetViews>
    <sheetView showGridLines="0" workbookViewId="0">
      <selection activeCell="Z1" sqref="Z1"/>
    </sheetView>
  </sheetViews>
  <sheetFormatPr defaultRowHeight="13.2"/>
  <sheetData>
    <row r="1" spans="1:8" ht="23.25" customHeight="1">
      <c r="A1" s="838"/>
      <c r="B1" s="834"/>
      <c r="C1" s="834"/>
      <c r="D1" s="834"/>
      <c r="E1" s="834"/>
      <c r="F1" s="834"/>
      <c r="G1" s="834"/>
      <c r="H1" s="834"/>
    </row>
    <row r="2" spans="1:8">
      <c r="A2" s="832" t="s">
        <v>331</v>
      </c>
      <c r="B2" s="834"/>
      <c r="C2" s="834"/>
      <c r="D2" s="834"/>
      <c r="E2" s="834"/>
      <c r="F2" s="834"/>
      <c r="G2" s="834"/>
      <c r="H2" s="834"/>
    </row>
    <row r="3" spans="1:8" s="456" customFormat="1">
      <c r="A3" s="832" t="s">
        <v>332</v>
      </c>
      <c r="B3" s="834"/>
      <c r="C3" s="834"/>
      <c r="D3" s="834"/>
      <c r="E3" s="834"/>
      <c r="F3" s="834"/>
      <c r="G3" s="834"/>
      <c r="H3" s="834"/>
    </row>
    <row r="4" spans="1:8" s="456" customFormat="1">
      <c r="A4" s="832" t="s">
        <v>333</v>
      </c>
      <c r="B4" s="834"/>
      <c r="C4" s="834"/>
      <c r="D4" s="834"/>
      <c r="E4" s="834"/>
      <c r="F4" s="834"/>
      <c r="G4" s="834"/>
      <c r="H4" s="834"/>
    </row>
    <row r="5" spans="1:8" s="456" customFormat="1">
      <c r="A5" s="832" t="s">
        <v>334</v>
      </c>
      <c r="B5" s="834"/>
      <c r="C5" s="834"/>
      <c r="D5" s="834"/>
      <c r="E5" s="834"/>
      <c r="F5" s="834"/>
      <c r="G5" s="834"/>
      <c r="H5" s="834"/>
    </row>
    <row r="6" spans="1:8" s="456" customFormat="1">
      <c r="A6" s="832"/>
      <c r="B6" s="834"/>
      <c r="C6" s="834"/>
      <c r="D6" s="834"/>
      <c r="E6" s="834"/>
      <c r="F6" s="834"/>
      <c r="G6" s="834"/>
      <c r="H6" s="834"/>
    </row>
    <row r="7" spans="1:8">
      <c r="A7" s="832" t="s">
        <v>335</v>
      </c>
      <c r="B7" s="834"/>
      <c r="C7" s="834"/>
      <c r="D7" s="834"/>
      <c r="E7" s="834"/>
      <c r="F7" s="834"/>
      <c r="G7" s="834"/>
      <c r="H7" s="834"/>
    </row>
    <row r="8" spans="1:8">
      <c r="A8" s="832" t="s">
        <v>336</v>
      </c>
      <c r="B8" s="834"/>
      <c r="C8" s="834"/>
      <c r="D8" s="834"/>
      <c r="E8" s="834"/>
      <c r="F8" s="834"/>
      <c r="G8" s="834"/>
      <c r="H8" s="834"/>
    </row>
    <row r="9" spans="1:8">
      <c r="A9" s="832"/>
      <c r="B9" s="834"/>
      <c r="C9" s="834"/>
      <c r="D9" s="834"/>
      <c r="E9" s="834"/>
      <c r="F9" s="834"/>
      <c r="G9" s="834"/>
      <c r="H9" s="834"/>
    </row>
    <row r="10" spans="1:8">
      <c r="A10" s="832" t="s">
        <v>337</v>
      </c>
      <c r="B10" s="834"/>
      <c r="C10" s="834"/>
      <c r="D10" s="834"/>
      <c r="E10" s="834"/>
      <c r="F10" s="834"/>
      <c r="G10" s="834"/>
      <c r="H10" s="834"/>
    </row>
    <row r="11" spans="1:8">
      <c r="A11" s="832" t="s">
        <v>338</v>
      </c>
      <c r="B11" s="834"/>
      <c r="C11" s="834"/>
      <c r="D11" s="834"/>
      <c r="E11" s="834"/>
      <c r="F11" s="834"/>
      <c r="G11" s="834"/>
      <c r="H11" s="834"/>
    </row>
    <row r="12" spans="1:8">
      <c r="A12" s="832" t="s">
        <v>339</v>
      </c>
      <c r="B12" s="834"/>
      <c r="C12" s="834"/>
      <c r="D12" s="834"/>
      <c r="E12" s="834"/>
      <c r="F12" s="834"/>
      <c r="G12" s="834"/>
      <c r="H12" s="834"/>
    </row>
    <row r="13" spans="1:8">
      <c r="A13" s="832" t="s">
        <v>340</v>
      </c>
      <c r="B13" s="834"/>
      <c r="C13" s="834"/>
      <c r="D13" s="834"/>
      <c r="E13" s="834"/>
      <c r="F13" s="834"/>
      <c r="G13" s="834"/>
      <c r="H13" s="834"/>
    </row>
    <row r="14" spans="1:8">
      <c r="A14" s="832" t="s">
        <v>341</v>
      </c>
      <c r="B14" s="834"/>
      <c r="C14" s="834"/>
      <c r="D14" s="834"/>
      <c r="E14" s="834"/>
      <c r="F14" s="834"/>
      <c r="G14" s="834"/>
      <c r="H14" s="834"/>
    </row>
    <row r="15" spans="1:8">
      <c r="A15" s="832" t="s">
        <v>342</v>
      </c>
      <c r="B15" s="834"/>
      <c r="C15" s="834"/>
      <c r="D15" s="834"/>
      <c r="E15" s="834"/>
      <c r="F15" s="834"/>
      <c r="G15" s="834"/>
      <c r="H15" s="834"/>
    </row>
    <row r="16" spans="1:8">
      <c r="A16" s="832"/>
      <c r="B16" s="834"/>
      <c r="C16" s="834"/>
      <c r="D16" s="834"/>
      <c r="E16" s="834"/>
      <c r="F16" s="834"/>
      <c r="G16" s="834"/>
      <c r="H16" s="834"/>
    </row>
    <row r="17" spans="1:8">
      <c r="A17" s="832" t="s">
        <v>343</v>
      </c>
      <c r="B17" s="834"/>
      <c r="C17" s="834"/>
      <c r="D17" s="834"/>
      <c r="E17" s="834"/>
      <c r="F17" s="834"/>
      <c r="G17" s="834"/>
      <c r="H17" s="834"/>
    </row>
    <row r="18" spans="1:8">
      <c r="A18" s="832"/>
      <c r="B18" s="834"/>
      <c r="C18" s="834"/>
      <c r="D18" s="834"/>
      <c r="E18" s="834"/>
      <c r="F18" s="834"/>
      <c r="G18" s="834"/>
      <c r="H18" s="834"/>
    </row>
    <row r="19" spans="1:8">
      <c r="A19" s="832" t="s">
        <v>344</v>
      </c>
      <c r="B19" s="834"/>
      <c r="C19" s="834"/>
      <c r="D19" s="834"/>
      <c r="E19" s="834"/>
      <c r="F19" s="834"/>
      <c r="G19" s="834"/>
      <c r="H19" s="834"/>
    </row>
    <row r="20" spans="1:8">
      <c r="A20" s="832"/>
      <c r="B20" s="834"/>
      <c r="C20" s="834"/>
      <c r="D20" s="834"/>
      <c r="E20" s="834"/>
      <c r="F20" s="834"/>
      <c r="G20" s="834"/>
      <c r="H20" s="834"/>
    </row>
    <row r="21" spans="1:8">
      <c r="A21" s="833" t="s">
        <v>345</v>
      </c>
      <c r="B21" s="834"/>
      <c r="C21" s="834"/>
      <c r="D21" s="834"/>
      <c r="E21" s="834"/>
      <c r="F21" s="834"/>
      <c r="G21" s="834"/>
      <c r="H21" s="834"/>
    </row>
    <row r="22" spans="1:8">
      <c r="A22" s="834"/>
      <c r="B22" s="834"/>
      <c r="C22" s="834"/>
      <c r="D22" s="834"/>
      <c r="E22" s="834"/>
      <c r="F22" s="834"/>
      <c r="G22" s="834"/>
      <c r="H22" s="834"/>
    </row>
    <row r="23" spans="1:8">
      <c r="A23" s="834" t="s">
        <v>346</v>
      </c>
      <c r="B23" s="834"/>
      <c r="C23" s="834"/>
      <c r="D23" s="834"/>
      <c r="E23" s="834"/>
      <c r="F23" s="834"/>
      <c r="G23" s="834"/>
      <c r="H23" s="834"/>
    </row>
    <row r="24" spans="1:8">
      <c r="A24" s="834" t="s">
        <v>347</v>
      </c>
      <c r="B24" s="834"/>
      <c r="C24" s="834"/>
      <c r="D24" s="834"/>
      <c r="E24" s="834"/>
      <c r="F24" s="834"/>
      <c r="G24" s="834"/>
      <c r="H24" s="834"/>
    </row>
    <row r="25" spans="1:8">
      <c r="A25" s="834" t="s">
        <v>348</v>
      </c>
      <c r="B25" s="834"/>
      <c r="C25" s="834"/>
      <c r="D25" s="834"/>
      <c r="E25" s="834"/>
      <c r="F25" s="834"/>
      <c r="G25" s="834"/>
      <c r="H25" s="834"/>
    </row>
    <row r="26" spans="1:8">
      <c r="A26" s="834" t="s">
        <v>349</v>
      </c>
      <c r="B26" s="834"/>
      <c r="C26" s="834"/>
      <c r="D26" s="834"/>
      <c r="E26" s="834"/>
      <c r="F26" s="834"/>
      <c r="G26" s="834"/>
      <c r="H26" s="834"/>
    </row>
    <row r="27" spans="1:8">
      <c r="A27" s="834"/>
      <c r="B27" s="834"/>
      <c r="C27" s="834"/>
      <c r="D27" s="834"/>
      <c r="E27" s="834"/>
      <c r="F27" s="834"/>
      <c r="G27" s="834"/>
      <c r="H27" s="834"/>
    </row>
    <row r="28" spans="1:8">
      <c r="A28" s="834" t="s">
        <v>350</v>
      </c>
      <c r="B28" s="834"/>
      <c r="C28" s="834"/>
      <c r="D28" s="834"/>
      <c r="E28" s="834"/>
      <c r="F28" s="834"/>
      <c r="G28" s="834"/>
      <c r="H28" s="834"/>
    </row>
    <row r="29" spans="1:8">
      <c r="A29" s="834" t="s">
        <v>351</v>
      </c>
      <c r="B29" s="834"/>
      <c r="C29" s="834"/>
      <c r="D29" s="834"/>
      <c r="E29" s="834"/>
      <c r="F29" s="834"/>
      <c r="G29" s="834"/>
      <c r="H29" s="834"/>
    </row>
    <row r="30" spans="1:8">
      <c r="A30" s="834" t="s">
        <v>352</v>
      </c>
      <c r="B30" s="834"/>
      <c r="C30" s="834"/>
      <c r="D30" s="834"/>
      <c r="E30" s="834"/>
      <c r="F30" s="834"/>
      <c r="G30" s="834"/>
      <c r="H30" s="834"/>
    </row>
    <row r="31" spans="1:8">
      <c r="A31" s="834" t="s">
        <v>353</v>
      </c>
      <c r="B31" s="834"/>
      <c r="C31" s="834"/>
      <c r="D31" s="834"/>
      <c r="E31" s="834"/>
      <c r="F31" s="834"/>
      <c r="G31" s="834"/>
      <c r="H31" s="834"/>
    </row>
    <row r="32" spans="1:8">
      <c r="A32" s="834" t="s">
        <v>354</v>
      </c>
      <c r="B32" s="834"/>
      <c r="C32" s="834"/>
      <c r="D32" s="834"/>
      <c r="E32" s="834"/>
      <c r="F32" s="834"/>
      <c r="G32" s="834"/>
      <c r="H32" s="834"/>
    </row>
    <row r="33" spans="1:8">
      <c r="A33" s="834" t="s">
        <v>355</v>
      </c>
      <c r="B33" s="834"/>
      <c r="C33" s="834"/>
      <c r="D33" s="834"/>
      <c r="E33" s="834"/>
      <c r="F33" s="834"/>
      <c r="G33" s="834"/>
      <c r="H33" s="834"/>
    </row>
    <row r="34" spans="1:8">
      <c r="A34" s="834" t="s">
        <v>356</v>
      </c>
      <c r="B34" s="834"/>
      <c r="C34" s="834"/>
      <c r="D34" s="834"/>
      <c r="E34" s="834"/>
      <c r="F34" s="834"/>
      <c r="G34" s="834"/>
      <c r="H34" s="834"/>
    </row>
    <row r="35" spans="1:8">
      <c r="A35" s="834" t="s">
        <v>357</v>
      </c>
      <c r="B35" s="834"/>
      <c r="C35" s="834"/>
      <c r="D35" s="834"/>
      <c r="E35" s="834"/>
      <c r="F35" s="834"/>
      <c r="G35" s="834"/>
      <c r="H35" s="834"/>
    </row>
    <row r="36" spans="1:8">
      <c r="A36" s="834" t="s">
        <v>358</v>
      </c>
      <c r="B36" s="834"/>
      <c r="C36" s="834"/>
      <c r="D36" s="834"/>
      <c r="E36" s="834"/>
      <c r="F36" s="834"/>
      <c r="G36" s="834"/>
      <c r="H36" s="834"/>
    </row>
    <row r="37" spans="1:8">
      <c r="A37" s="834" t="s">
        <v>359</v>
      </c>
      <c r="B37" s="834"/>
      <c r="C37" s="834"/>
      <c r="D37" s="834"/>
      <c r="E37" s="834"/>
      <c r="F37" s="834"/>
      <c r="G37" s="834"/>
      <c r="H37" s="834"/>
    </row>
    <row r="38" spans="1:8">
      <c r="A38" s="834" t="s">
        <v>360</v>
      </c>
      <c r="B38" s="834"/>
      <c r="C38" s="834"/>
      <c r="D38" s="834"/>
      <c r="E38" s="834"/>
      <c r="F38" s="834"/>
      <c r="G38" s="834"/>
      <c r="H38" s="834"/>
    </row>
    <row r="39" spans="1:8">
      <c r="A39" s="834" t="s">
        <v>361</v>
      </c>
      <c r="B39" s="834"/>
      <c r="C39" s="834"/>
      <c r="D39" s="834"/>
      <c r="E39" s="834"/>
      <c r="F39" s="834"/>
      <c r="G39" s="834"/>
      <c r="H39" s="834"/>
    </row>
    <row r="40" spans="1:8">
      <c r="A40" s="834" t="s">
        <v>362</v>
      </c>
      <c r="B40" s="834"/>
      <c r="C40" s="834"/>
      <c r="D40" s="834"/>
      <c r="E40" s="834"/>
      <c r="F40" s="834"/>
      <c r="G40" s="834"/>
      <c r="H40" s="834"/>
    </row>
    <row r="41" spans="1:8">
      <c r="A41" s="834" t="s">
        <v>363</v>
      </c>
      <c r="B41" s="834"/>
      <c r="C41" s="834"/>
      <c r="D41" s="834"/>
      <c r="E41" s="834"/>
      <c r="F41" s="834"/>
      <c r="G41" s="834"/>
      <c r="H41" s="834"/>
    </row>
    <row r="42" spans="1:8">
      <c r="A42" s="834" t="s">
        <v>364</v>
      </c>
      <c r="B42" s="834"/>
      <c r="C42" s="834"/>
      <c r="D42" s="834"/>
      <c r="E42" s="834"/>
      <c r="F42" s="834"/>
      <c r="G42" s="834"/>
      <c r="H42" s="834"/>
    </row>
    <row r="43" spans="1:8">
      <c r="A43" s="834" t="s">
        <v>365</v>
      </c>
      <c r="B43" s="834"/>
      <c r="C43" s="834"/>
      <c r="D43" s="834"/>
      <c r="E43" s="834"/>
      <c r="F43" s="834"/>
      <c r="G43" s="834"/>
      <c r="H43" s="834"/>
    </row>
    <row r="44" spans="1:8">
      <c r="A44" s="834" t="s">
        <v>366</v>
      </c>
      <c r="B44" s="834"/>
      <c r="C44" s="834"/>
      <c r="D44" s="834"/>
      <c r="E44" s="834"/>
      <c r="F44" s="834"/>
      <c r="G44" s="834"/>
      <c r="H44" s="834"/>
    </row>
    <row r="45" spans="1:8">
      <c r="A45" s="834" t="s">
        <v>367</v>
      </c>
      <c r="B45" s="834"/>
      <c r="C45" s="834"/>
      <c r="D45" s="834"/>
      <c r="E45" s="834"/>
      <c r="F45" s="834"/>
      <c r="G45" s="834"/>
      <c r="H45" s="834"/>
    </row>
    <row r="46" spans="1:8">
      <c r="A46" s="834" t="s">
        <v>368</v>
      </c>
      <c r="B46" s="834"/>
      <c r="C46" s="834"/>
      <c r="D46" s="834"/>
      <c r="E46" s="834"/>
      <c r="F46" s="834"/>
      <c r="G46" s="834"/>
      <c r="H46" s="834"/>
    </row>
    <row r="47" spans="1:8">
      <c r="A47" s="834" t="s">
        <v>369</v>
      </c>
      <c r="B47" s="834"/>
      <c r="C47" s="834"/>
      <c r="D47" s="834"/>
      <c r="E47" s="834"/>
      <c r="F47" s="834"/>
      <c r="G47" s="834"/>
      <c r="H47" s="834"/>
    </row>
    <row r="48" spans="1:8">
      <c r="A48" s="834" t="s">
        <v>370</v>
      </c>
      <c r="B48" s="834"/>
      <c r="C48" s="834"/>
      <c r="D48" s="834"/>
      <c r="E48" s="834"/>
      <c r="F48" s="834"/>
      <c r="G48" s="834"/>
      <c r="H48" s="834"/>
    </row>
    <row r="49" spans="1:8">
      <c r="A49" s="834" t="s">
        <v>371</v>
      </c>
      <c r="B49" s="834"/>
      <c r="C49" s="834"/>
      <c r="D49" s="834"/>
      <c r="E49" s="834"/>
      <c r="F49" s="834"/>
      <c r="G49" s="834"/>
      <c r="H49" s="834"/>
    </row>
    <row r="50" spans="1:8">
      <c r="A50" s="834" t="s">
        <v>372</v>
      </c>
      <c r="B50" s="834"/>
      <c r="C50" s="834"/>
      <c r="D50" s="834"/>
      <c r="E50" s="834"/>
      <c r="F50" s="834"/>
      <c r="G50" s="834"/>
      <c r="H50" s="834"/>
    </row>
    <row r="51" spans="1:8">
      <c r="A51" s="834"/>
      <c r="B51" s="834"/>
      <c r="C51" s="834"/>
      <c r="D51" s="834"/>
      <c r="E51" s="834"/>
      <c r="F51" s="834"/>
      <c r="G51" s="834"/>
      <c r="H51" s="834"/>
    </row>
    <row r="52" spans="1:8">
      <c r="A52" s="834" t="s">
        <v>373</v>
      </c>
      <c r="B52" s="834"/>
      <c r="C52" s="834"/>
      <c r="D52" s="834"/>
      <c r="E52" s="834"/>
      <c r="F52" s="834"/>
      <c r="G52" s="834"/>
      <c r="H52" s="834"/>
    </row>
    <row r="53" spans="1:8">
      <c r="A53" s="834" t="s">
        <v>374</v>
      </c>
      <c r="B53" s="834"/>
      <c r="C53" s="834"/>
      <c r="D53" s="834"/>
      <c r="E53" s="834"/>
      <c r="F53" s="834"/>
      <c r="G53" s="834"/>
      <c r="H53" s="834"/>
    </row>
    <row r="54" spans="1:8">
      <c r="A54" s="834" t="s">
        <v>375</v>
      </c>
      <c r="B54" s="834"/>
      <c r="C54" s="834"/>
      <c r="D54" s="834"/>
      <c r="E54" s="834"/>
      <c r="F54" s="834"/>
      <c r="G54" s="834"/>
      <c r="H54" s="834"/>
    </row>
    <row r="55" spans="1:8">
      <c r="A55" s="834" t="s">
        <v>376</v>
      </c>
      <c r="B55" s="834"/>
      <c r="C55" s="834"/>
      <c r="D55" s="834"/>
      <c r="E55" s="834"/>
      <c r="F55" s="834"/>
      <c r="G55" s="834"/>
      <c r="H55" s="834"/>
    </row>
    <row r="56" spans="1:8">
      <c r="A56" s="834"/>
      <c r="B56" s="834"/>
      <c r="C56" s="834"/>
      <c r="D56" s="834"/>
      <c r="E56" s="834"/>
      <c r="F56" s="834"/>
      <c r="G56" s="834"/>
      <c r="H56" s="834"/>
    </row>
    <row r="57" spans="1:8">
      <c r="A57" s="834" t="s">
        <v>377</v>
      </c>
      <c r="B57" s="834"/>
      <c r="C57" s="834"/>
      <c r="D57" s="834"/>
      <c r="E57" s="834"/>
      <c r="F57" s="834"/>
      <c r="G57" s="834"/>
      <c r="H57" s="834"/>
    </row>
    <row r="58" spans="1:8">
      <c r="A58" s="834" t="s">
        <v>378</v>
      </c>
      <c r="B58" s="834"/>
      <c r="C58" s="834"/>
      <c r="D58" s="834"/>
      <c r="E58" s="834"/>
      <c r="F58" s="834"/>
      <c r="G58" s="834"/>
      <c r="H58" s="834"/>
    </row>
    <row r="59" spans="1:8">
      <c r="A59" s="834" t="s">
        <v>379</v>
      </c>
      <c r="B59" s="834"/>
      <c r="C59" s="834"/>
      <c r="D59" s="834"/>
      <c r="E59" s="834"/>
      <c r="F59" s="834"/>
      <c r="G59" s="834"/>
      <c r="H59" s="834"/>
    </row>
    <row r="60" spans="1:8">
      <c r="A60" s="834" t="s">
        <v>380</v>
      </c>
      <c r="B60" s="834"/>
      <c r="C60" s="834"/>
      <c r="D60" s="834"/>
      <c r="E60" s="834"/>
      <c r="F60" s="834"/>
      <c r="G60" s="834"/>
      <c r="H60" s="834"/>
    </row>
    <row r="61" spans="1:8">
      <c r="A61" s="834" t="s">
        <v>381</v>
      </c>
      <c r="B61" s="834"/>
      <c r="C61" s="834"/>
      <c r="D61" s="834"/>
      <c r="E61" s="834"/>
      <c r="F61" s="834"/>
      <c r="G61" s="834"/>
      <c r="H61" s="834"/>
    </row>
    <row r="62" spans="1:8">
      <c r="A62" s="834" t="s">
        <v>382</v>
      </c>
      <c r="B62" s="834"/>
      <c r="C62" s="834"/>
      <c r="D62" s="834"/>
      <c r="E62" s="834"/>
      <c r="F62" s="834"/>
      <c r="G62" s="834"/>
      <c r="H62" s="834"/>
    </row>
    <row r="63" spans="1:8">
      <c r="A63" s="834"/>
      <c r="B63" s="834"/>
      <c r="C63" s="834"/>
      <c r="D63" s="834"/>
      <c r="E63" s="834"/>
      <c r="F63" s="834"/>
      <c r="G63" s="834"/>
      <c r="H63" s="834"/>
    </row>
    <row r="64" spans="1:8" ht="15.6">
      <c r="A64" s="835" t="s">
        <v>169</v>
      </c>
      <c r="B64" s="834"/>
      <c r="C64" s="834"/>
      <c r="D64" s="834"/>
      <c r="E64" s="834"/>
      <c r="F64" s="834"/>
      <c r="G64" s="834"/>
      <c r="H64" s="834"/>
    </row>
    <row r="65" spans="1:8">
      <c r="A65" s="834"/>
      <c r="B65" s="834"/>
      <c r="C65" s="834"/>
      <c r="D65" s="834"/>
      <c r="E65" s="834"/>
      <c r="F65" s="834"/>
      <c r="G65" s="834"/>
      <c r="H65" s="834"/>
    </row>
    <row r="66" spans="1:8">
      <c r="A66" s="834" t="s">
        <v>383</v>
      </c>
      <c r="B66" s="834"/>
      <c r="C66" s="834"/>
      <c r="D66" s="834"/>
      <c r="E66" s="834"/>
      <c r="F66" s="834"/>
      <c r="G66" s="834"/>
      <c r="H66" s="834"/>
    </row>
    <row r="67" spans="1:8">
      <c r="A67" s="834" t="s">
        <v>384</v>
      </c>
      <c r="B67" s="834"/>
      <c r="C67" s="834"/>
      <c r="D67" s="834"/>
      <c r="E67" s="834"/>
      <c r="F67" s="834"/>
      <c r="G67" s="834"/>
      <c r="H67" s="834"/>
    </row>
    <row r="68" spans="1:8">
      <c r="A68" s="834" t="s">
        <v>385</v>
      </c>
      <c r="B68" s="834"/>
      <c r="C68" s="834"/>
      <c r="D68" s="834"/>
      <c r="E68" s="834"/>
      <c r="F68" s="834"/>
      <c r="G68" s="834"/>
      <c r="H68" s="834"/>
    </row>
    <row r="69" spans="1:8">
      <c r="A69" s="834" t="s">
        <v>386</v>
      </c>
      <c r="B69" s="834"/>
      <c r="C69" s="834"/>
      <c r="D69" s="834"/>
      <c r="E69" s="834"/>
      <c r="F69" s="834"/>
      <c r="G69" s="834"/>
      <c r="H69" s="834"/>
    </row>
    <row r="70" spans="1:8">
      <c r="A70" s="834"/>
      <c r="B70" s="834"/>
      <c r="C70" s="834"/>
      <c r="D70" s="834"/>
      <c r="E70" s="834"/>
      <c r="F70" s="834"/>
      <c r="G70" s="834"/>
      <c r="H70" s="834"/>
    </row>
    <row r="71" spans="1:8">
      <c r="A71" s="834" t="s">
        <v>78</v>
      </c>
      <c r="B71" s="834"/>
      <c r="C71" s="834"/>
      <c r="D71" s="834"/>
      <c r="E71" s="834"/>
      <c r="F71" s="834"/>
      <c r="G71" s="834"/>
      <c r="H71" s="834"/>
    </row>
    <row r="72" spans="1:8">
      <c r="A72" s="834"/>
      <c r="B72" s="834"/>
      <c r="C72" s="834"/>
      <c r="D72" s="834"/>
      <c r="E72" s="834"/>
      <c r="F72" s="834"/>
      <c r="G72" s="834"/>
      <c r="H72" s="834"/>
    </row>
    <row r="73" spans="1:8" ht="15.6">
      <c r="A73" s="835" t="s">
        <v>170</v>
      </c>
      <c r="B73" s="834"/>
      <c r="C73" s="834"/>
      <c r="D73" s="834"/>
      <c r="E73" s="834"/>
      <c r="F73" s="834"/>
      <c r="G73" s="834"/>
      <c r="H73" s="834"/>
    </row>
    <row r="74" spans="1:8">
      <c r="A74" s="834"/>
      <c r="B74" s="834"/>
      <c r="C74" s="834"/>
      <c r="D74" s="834"/>
      <c r="E74" s="834"/>
      <c r="F74" s="834"/>
      <c r="G74" s="834"/>
      <c r="H74" s="834"/>
    </row>
    <row r="75" spans="1:8">
      <c r="A75" s="834" t="s">
        <v>387</v>
      </c>
      <c r="B75" s="834"/>
      <c r="C75" s="834"/>
      <c r="D75" s="834"/>
      <c r="E75" s="834"/>
      <c r="F75" s="834"/>
      <c r="G75" s="834"/>
      <c r="H75" s="834"/>
    </row>
    <row r="76" spans="1:8">
      <c r="A76" s="834" t="s">
        <v>388</v>
      </c>
      <c r="B76" s="834"/>
      <c r="C76" s="834"/>
      <c r="D76" s="834"/>
      <c r="E76" s="834"/>
      <c r="F76" s="834"/>
      <c r="G76" s="834"/>
      <c r="H76" s="834"/>
    </row>
    <row r="77" spans="1:8">
      <c r="A77" s="834" t="s">
        <v>389</v>
      </c>
      <c r="B77" s="834"/>
      <c r="C77" s="834"/>
      <c r="D77" s="834"/>
      <c r="E77" s="834"/>
      <c r="F77" s="834"/>
      <c r="G77" s="834"/>
      <c r="H77" s="834"/>
    </row>
    <row r="78" spans="1:8">
      <c r="A78" s="834"/>
      <c r="B78" s="834"/>
      <c r="C78" s="834"/>
      <c r="D78" s="834"/>
      <c r="E78" s="834"/>
      <c r="F78" s="834"/>
      <c r="G78" s="834"/>
      <c r="H78" s="834"/>
    </row>
    <row r="79" spans="1:8" ht="15.6">
      <c r="A79" s="835" t="s">
        <v>390</v>
      </c>
      <c r="B79" s="834"/>
      <c r="C79" s="834"/>
      <c r="D79" s="834"/>
      <c r="E79" s="834"/>
      <c r="F79" s="834"/>
      <c r="G79" s="834"/>
      <c r="H79" s="834"/>
    </row>
    <row r="80" spans="1:8">
      <c r="A80" s="834"/>
      <c r="B80" s="834"/>
      <c r="C80" s="834"/>
      <c r="D80" s="834"/>
      <c r="E80" s="834"/>
      <c r="F80" s="834"/>
      <c r="G80" s="834"/>
      <c r="H80" s="834"/>
    </row>
    <row r="81" spans="1:8">
      <c r="A81" s="834" t="s">
        <v>391</v>
      </c>
      <c r="B81" s="834"/>
      <c r="C81" s="834"/>
      <c r="D81" s="834"/>
      <c r="E81" s="834"/>
      <c r="F81" s="834"/>
      <c r="G81" s="834"/>
      <c r="H81" s="834"/>
    </row>
    <row r="82" spans="1:8">
      <c r="A82" s="834" t="s">
        <v>392</v>
      </c>
      <c r="B82" s="834"/>
      <c r="C82" s="834"/>
      <c r="D82" s="834"/>
      <c r="E82" s="834"/>
      <c r="F82" s="834"/>
      <c r="G82" s="834"/>
      <c r="H82" s="834"/>
    </row>
    <row r="83" spans="1:8">
      <c r="A83" s="834"/>
      <c r="B83" s="834"/>
      <c r="C83" s="834"/>
      <c r="D83" s="834"/>
      <c r="E83" s="834"/>
      <c r="F83" s="834"/>
      <c r="G83" s="834"/>
      <c r="H83" s="834"/>
    </row>
    <row r="84" spans="1:8">
      <c r="A84" s="834" t="s">
        <v>393</v>
      </c>
      <c r="B84" s="834"/>
      <c r="C84" s="834"/>
      <c r="D84" s="834"/>
      <c r="E84" s="834"/>
      <c r="F84" s="834"/>
      <c r="G84" s="834"/>
      <c r="H84" s="834"/>
    </row>
    <row r="85" spans="1:8">
      <c r="A85" s="834" t="s">
        <v>394</v>
      </c>
      <c r="B85" s="834"/>
      <c r="C85" s="834"/>
      <c r="D85" s="834"/>
      <c r="E85" s="834"/>
      <c r="F85" s="834"/>
      <c r="G85" s="834"/>
      <c r="H85" s="834"/>
    </row>
    <row r="86" spans="1:8">
      <c r="A86" s="834"/>
      <c r="B86" s="834"/>
      <c r="C86" s="834"/>
      <c r="D86" s="834"/>
      <c r="E86" s="834"/>
      <c r="F86" s="834"/>
      <c r="G86" s="834"/>
      <c r="H86" s="834"/>
    </row>
    <row r="87" spans="1:8">
      <c r="A87" s="834" t="s">
        <v>395</v>
      </c>
      <c r="B87" s="834"/>
      <c r="C87" s="834"/>
      <c r="D87" s="834"/>
      <c r="E87" s="834"/>
      <c r="F87" s="834"/>
      <c r="G87" s="834"/>
      <c r="H87" s="834"/>
    </row>
    <row r="88" spans="1:8">
      <c r="A88" s="834" t="s">
        <v>396</v>
      </c>
      <c r="B88" s="834"/>
      <c r="C88" s="834"/>
      <c r="D88" s="834"/>
      <c r="E88" s="834"/>
      <c r="F88" s="834"/>
      <c r="G88" s="834"/>
      <c r="H88" s="834"/>
    </row>
    <row r="89" spans="1:8">
      <c r="A89" s="834"/>
      <c r="B89" s="834"/>
      <c r="C89" s="834"/>
      <c r="D89" s="834"/>
      <c r="E89" s="834"/>
      <c r="F89" s="834"/>
      <c r="G89" s="834"/>
      <c r="H89" s="834"/>
    </row>
    <row r="90" spans="1:8">
      <c r="A90" s="834" t="s">
        <v>397</v>
      </c>
      <c r="B90" s="834"/>
      <c r="C90" s="834"/>
      <c r="D90" s="834"/>
      <c r="E90" s="834"/>
      <c r="F90" s="834"/>
      <c r="G90" s="834"/>
      <c r="H90" s="834"/>
    </row>
    <row r="91" spans="1:8">
      <c r="A91" s="834" t="s">
        <v>398</v>
      </c>
      <c r="B91" s="834"/>
      <c r="C91" s="834"/>
      <c r="D91" s="834"/>
      <c r="E91" s="834"/>
      <c r="F91" s="834"/>
      <c r="G91" s="834"/>
      <c r="H91" s="834"/>
    </row>
    <row r="92" spans="1:8">
      <c r="A92" s="834" t="s">
        <v>399</v>
      </c>
      <c r="B92" s="834"/>
      <c r="C92" s="834"/>
      <c r="D92" s="834"/>
      <c r="E92" s="834"/>
      <c r="F92" s="834"/>
      <c r="G92" s="834"/>
      <c r="H92" s="834"/>
    </row>
    <row r="93" spans="1:8">
      <c r="A93" s="834" t="s">
        <v>400</v>
      </c>
      <c r="B93" s="834"/>
      <c r="C93" s="834"/>
      <c r="D93" s="834"/>
      <c r="E93" s="834"/>
      <c r="F93" s="834"/>
      <c r="G93" s="834"/>
      <c r="H93" s="834"/>
    </row>
    <row r="94" spans="1:8">
      <c r="A94" s="834" t="s">
        <v>401</v>
      </c>
      <c r="B94" s="834"/>
      <c r="C94" s="834"/>
      <c r="D94" s="834"/>
      <c r="E94" s="834"/>
      <c r="F94" s="834"/>
      <c r="G94" s="834"/>
      <c r="H94" s="834"/>
    </row>
    <row r="95" spans="1:8">
      <c r="A95" s="834" t="s">
        <v>402</v>
      </c>
      <c r="B95" s="834"/>
      <c r="C95" s="834"/>
      <c r="D95" s="834"/>
      <c r="E95" s="834"/>
      <c r="F95" s="834"/>
      <c r="G95" s="834"/>
      <c r="H95" s="834"/>
    </row>
    <row r="96" spans="1:8">
      <c r="A96" s="834"/>
      <c r="B96" s="834"/>
      <c r="C96" s="834"/>
      <c r="D96" s="834"/>
      <c r="E96" s="834"/>
      <c r="F96" s="834"/>
      <c r="G96" s="834"/>
      <c r="H96" s="834"/>
    </row>
    <row r="97" spans="1:8">
      <c r="A97" s="834" t="s">
        <v>403</v>
      </c>
      <c r="B97" s="834"/>
      <c r="C97" s="834"/>
      <c r="D97" s="834"/>
      <c r="E97" s="834"/>
      <c r="F97" s="834"/>
      <c r="G97" s="834"/>
      <c r="H97" s="834"/>
    </row>
    <row r="98" spans="1:8">
      <c r="A98" s="834" t="s">
        <v>404</v>
      </c>
      <c r="B98" s="834"/>
      <c r="C98" s="834"/>
      <c r="D98" s="834"/>
      <c r="E98" s="834"/>
      <c r="F98" s="834"/>
      <c r="G98" s="834"/>
      <c r="H98" s="834"/>
    </row>
    <row r="99" spans="1:8">
      <c r="A99" s="834" t="s">
        <v>405</v>
      </c>
      <c r="B99" s="834"/>
      <c r="C99" s="834"/>
      <c r="D99" s="834"/>
      <c r="E99" s="834"/>
      <c r="F99" s="834"/>
      <c r="G99" s="834"/>
      <c r="H99" s="834"/>
    </row>
    <row r="100" spans="1:8">
      <c r="A100" s="834" t="s">
        <v>406</v>
      </c>
      <c r="B100" s="834"/>
      <c r="C100" s="834"/>
      <c r="D100" s="834"/>
      <c r="E100" s="834"/>
      <c r="F100" s="834"/>
      <c r="G100" s="834"/>
      <c r="H100" s="834"/>
    </row>
    <row r="101" spans="1:8">
      <c r="A101" s="834" t="s">
        <v>407</v>
      </c>
      <c r="B101" s="834"/>
      <c r="C101" s="834"/>
      <c r="D101" s="834"/>
      <c r="E101" s="834"/>
      <c r="F101" s="834"/>
      <c r="G101" s="834"/>
      <c r="H101" s="834"/>
    </row>
    <row r="102" spans="1:8">
      <c r="A102" s="834" t="s">
        <v>408</v>
      </c>
      <c r="B102" s="834"/>
      <c r="C102" s="834"/>
      <c r="D102" s="834"/>
      <c r="E102" s="834"/>
      <c r="F102" s="834"/>
      <c r="G102" s="834"/>
      <c r="H102" s="834"/>
    </row>
    <row r="103" spans="1:8">
      <c r="A103" s="834" t="s">
        <v>409</v>
      </c>
      <c r="B103" s="834"/>
      <c r="C103" s="834"/>
      <c r="D103" s="834"/>
      <c r="E103" s="834"/>
      <c r="F103" s="834"/>
      <c r="G103" s="834"/>
      <c r="H103" s="834"/>
    </row>
    <row r="104" spans="1:8">
      <c r="A104" s="834"/>
      <c r="B104" s="834"/>
      <c r="C104" s="834"/>
      <c r="D104" s="834"/>
      <c r="E104" s="834"/>
      <c r="F104" s="834"/>
      <c r="G104" s="834"/>
      <c r="H104" s="834"/>
    </row>
    <row r="105" spans="1:8">
      <c r="A105" s="834" t="s">
        <v>410</v>
      </c>
      <c r="B105" s="834"/>
      <c r="C105" s="834"/>
      <c r="D105" s="834"/>
      <c r="E105" s="834"/>
      <c r="F105" s="834"/>
      <c r="G105" s="834"/>
      <c r="H105" s="834"/>
    </row>
    <row r="106" spans="1:8">
      <c r="A106" s="834" t="s">
        <v>411</v>
      </c>
      <c r="B106" s="834"/>
      <c r="C106" s="834"/>
      <c r="D106" s="834"/>
      <c r="E106" s="834"/>
      <c r="F106" s="834"/>
      <c r="G106" s="834"/>
      <c r="H106" s="834"/>
    </row>
    <row r="107" spans="1:8">
      <c r="A107" s="834"/>
      <c r="B107" s="834"/>
      <c r="C107" s="834"/>
      <c r="D107" s="834"/>
      <c r="E107" s="834"/>
      <c r="F107" s="834"/>
      <c r="G107" s="834"/>
      <c r="H107" s="834"/>
    </row>
    <row r="108" spans="1:8" ht="15.6">
      <c r="A108" s="835" t="s">
        <v>171</v>
      </c>
      <c r="B108" s="834"/>
      <c r="C108" s="834"/>
      <c r="D108" s="834"/>
      <c r="E108" s="834"/>
      <c r="F108" s="834"/>
      <c r="G108" s="834"/>
      <c r="H108" s="834"/>
    </row>
    <row r="109" spans="1:8">
      <c r="A109" s="834"/>
      <c r="B109" s="834"/>
      <c r="C109" s="834"/>
      <c r="D109" s="834"/>
      <c r="E109" s="834"/>
      <c r="F109" s="834"/>
      <c r="G109" s="834"/>
      <c r="H109" s="834"/>
    </row>
    <row r="110" spans="1:8">
      <c r="A110" s="834" t="s">
        <v>412</v>
      </c>
      <c r="B110" s="834"/>
      <c r="C110" s="834"/>
      <c r="D110" s="834"/>
      <c r="E110" s="834"/>
      <c r="F110" s="834"/>
      <c r="G110" s="834"/>
      <c r="H110" s="834"/>
    </row>
    <row r="111" spans="1:8">
      <c r="A111" s="834" t="s">
        <v>413</v>
      </c>
      <c r="B111" s="834"/>
      <c r="C111" s="834"/>
      <c r="D111" s="834"/>
      <c r="E111" s="834"/>
      <c r="F111" s="834"/>
      <c r="G111" s="834"/>
      <c r="H111" s="834"/>
    </row>
    <row r="112" spans="1:8">
      <c r="A112" s="834" t="s">
        <v>414</v>
      </c>
      <c r="B112" s="834"/>
      <c r="C112" s="834"/>
      <c r="D112" s="834"/>
      <c r="E112" s="834"/>
      <c r="F112" s="834"/>
      <c r="G112" s="834"/>
      <c r="H112" s="834"/>
    </row>
    <row r="113" spans="1:8">
      <c r="A113" s="834" t="s">
        <v>415</v>
      </c>
      <c r="B113" s="834"/>
      <c r="C113" s="834"/>
      <c r="D113" s="834"/>
      <c r="E113" s="834"/>
      <c r="F113" s="834"/>
      <c r="G113" s="834"/>
      <c r="H113" s="834"/>
    </row>
    <row r="114" spans="1:8">
      <c r="A114" s="834" t="s">
        <v>416</v>
      </c>
      <c r="B114" s="834"/>
      <c r="C114" s="834"/>
      <c r="D114" s="834"/>
      <c r="E114" s="834"/>
      <c r="F114" s="834"/>
      <c r="G114" s="834"/>
      <c r="H114" s="834"/>
    </row>
    <row r="115" spans="1:8">
      <c r="A115" s="834" t="s">
        <v>417</v>
      </c>
      <c r="B115" s="834"/>
      <c r="C115" s="834"/>
      <c r="D115" s="834"/>
      <c r="E115" s="834"/>
      <c r="F115" s="834"/>
      <c r="G115" s="834"/>
      <c r="H115" s="834"/>
    </row>
    <row r="116" spans="1:8">
      <c r="A116" s="834" t="s">
        <v>418</v>
      </c>
      <c r="B116" s="834"/>
      <c r="C116" s="834"/>
      <c r="D116" s="834"/>
      <c r="E116" s="834"/>
      <c r="F116" s="834"/>
      <c r="G116" s="834"/>
      <c r="H116" s="834"/>
    </row>
    <row r="117" spans="1:8">
      <c r="A117" s="834" t="s">
        <v>419</v>
      </c>
      <c r="B117" s="834"/>
      <c r="C117" s="834"/>
      <c r="D117" s="834"/>
      <c r="E117" s="834"/>
      <c r="F117" s="834"/>
      <c r="G117" s="834"/>
      <c r="H117" s="834"/>
    </row>
    <row r="118" spans="1:8">
      <c r="A118" s="834" t="s">
        <v>420</v>
      </c>
      <c r="B118" s="834"/>
      <c r="C118" s="834"/>
      <c r="D118" s="834"/>
      <c r="E118" s="834"/>
      <c r="F118" s="834"/>
      <c r="G118" s="834"/>
      <c r="H118" s="834"/>
    </row>
    <row r="119" spans="1:8">
      <c r="A119" s="834"/>
      <c r="B119" s="834"/>
      <c r="C119" s="834"/>
      <c r="D119" s="834"/>
      <c r="E119" s="834"/>
      <c r="F119" s="834"/>
      <c r="G119" s="834"/>
      <c r="H119" s="834"/>
    </row>
    <row r="120" spans="1:8" ht="15.6">
      <c r="A120" s="835" t="s">
        <v>172</v>
      </c>
      <c r="B120" s="834"/>
      <c r="C120" s="834"/>
      <c r="D120" s="834"/>
      <c r="E120" s="834"/>
      <c r="F120" s="834"/>
      <c r="G120" s="834"/>
      <c r="H120" s="834"/>
    </row>
    <row r="121" spans="1:8">
      <c r="A121" s="834"/>
      <c r="B121" s="834"/>
      <c r="C121" s="834"/>
      <c r="D121" s="834"/>
      <c r="E121" s="834"/>
      <c r="F121" s="834"/>
      <c r="G121" s="834"/>
      <c r="H121" s="834"/>
    </row>
    <row r="122" spans="1:8">
      <c r="A122" s="834" t="s">
        <v>421</v>
      </c>
      <c r="B122" s="834"/>
      <c r="C122" s="834"/>
      <c r="D122" s="834"/>
      <c r="E122" s="834"/>
      <c r="F122" s="834"/>
      <c r="G122" s="834"/>
      <c r="H122" s="834"/>
    </row>
    <row r="123" spans="1:8">
      <c r="A123" s="834"/>
      <c r="B123" s="834"/>
      <c r="C123" s="834"/>
      <c r="D123" s="834"/>
      <c r="E123" s="834"/>
      <c r="F123" s="834"/>
      <c r="G123" s="834"/>
      <c r="H123" s="834"/>
    </row>
    <row r="124" spans="1:8">
      <c r="A124" s="834" t="s">
        <v>422</v>
      </c>
      <c r="B124" s="834"/>
      <c r="C124" s="834"/>
      <c r="D124" s="834"/>
      <c r="E124" s="834"/>
      <c r="F124" s="834"/>
      <c r="G124" s="834"/>
      <c r="H124" s="834"/>
    </row>
    <row r="125" spans="1:8">
      <c r="A125" s="834" t="s">
        <v>423</v>
      </c>
      <c r="B125" s="834"/>
      <c r="C125" s="834"/>
      <c r="D125" s="834"/>
      <c r="E125" s="834"/>
      <c r="F125" s="834"/>
      <c r="G125" s="834"/>
      <c r="H125" s="834"/>
    </row>
    <row r="126" spans="1:8">
      <c r="A126" s="834"/>
      <c r="B126" s="834"/>
      <c r="C126" s="834"/>
      <c r="D126" s="834"/>
      <c r="E126" s="834"/>
      <c r="F126" s="834"/>
      <c r="G126" s="834"/>
      <c r="H126" s="834"/>
    </row>
    <row r="127" spans="1:8">
      <c r="A127" s="834" t="s">
        <v>424</v>
      </c>
      <c r="B127" s="834"/>
      <c r="C127" s="834"/>
      <c r="D127" s="834"/>
      <c r="E127" s="834"/>
      <c r="F127" s="834"/>
      <c r="G127" s="834"/>
      <c r="H127" s="834"/>
    </row>
    <row r="128" spans="1:8">
      <c r="A128" s="834" t="s">
        <v>425</v>
      </c>
      <c r="B128" s="834"/>
      <c r="C128" s="834"/>
      <c r="D128" s="834"/>
      <c r="E128" s="834"/>
      <c r="F128" s="834"/>
      <c r="G128" s="834"/>
      <c r="H128" s="834"/>
    </row>
    <row r="129" spans="1:8">
      <c r="A129" s="834" t="s">
        <v>426</v>
      </c>
      <c r="B129" s="834"/>
      <c r="C129" s="834"/>
      <c r="D129" s="834"/>
      <c r="E129" s="834"/>
      <c r="F129" s="834"/>
      <c r="G129" s="834"/>
      <c r="H129" s="834"/>
    </row>
    <row r="130" spans="1:8">
      <c r="A130" s="834" t="s">
        <v>427</v>
      </c>
      <c r="B130" s="834"/>
      <c r="C130" s="834"/>
      <c r="D130" s="834"/>
      <c r="E130" s="834"/>
      <c r="F130" s="834"/>
      <c r="G130" s="834"/>
      <c r="H130" s="834"/>
    </row>
    <row r="131" spans="1:8">
      <c r="A131" s="834" t="s">
        <v>428</v>
      </c>
      <c r="B131" s="834"/>
      <c r="C131" s="834"/>
      <c r="D131" s="834"/>
      <c r="E131" s="834"/>
      <c r="F131" s="834"/>
      <c r="G131" s="834"/>
      <c r="H131" s="834"/>
    </row>
    <row r="132" spans="1:8">
      <c r="A132" s="834" t="s">
        <v>429</v>
      </c>
      <c r="B132" s="834"/>
      <c r="C132" s="834"/>
      <c r="D132" s="834"/>
      <c r="E132" s="834"/>
      <c r="F132" s="834"/>
      <c r="G132" s="834"/>
      <c r="H132" s="834"/>
    </row>
    <row r="133" spans="1:8">
      <c r="A133" s="834" t="s">
        <v>430</v>
      </c>
      <c r="B133" s="834"/>
      <c r="C133" s="834"/>
      <c r="D133" s="834"/>
      <c r="E133" s="834"/>
      <c r="F133" s="834"/>
      <c r="G133" s="834"/>
      <c r="H133" s="834"/>
    </row>
    <row r="134" spans="1:8">
      <c r="A134" s="834"/>
      <c r="B134" s="834"/>
      <c r="C134" s="834"/>
      <c r="D134" s="834"/>
      <c r="E134" s="834"/>
      <c r="F134" s="834"/>
      <c r="G134" s="834"/>
      <c r="H134" s="834"/>
    </row>
    <row r="135" spans="1:8">
      <c r="A135" s="836"/>
      <c r="B135" s="837" t="s">
        <v>173</v>
      </c>
      <c r="C135" s="837"/>
      <c r="D135" s="837" t="s">
        <v>174</v>
      </c>
      <c r="E135" s="837"/>
      <c r="F135" s="837"/>
      <c r="G135" s="837" t="s">
        <v>175</v>
      </c>
      <c r="H135" s="837"/>
    </row>
    <row r="136" spans="1:8">
      <c r="A136" s="836" t="s">
        <v>176</v>
      </c>
      <c r="B136" s="836" t="s">
        <v>1</v>
      </c>
      <c r="C136" s="836" t="s">
        <v>177</v>
      </c>
      <c r="D136" s="836" t="s">
        <v>1</v>
      </c>
      <c r="E136" s="836" t="s">
        <v>178</v>
      </c>
      <c r="F136" s="836" t="s">
        <v>179</v>
      </c>
      <c r="G136" s="836" t="s">
        <v>1</v>
      </c>
      <c r="H136" s="836" t="s">
        <v>180</v>
      </c>
    </row>
    <row r="137" spans="1:8">
      <c r="A137" s="836" t="s">
        <v>181</v>
      </c>
      <c r="B137" s="836">
        <v>1519</v>
      </c>
      <c r="C137" s="836">
        <v>0.41</v>
      </c>
      <c r="D137" s="836">
        <v>415</v>
      </c>
      <c r="E137" s="836">
        <v>0.48</v>
      </c>
      <c r="F137" s="836">
        <v>0.27</v>
      </c>
      <c r="G137" s="836">
        <v>674</v>
      </c>
      <c r="H137" s="836">
        <v>0.42</v>
      </c>
    </row>
    <row r="138" spans="1:8">
      <c r="A138" s="836" t="s">
        <v>182</v>
      </c>
      <c r="B138" s="836">
        <v>1583</v>
      </c>
      <c r="C138" s="836">
        <v>0.43</v>
      </c>
      <c r="D138" s="836">
        <v>362</v>
      </c>
      <c r="E138" s="836">
        <v>0.42</v>
      </c>
      <c r="F138" s="836">
        <v>0.23</v>
      </c>
      <c r="G138" s="836">
        <v>720</v>
      </c>
      <c r="H138" s="836">
        <v>0.45</v>
      </c>
    </row>
    <row r="139" spans="1:8">
      <c r="A139" s="836" t="s">
        <v>183</v>
      </c>
      <c r="B139" s="836">
        <v>4</v>
      </c>
      <c r="C139" s="836">
        <v>0</v>
      </c>
      <c r="D139" s="836">
        <v>1</v>
      </c>
      <c r="E139" s="836">
        <v>0</v>
      </c>
      <c r="F139" s="836">
        <v>0.25</v>
      </c>
      <c r="G139" s="836">
        <v>1</v>
      </c>
      <c r="H139" s="836">
        <v>0</v>
      </c>
    </row>
    <row r="140" spans="1:8">
      <c r="A140" s="836" t="s">
        <v>184</v>
      </c>
      <c r="B140" s="836">
        <v>564</v>
      </c>
      <c r="C140" s="836">
        <v>0.15</v>
      </c>
      <c r="D140" s="836">
        <v>87</v>
      </c>
      <c r="E140" s="836">
        <v>0.1</v>
      </c>
      <c r="F140" s="836">
        <v>0.15</v>
      </c>
      <c r="G140" s="836">
        <v>216</v>
      </c>
      <c r="H140" s="836">
        <v>0.13</v>
      </c>
    </row>
    <row r="141" spans="1:8">
      <c r="A141" s="836" t="s">
        <v>71</v>
      </c>
      <c r="B141" s="836">
        <v>3670</v>
      </c>
      <c r="C141" s="836"/>
      <c r="D141" s="836">
        <v>865</v>
      </c>
      <c r="E141" s="836"/>
      <c r="F141" s="836"/>
      <c r="G141" s="836">
        <v>1611</v>
      </c>
      <c r="H141" s="836"/>
    </row>
    <row r="142" spans="1:8">
      <c r="A142" s="834"/>
      <c r="B142" s="834"/>
      <c r="C142" s="834"/>
      <c r="D142" s="834"/>
      <c r="E142" s="834"/>
      <c r="F142" s="834"/>
      <c r="G142" s="834"/>
      <c r="H142" s="834"/>
    </row>
    <row r="143" spans="1:8">
      <c r="A143" s="834" t="s">
        <v>431</v>
      </c>
      <c r="B143" s="834"/>
      <c r="C143" s="834"/>
      <c r="D143" s="834"/>
      <c r="E143" s="834"/>
      <c r="F143" s="834"/>
      <c r="G143" s="834"/>
      <c r="H143" s="834"/>
    </row>
    <row r="144" spans="1:8">
      <c r="A144" s="834" t="s">
        <v>432</v>
      </c>
      <c r="B144" s="834"/>
      <c r="C144" s="834"/>
      <c r="D144" s="834"/>
      <c r="E144" s="834"/>
      <c r="F144" s="834"/>
      <c r="G144" s="834"/>
      <c r="H144" s="834"/>
    </row>
    <row r="145" spans="1:8">
      <c r="A145" s="834" t="s">
        <v>433</v>
      </c>
      <c r="B145" s="834"/>
      <c r="C145" s="834"/>
      <c r="D145" s="834"/>
      <c r="E145" s="834"/>
      <c r="F145" s="834"/>
      <c r="G145" s="834"/>
      <c r="H145" s="834"/>
    </row>
    <row r="146" spans="1:8">
      <c r="A146" s="834" t="s">
        <v>434</v>
      </c>
      <c r="B146" s="834"/>
      <c r="C146" s="834"/>
      <c r="D146" s="834"/>
      <c r="E146" s="834"/>
      <c r="F146" s="834"/>
      <c r="G146" s="834"/>
      <c r="H146" s="834"/>
    </row>
    <row r="147" spans="1:8">
      <c r="A147" s="834"/>
      <c r="B147" s="834"/>
      <c r="C147" s="834"/>
      <c r="D147" s="834"/>
      <c r="E147" s="834"/>
      <c r="F147" s="834"/>
      <c r="G147" s="834"/>
      <c r="H147" s="834"/>
    </row>
    <row r="148" spans="1:8" ht="15.6">
      <c r="A148" s="835" t="s">
        <v>185</v>
      </c>
      <c r="B148" s="834"/>
      <c r="C148" s="834"/>
      <c r="D148" s="834"/>
      <c r="E148" s="834"/>
      <c r="F148" s="834"/>
      <c r="G148" s="834"/>
      <c r="H148" s="834"/>
    </row>
    <row r="149" spans="1:8">
      <c r="A149" s="834"/>
      <c r="B149" s="834"/>
      <c r="C149" s="834"/>
      <c r="D149" s="834"/>
      <c r="E149" s="834"/>
      <c r="F149" s="834"/>
      <c r="G149" s="834"/>
      <c r="H149" s="834"/>
    </row>
    <row r="150" spans="1:8">
      <c r="A150" s="834" t="s">
        <v>435</v>
      </c>
      <c r="B150" s="834"/>
      <c r="C150" s="834"/>
      <c r="D150" s="834"/>
      <c r="E150" s="834"/>
      <c r="F150" s="834"/>
      <c r="G150" s="834"/>
      <c r="H150" s="834"/>
    </row>
    <row r="151" spans="1:8">
      <c r="A151" s="834" t="s">
        <v>436</v>
      </c>
      <c r="B151" s="834"/>
      <c r="C151" s="834"/>
      <c r="D151" s="834"/>
      <c r="E151" s="834"/>
      <c r="F151" s="834"/>
      <c r="G151" s="834"/>
      <c r="H151" s="834"/>
    </row>
    <row r="152" spans="1:8">
      <c r="A152" s="834"/>
      <c r="B152" s="834"/>
      <c r="C152" s="834"/>
      <c r="D152" s="834"/>
      <c r="E152" s="834"/>
      <c r="F152" s="834"/>
      <c r="G152" s="834"/>
      <c r="H152" s="834"/>
    </row>
    <row r="153" spans="1:8">
      <c r="A153" s="834" t="s">
        <v>437</v>
      </c>
      <c r="B153" s="834"/>
      <c r="C153" s="834"/>
      <c r="D153" s="834"/>
      <c r="E153" s="834"/>
      <c r="F153" s="834"/>
      <c r="G153" s="834"/>
      <c r="H153" s="834"/>
    </row>
    <row r="154" spans="1:8">
      <c r="A154" s="834" t="s">
        <v>438</v>
      </c>
      <c r="B154" s="834"/>
      <c r="C154" s="834"/>
      <c r="D154" s="834"/>
      <c r="E154" s="834"/>
      <c r="F154" s="834"/>
      <c r="G154" s="834"/>
      <c r="H154" s="834"/>
    </row>
    <row r="155" spans="1:8">
      <c r="A155" s="834" t="s">
        <v>439</v>
      </c>
      <c r="B155" s="834"/>
      <c r="C155" s="834"/>
      <c r="D155" s="834"/>
      <c r="E155" s="834"/>
      <c r="F155" s="834"/>
      <c r="G155" s="834"/>
      <c r="H155" s="834"/>
    </row>
    <row r="156" spans="1:8">
      <c r="A156" s="834"/>
      <c r="B156" s="834"/>
      <c r="C156" s="834"/>
      <c r="D156" s="834"/>
      <c r="E156" s="834"/>
      <c r="F156" s="834"/>
      <c r="G156" s="834"/>
      <c r="H156" s="834"/>
    </row>
    <row r="157" spans="1:8">
      <c r="A157" s="834" t="s">
        <v>440</v>
      </c>
      <c r="B157" s="834"/>
      <c r="C157" s="834"/>
      <c r="D157" s="834"/>
      <c r="E157" s="834"/>
      <c r="F157" s="834"/>
      <c r="G157" s="834"/>
      <c r="H157" s="834"/>
    </row>
    <row r="158" spans="1:8">
      <c r="A158" s="834" t="s">
        <v>441</v>
      </c>
      <c r="B158" s="834"/>
      <c r="C158" s="834"/>
      <c r="D158" s="834"/>
      <c r="E158" s="834"/>
      <c r="F158" s="834"/>
      <c r="G158" s="834"/>
      <c r="H158" s="834"/>
    </row>
    <row r="159" spans="1:8">
      <c r="A159" s="834" t="s">
        <v>442</v>
      </c>
      <c r="B159" s="834"/>
      <c r="C159" s="834"/>
      <c r="D159" s="834"/>
      <c r="E159" s="834"/>
      <c r="F159" s="834"/>
      <c r="G159" s="834"/>
      <c r="H159" s="834"/>
    </row>
    <row r="160" spans="1:8">
      <c r="A160" s="834"/>
      <c r="B160" s="834"/>
      <c r="C160" s="834"/>
      <c r="D160" s="834"/>
      <c r="E160" s="834"/>
      <c r="F160" s="834"/>
      <c r="G160" s="834"/>
      <c r="H160" s="834"/>
    </row>
    <row r="161" spans="1:8">
      <c r="A161" s="834" t="s">
        <v>443</v>
      </c>
      <c r="B161" s="834"/>
      <c r="C161" s="834"/>
      <c r="D161" s="834"/>
      <c r="E161" s="834"/>
      <c r="F161" s="834"/>
      <c r="G161" s="834"/>
      <c r="H161" s="834"/>
    </row>
    <row r="162" spans="1:8">
      <c r="A162" s="834" t="s">
        <v>444</v>
      </c>
      <c r="B162" s="834"/>
      <c r="C162" s="834"/>
      <c r="D162" s="834"/>
      <c r="E162" s="834"/>
      <c r="F162" s="834"/>
      <c r="G162" s="834"/>
      <c r="H162" s="834"/>
    </row>
    <row r="163" spans="1:8">
      <c r="A163" s="834" t="s">
        <v>445</v>
      </c>
      <c r="B163" s="834"/>
      <c r="C163" s="834"/>
      <c r="D163" s="834"/>
      <c r="E163" s="834"/>
      <c r="F163" s="834"/>
      <c r="G163" s="834"/>
      <c r="H163" s="834"/>
    </row>
    <row r="164" spans="1:8">
      <c r="A164" s="834"/>
      <c r="B164" s="834"/>
      <c r="C164" s="834"/>
      <c r="D164" s="834"/>
      <c r="E164" s="834"/>
      <c r="F164" s="834"/>
      <c r="G164" s="834"/>
      <c r="H164" s="834"/>
    </row>
    <row r="165" spans="1:8">
      <c r="A165" s="834" t="s">
        <v>446</v>
      </c>
      <c r="B165" s="834"/>
      <c r="C165" s="834"/>
      <c r="D165" s="834"/>
      <c r="E165" s="834"/>
      <c r="F165" s="834"/>
      <c r="G165" s="834"/>
      <c r="H165" s="834"/>
    </row>
    <row r="166" spans="1:8">
      <c r="A166" s="834" t="s">
        <v>447</v>
      </c>
      <c r="B166" s="834"/>
      <c r="C166" s="834"/>
      <c r="D166" s="834"/>
      <c r="E166" s="834"/>
      <c r="F166" s="834"/>
      <c r="G166" s="834"/>
      <c r="H166" s="834"/>
    </row>
    <row r="167" spans="1:8">
      <c r="A167" s="834"/>
      <c r="B167" s="834"/>
      <c r="C167" s="834"/>
      <c r="D167" s="834"/>
      <c r="E167" s="834"/>
      <c r="F167" s="834"/>
      <c r="G167" s="834"/>
      <c r="H167" s="834"/>
    </row>
    <row r="168" spans="1:8" ht="15.6">
      <c r="A168" s="835" t="s">
        <v>186</v>
      </c>
      <c r="B168" s="834"/>
      <c r="C168" s="834"/>
      <c r="D168" s="834"/>
      <c r="E168" s="834"/>
      <c r="F168" s="834"/>
      <c r="G168" s="834"/>
      <c r="H168" s="834"/>
    </row>
    <row r="169" spans="1:8">
      <c r="A169" s="834"/>
      <c r="B169" s="834"/>
      <c r="C169" s="834"/>
      <c r="D169" s="834"/>
      <c r="E169" s="834"/>
      <c r="F169" s="834"/>
      <c r="G169" s="834"/>
      <c r="H169" s="834"/>
    </row>
    <row r="170" spans="1:8">
      <c r="A170" s="834" t="s">
        <v>448</v>
      </c>
      <c r="B170" s="834"/>
      <c r="C170" s="834"/>
      <c r="D170" s="834"/>
      <c r="E170" s="834"/>
      <c r="F170" s="834"/>
      <c r="G170" s="834"/>
      <c r="H170" s="834"/>
    </row>
    <row r="171" spans="1:8">
      <c r="A171" s="834" t="s">
        <v>449</v>
      </c>
      <c r="B171" s="834"/>
      <c r="C171" s="834"/>
      <c r="D171" s="834"/>
      <c r="E171" s="834"/>
      <c r="F171" s="834"/>
      <c r="G171" s="834"/>
      <c r="H171" s="834"/>
    </row>
    <row r="172" spans="1:8">
      <c r="A172" s="834"/>
      <c r="B172" s="834"/>
      <c r="C172" s="834"/>
      <c r="D172" s="834"/>
      <c r="E172" s="834"/>
      <c r="F172" s="834"/>
      <c r="G172" s="834"/>
      <c r="H172" s="834"/>
    </row>
    <row r="173" spans="1:8">
      <c r="A173" s="834" t="s">
        <v>450</v>
      </c>
      <c r="B173" s="834"/>
      <c r="C173" s="834"/>
      <c r="D173" s="834"/>
      <c r="E173" s="834"/>
      <c r="F173" s="834"/>
      <c r="G173" s="834"/>
      <c r="H173" s="834"/>
    </row>
    <row r="174" spans="1:8">
      <c r="A174" s="834" t="s">
        <v>451</v>
      </c>
      <c r="B174" s="834"/>
      <c r="C174" s="834"/>
      <c r="D174" s="834"/>
      <c r="E174" s="834"/>
      <c r="F174" s="834"/>
      <c r="G174" s="834"/>
      <c r="H174" s="834"/>
    </row>
    <row r="175" spans="1:8">
      <c r="A175" s="834"/>
      <c r="B175" s="834"/>
      <c r="C175" s="834"/>
      <c r="D175" s="834"/>
      <c r="E175" s="834"/>
      <c r="F175" s="834"/>
      <c r="G175" s="834"/>
      <c r="H175" s="834"/>
    </row>
    <row r="176" spans="1:8">
      <c r="A176" s="834" t="s">
        <v>452</v>
      </c>
      <c r="B176" s="834"/>
      <c r="C176" s="834"/>
      <c r="D176" s="834"/>
      <c r="E176" s="834"/>
      <c r="F176" s="834"/>
      <c r="G176" s="834"/>
      <c r="H176" s="834"/>
    </row>
    <row r="177" spans="1:8">
      <c r="A177" s="834" t="s">
        <v>453</v>
      </c>
      <c r="B177" s="834"/>
      <c r="C177" s="834"/>
      <c r="D177" s="834"/>
      <c r="E177" s="834"/>
      <c r="F177" s="834"/>
      <c r="G177" s="834"/>
      <c r="H177" s="834"/>
    </row>
    <row r="178" spans="1:8">
      <c r="A178" s="834"/>
      <c r="B178" s="834"/>
      <c r="C178" s="834"/>
      <c r="D178" s="834"/>
      <c r="E178" s="834"/>
      <c r="F178" s="834"/>
      <c r="G178" s="834"/>
      <c r="H178" s="834"/>
    </row>
    <row r="179" spans="1:8">
      <c r="A179" s="834" t="s">
        <v>454</v>
      </c>
      <c r="B179" s="834"/>
      <c r="C179" s="834"/>
      <c r="D179" s="834"/>
      <c r="E179" s="834"/>
      <c r="F179" s="834"/>
      <c r="G179" s="834"/>
      <c r="H179" s="834"/>
    </row>
    <row r="180" spans="1:8">
      <c r="A180" s="834" t="s">
        <v>455</v>
      </c>
      <c r="B180" s="834"/>
      <c r="C180" s="834"/>
      <c r="D180" s="834"/>
      <c r="E180" s="834"/>
      <c r="F180" s="834"/>
      <c r="G180" s="834"/>
      <c r="H180" s="834"/>
    </row>
    <row r="181" spans="1:8">
      <c r="A181" s="834" t="s">
        <v>456</v>
      </c>
      <c r="B181" s="834"/>
      <c r="C181" s="834"/>
      <c r="D181" s="834"/>
      <c r="E181" s="834"/>
      <c r="F181" s="834"/>
      <c r="G181" s="834"/>
      <c r="H181" s="834"/>
    </row>
    <row r="182" spans="1:8">
      <c r="A182" s="834"/>
      <c r="B182" s="834"/>
      <c r="C182" s="834"/>
      <c r="D182" s="834"/>
      <c r="E182" s="834"/>
      <c r="F182" s="834"/>
      <c r="G182" s="834"/>
      <c r="H182" s="834"/>
    </row>
    <row r="183" spans="1:8">
      <c r="A183" s="834" t="s">
        <v>78</v>
      </c>
      <c r="B183" s="834"/>
      <c r="C183" s="834"/>
      <c r="D183" s="834"/>
      <c r="E183" s="834"/>
      <c r="F183" s="834"/>
      <c r="G183" s="834"/>
      <c r="H183" s="834"/>
    </row>
    <row r="184" spans="1:8">
      <c r="A184" s="834"/>
      <c r="B184" s="834"/>
      <c r="C184" s="834"/>
      <c r="D184" s="834"/>
      <c r="E184" s="834"/>
      <c r="F184" s="834"/>
      <c r="G184" s="834"/>
      <c r="H184" s="834"/>
    </row>
    <row r="185" spans="1:8" ht="15.6">
      <c r="A185" s="835" t="s">
        <v>187</v>
      </c>
      <c r="B185" s="834"/>
      <c r="C185" s="834"/>
      <c r="D185" s="834"/>
      <c r="E185" s="834"/>
      <c r="F185" s="834"/>
      <c r="G185" s="834"/>
      <c r="H185" s="834"/>
    </row>
    <row r="186" spans="1:8">
      <c r="A186" s="834"/>
      <c r="B186" s="834"/>
      <c r="C186" s="834"/>
      <c r="D186" s="834"/>
      <c r="E186" s="834"/>
      <c r="F186" s="834"/>
      <c r="G186" s="834"/>
      <c r="H186" s="834"/>
    </row>
    <row r="187" spans="1:8">
      <c r="A187" s="834"/>
      <c r="B187" s="834"/>
      <c r="C187" s="834"/>
      <c r="D187" s="834"/>
      <c r="E187" s="834"/>
      <c r="F187" s="834"/>
      <c r="G187" s="834"/>
      <c r="H187" s="834"/>
    </row>
    <row r="188" spans="1:8">
      <c r="A188" s="834"/>
      <c r="B188" s="834"/>
      <c r="C188" s="834"/>
      <c r="D188" s="834"/>
      <c r="E188" s="834"/>
      <c r="F188" s="834"/>
      <c r="G188" s="834"/>
      <c r="H188" s="834"/>
    </row>
    <row r="189" spans="1:8">
      <c r="A189" s="834"/>
      <c r="B189" s="834"/>
      <c r="C189" s="834"/>
      <c r="D189" s="834"/>
      <c r="E189" s="834"/>
      <c r="F189" s="834"/>
      <c r="G189" s="834"/>
      <c r="H189" s="834"/>
    </row>
    <row r="190" spans="1:8">
      <c r="A190" s="834"/>
      <c r="B190" s="834"/>
      <c r="C190" s="834"/>
      <c r="D190" s="834"/>
      <c r="E190" s="834"/>
      <c r="F190" s="834"/>
      <c r="G190" s="834"/>
      <c r="H190" s="834"/>
    </row>
    <row r="191" spans="1:8">
      <c r="A191" s="834"/>
      <c r="B191" s="834"/>
      <c r="C191" s="834"/>
      <c r="D191" s="834"/>
      <c r="E191" s="834"/>
      <c r="F191" s="834"/>
      <c r="G191" s="834"/>
      <c r="H191" s="834"/>
    </row>
    <row r="192" spans="1:8">
      <c r="A192" s="834"/>
      <c r="B192" s="834"/>
      <c r="C192" s="834"/>
      <c r="D192" s="834"/>
      <c r="E192" s="834"/>
      <c r="F192" s="834"/>
      <c r="G192" s="834"/>
      <c r="H192" s="834"/>
    </row>
    <row r="193" spans="1:8">
      <c r="A193" s="834"/>
      <c r="B193" s="834"/>
      <c r="C193" s="834"/>
      <c r="D193" s="834"/>
      <c r="E193" s="834"/>
      <c r="F193" s="834"/>
      <c r="G193" s="834"/>
      <c r="H193" s="834"/>
    </row>
    <row r="194" spans="1:8">
      <c r="A194" s="834"/>
      <c r="B194" s="834"/>
      <c r="C194" s="834"/>
      <c r="D194" s="834"/>
      <c r="E194" s="834"/>
      <c r="F194" s="834"/>
      <c r="G194" s="834"/>
      <c r="H194" s="834"/>
    </row>
    <row r="195" spans="1:8">
      <c r="A195" s="834"/>
      <c r="B195" s="834"/>
      <c r="C195" s="834"/>
      <c r="D195" s="834"/>
      <c r="E195" s="834"/>
      <c r="F195" s="834"/>
      <c r="G195" s="834"/>
      <c r="H195" s="834"/>
    </row>
    <row r="196" spans="1:8">
      <c r="A196" s="834"/>
      <c r="B196" s="834"/>
      <c r="C196" s="834"/>
      <c r="D196" s="834"/>
      <c r="E196" s="834"/>
      <c r="F196" s="834"/>
      <c r="G196" s="834"/>
      <c r="H196" s="834"/>
    </row>
    <row r="197" spans="1:8">
      <c r="A197" s="834"/>
      <c r="B197" s="834"/>
      <c r="C197" s="834"/>
      <c r="D197" s="834"/>
      <c r="E197" s="834"/>
      <c r="F197" s="834"/>
      <c r="G197" s="834"/>
      <c r="H197" s="834"/>
    </row>
    <row r="198" spans="1:8">
      <c r="A198" s="834"/>
      <c r="B198" s="834"/>
      <c r="C198" s="834"/>
      <c r="D198" s="834"/>
      <c r="E198" s="834"/>
      <c r="F198" s="834"/>
      <c r="G198" s="834"/>
      <c r="H198" s="834"/>
    </row>
    <row r="199" spans="1:8">
      <c r="A199" s="834"/>
      <c r="B199" s="834"/>
      <c r="C199" s="834"/>
      <c r="D199" s="834"/>
      <c r="E199" s="834"/>
      <c r="F199" s="834"/>
      <c r="G199" s="834"/>
      <c r="H199" s="834"/>
    </row>
    <row r="200" spans="1:8">
      <c r="A200" s="834"/>
      <c r="B200" s="834"/>
      <c r="C200" s="834"/>
      <c r="D200" s="834"/>
      <c r="E200" s="834"/>
      <c r="F200" s="834"/>
      <c r="G200" s="834"/>
      <c r="H200" s="834"/>
    </row>
    <row r="201" spans="1:8">
      <c r="A201" s="834"/>
      <c r="B201" s="834"/>
      <c r="C201" s="834"/>
      <c r="D201" s="834"/>
      <c r="E201" s="834"/>
      <c r="F201" s="834"/>
      <c r="G201" s="834"/>
      <c r="H201" s="834"/>
    </row>
    <row r="202" spans="1:8">
      <c r="A202" s="834"/>
      <c r="B202" s="834"/>
      <c r="C202" s="834"/>
      <c r="D202" s="834"/>
      <c r="E202" s="834"/>
      <c r="F202" s="834"/>
      <c r="G202" s="834"/>
      <c r="H202" s="834"/>
    </row>
    <row r="203" spans="1:8">
      <c r="A203" s="834"/>
      <c r="B203" s="834"/>
      <c r="C203" s="834"/>
      <c r="D203" s="834"/>
      <c r="E203" s="834"/>
      <c r="F203" s="834"/>
      <c r="G203" s="834"/>
      <c r="H203" s="834"/>
    </row>
    <row r="204" spans="1:8">
      <c r="A204" s="834"/>
      <c r="B204" s="834"/>
      <c r="C204" s="834"/>
      <c r="D204" s="834"/>
      <c r="E204" s="834"/>
      <c r="F204" s="834"/>
      <c r="G204" s="834"/>
      <c r="H204" s="834"/>
    </row>
    <row r="205" spans="1:8">
      <c r="A205" s="834"/>
      <c r="B205" s="834"/>
      <c r="C205" s="834"/>
      <c r="D205" s="834"/>
      <c r="E205" s="834"/>
      <c r="F205" s="834"/>
      <c r="G205" s="834"/>
      <c r="H205" s="834"/>
    </row>
    <row r="206" spans="1:8">
      <c r="A206" s="834"/>
      <c r="B206" s="834"/>
      <c r="C206" s="834"/>
      <c r="D206" s="834"/>
      <c r="E206" s="834"/>
      <c r="F206" s="834"/>
      <c r="G206" s="834"/>
      <c r="H206" s="834"/>
    </row>
    <row r="207" spans="1:8">
      <c r="A207" s="834"/>
      <c r="B207" s="834"/>
      <c r="C207" s="834"/>
      <c r="D207" s="834"/>
      <c r="E207" s="834"/>
      <c r="F207" s="834"/>
      <c r="G207" s="834"/>
      <c r="H207" s="834"/>
    </row>
    <row r="208" spans="1:8">
      <c r="A208" s="834"/>
      <c r="B208" s="834"/>
      <c r="C208" s="834"/>
      <c r="D208" s="834"/>
      <c r="E208" s="834"/>
      <c r="F208" s="834"/>
      <c r="G208" s="834"/>
      <c r="H208" s="834"/>
    </row>
    <row r="209" spans="1:8">
      <c r="A209" s="834"/>
      <c r="B209" s="834"/>
      <c r="C209" s="834"/>
      <c r="D209" s="834"/>
      <c r="E209" s="834"/>
      <c r="F209" s="834"/>
      <c r="G209" s="834"/>
      <c r="H209" s="834"/>
    </row>
    <row r="210" spans="1:8">
      <c r="A210" s="834"/>
      <c r="B210" s="834"/>
      <c r="C210" s="834"/>
      <c r="D210" s="834"/>
      <c r="E210" s="834"/>
      <c r="F210" s="834"/>
      <c r="G210" s="834"/>
      <c r="H210" s="834"/>
    </row>
    <row r="211" spans="1:8" ht="15.6">
      <c r="A211" s="835" t="s">
        <v>188</v>
      </c>
      <c r="B211" s="834"/>
      <c r="C211" s="834"/>
      <c r="D211" s="834"/>
      <c r="E211" s="834"/>
      <c r="F211" s="834"/>
      <c r="G211" s="834"/>
      <c r="H211" s="834"/>
    </row>
    <row r="212" spans="1:8">
      <c r="A212" s="834"/>
      <c r="B212" s="834"/>
      <c r="C212" s="834"/>
      <c r="D212" s="834"/>
      <c r="E212" s="834"/>
      <c r="F212" s="834"/>
      <c r="G212" s="834"/>
      <c r="H212" s="834"/>
    </row>
    <row r="213" spans="1:8">
      <c r="A213" s="834" t="s">
        <v>457</v>
      </c>
      <c r="B213" s="834"/>
      <c r="C213" s="834"/>
      <c r="D213" s="834"/>
      <c r="E213" s="834"/>
      <c r="F213" s="834"/>
      <c r="G213" s="834"/>
      <c r="H213" s="834"/>
    </row>
    <row r="214" spans="1:8">
      <c r="A214" s="834" t="s">
        <v>458</v>
      </c>
      <c r="B214" s="834"/>
      <c r="C214" s="834"/>
      <c r="D214" s="834"/>
      <c r="E214" s="834"/>
      <c r="F214" s="834"/>
      <c r="G214" s="834"/>
      <c r="H214" s="834"/>
    </row>
    <row r="215" spans="1:8">
      <c r="A215" s="834" t="s">
        <v>459</v>
      </c>
      <c r="B215" s="834"/>
      <c r="C215" s="834"/>
      <c r="D215" s="834"/>
      <c r="E215" s="834"/>
      <c r="F215" s="834"/>
      <c r="G215" s="834"/>
      <c r="H215" s="834"/>
    </row>
    <row r="216" spans="1:8">
      <c r="A216" s="834" t="s">
        <v>460</v>
      </c>
      <c r="B216" s="834"/>
      <c r="C216" s="834"/>
      <c r="D216" s="834"/>
      <c r="E216" s="834"/>
      <c r="F216" s="834"/>
      <c r="G216" s="834"/>
      <c r="H216" s="834"/>
    </row>
    <row r="217" spans="1:8">
      <c r="A217" s="834" t="s">
        <v>461</v>
      </c>
      <c r="B217" s="834"/>
      <c r="C217" s="834"/>
      <c r="D217" s="834"/>
      <c r="E217" s="834"/>
      <c r="F217" s="834"/>
      <c r="G217" s="834"/>
      <c r="H217" s="834"/>
    </row>
    <row r="218" spans="1:8">
      <c r="A218" s="834"/>
      <c r="B218" s="834"/>
      <c r="C218" s="834"/>
      <c r="D218" s="834"/>
      <c r="E218" s="834"/>
      <c r="F218" s="834"/>
      <c r="G218" s="834"/>
      <c r="H218" s="834"/>
    </row>
    <row r="219" spans="1:8">
      <c r="A219" s="834" t="s">
        <v>462</v>
      </c>
      <c r="B219" s="834"/>
      <c r="C219" s="834"/>
      <c r="D219" s="834"/>
      <c r="E219" s="834"/>
      <c r="F219" s="834"/>
      <c r="G219" s="834"/>
      <c r="H219" s="834"/>
    </row>
    <row r="220" spans="1:8">
      <c r="A220" s="834" t="s">
        <v>463</v>
      </c>
      <c r="B220" s="834"/>
      <c r="C220" s="834"/>
      <c r="D220" s="834"/>
      <c r="E220" s="834"/>
      <c r="F220" s="834"/>
      <c r="G220" s="834"/>
      <c r="H220" s="834"/>
    </row>
    <row r="221" spans="1:8">
      <c r="A221" s="834" t="s">
        <v>464</v>
      </c>
      <c r="B221" s="834"/>
      <c r="C221" s="834"/>
      <c r="D221" s="834"/>
      <c r="E221" s="834"/>
      <c r="F221" s="834"/>
      <c r="G221" s="834"/>
      <c r="H221" s="834"/>
    </row>
    <row r="222" spans="1:8">
      <c r="A222" s="834"/>
      <c r="B222" s="834"/>
      <c r="C222" s="834"/>
      <c r="D222" s="834"/>
      <c r="E222" s="834"/>
      <c r="F222" s="834"/>
      <c r="G222" s="834"/>
      <c r="H222" s="834"/>
    </row>
    <row r="223" spans="1:8" ht="15.6">
      <c r="A223" s="835" t="s">
        <v>189</v>
      </c>
      <c r="B223" s="834"/>
      <c r="C223" s="834"/>
      <c r="D223" s="834"/>
      <c r="E223" s="834"/>
      <c r="F223" s="834"/>
      <c r="G223" s="834"/>
      <c r="H223" s="834"/>
    </row>
    <row r="224" spans="1:8">
      <c r="A224" s="834"/>
      <c r="B224" s="834"/>
      <c r="C224" s="834"/>
      <c r="D224" s="834"/>
      <c r="E224" s="834"/>
      <c r="F224" s="834"/>
      <c r="G224" s="834"/>
      <c r="H224" s="834"/>
    </row>
    <row r="225" spans="1:8">
      <c r="A225" s="834" t="s">
        <v>465</v>
      </c>
      <c r="B225" s="834"/>
      <c r="C225" s="834"/>
      <c r="D225" s="834"/>
      <c r="E225" s="834"/>
      <c r="F225" s="834"/>
      <c r="G225" s="834"/>
      <c r="H225" s="834"/>
    </row>
    <row r="226" spans="1:8">
      <c r="A226" s="834" t="s">
        <v>466</v>
      </c>
      <c r="B226" s="834"/>
      <c r="C226" s="834"/>
      <c r="D226" s="834"/>
      <c r="E226" s="834"/>
      <c r="F226" s="834"/>
      <c r="G226" s="834"/>
      <c r="H226" s="834"/>
    </row>
    <row r="227" spans="1:8">
      <c r="A227" s="834" t="s">
        <v>467</v>
      </c>
      <c r="B227" s="834"/>
      <c r="C227" s="834"/>
      <c r="D227" s="834"/>
      <c r="E227" s="834"/>
      <c r="F227" s="834"/>
      <c r="G227" s="834"/>
      <c r="H227" s="834"/>
    </row>
    <row r="228" spans="1:8">
      <c r="A228" s="834" t="s">
        <v>468</v>
      </c>
      <c r="B228" s="834"/>
      <c r="C228" s="834"/>
      <c r="D228" s="834"/>
      <c r="E228" s="834"/>
      <c r="F228" s="834"/>
      <c r="G228" s="834"/>
      <c r="H228" s="834"/>
    </row>
    <row r="229" spans="1:8">
      <c r="A229" s="834" t="s">
        <v>469</v>
      </c>
      <c r="B229" s="834"/>
      <c r="C229" s="834"/>
      <c r="D229" s="834"/>
      <c r="E229" s="834"/>
      <c r="F229" s="834"/>
      <c r="G229" s="834"/>
      <c r="H229" s="834"/>
    </row>
    <row r="230" spans="1:8">
      <c r="A230" s="834" t="s">
        <v>470</v>
      </c>
      <c r="B230" s="834"/>
      <c r="C230" s="834"/>
      <c r="D230" s="834"/>
      <c r="E230" s="834"/>
      <c r="F230" s="834"/>
      <c r="G230" s="834"/>
      <c r="H230" s="834"/>
    </row>
    <row r="231" spans="1:8">
      <c r="A231" s="834" t="s">
        <v>471</v>
      </c>
      <c r="B231" s="834"/>
      <c r="C231" s="834"/>
      <c r="D231" s="834"/>
      <c r="E231" s="834"/>
      <c r="F231" s="834"/>
      <c r="G231" s="834"/>
      <c r="H231" s="834"/>
    </row>
    <row r="232" spans="1:8">
      <c r="A232" s="834"/>
      <c r="B232" s="834"/>
      <c r="C232" s="834"/>
      <c r="D232" s="834"/>
      <c r="E232" s="834"/>
      <c r="F232" s="834"/>
      <c r="G232" s="834"/>
      <c r="H232" s="834"/>
    </row>
    <row r="233" spans="1:8">
      <c r="A233" s="834" t="s">
        <v>472</v>
      </c>
      <c r="B233" s="834"/>
      <c r="C233" s="834"/>
      <c r="D233" s="834"/>
      <c r="E233" s="834"/>
      <c r="F233" s="834"/>
      <c r="G233" s="834"/>
      <c r="H233" s="834"/>
    </row>
    <row r="234" spans="1:8">
      <c r="A234" s="834" t="s">
        <v>473</v>
      </c>
      <c r="B234" s="834"/>
      <c r="C234" s="834"/>
      <c r="D234" s="834"/>
      <c r="E234" s="834"/>
      <c r="F234" s="834"/>
      <c r="G234" s="834"/>
      <c r="H234" s="834"/>
    </row>
    <row r="235" spans="1:8">
      <c r="A235" s="834" t="s">
        <v>474</v>
      </c>
      <c r="B235" s="834"/>
      <c r="C235" s="834"/>
      <c r="D235" s="834"/>
      <c r="E235" s="834"/>
      <c r="F235" s="834"/>
      <c r="G235" s="834"/>
      <c r="H235" s="834"/>
    </row>
    <row r="236" spans="1:8">
      <c r="A236" s="834"/>
      <c r="B236" s="834"/>
      <c r="C236" s="834"/>
      <c r="D236" s="834"/>
      <c r="E236" s="834"/>
      <c r="F236" s="834"/>
      <c r="G236" s="834"/>
      <c r="H236" s="834"/>
    </row>
    <row r="237" spans="1:8">
      <c r="A237" s="834" t="s">
        <v>475</v>
      </c>
      <c r="B237" s="834"/>
      <c r="C237" s="834"/>
      <c r="D237" s="834"/>
      <c r="E237" s="834"/>
      <c r="F237" s="834"/>
      <c r="G237" s="834"/>
      <c r="H237" s="834"/>
    </row>
    <row r="238" spans="1:8">
      <c r="A238" s="834" t="s">
        <v>476</v>
      </c>
      <c r="B238" s="834"/>
      <c r="C238" s="834"/>
      <c r="D238" s="834"/>
      <c r="E238" s="834"/>
      <c r="F238" s="834"/>
      <c r="G238" s="834"/>
      <c r="H238" s="834"/>
    </row>
    <row r="239" spans="1:8">
      <c r="A239" s="834" t="s">
        <v>477</v>
      </c>
      <c r="B239" s="834"/>
      <c r="C239" s="834"/>
      <c r="D239" s="834"/>
      <c r="E239" s="834"/>
      <c r="F239" s="834"/>
      <c r="G239" s="834"/>
      <c r="H239" s="834"/>
    </row>
    <row r="240" spans="1:8">
      <c r="A240" s="834" t="s">
        <v>478</v>
      </c>
      <c r="B240" s="834"/>
      <c r="C240" s="834"/>
      <c r="D240" s="834"/>
      <c r="E240" s="834"/>
      <c r="F240" s="834"/>
      <c r="G240" s="834"/>
      <c r="H240" s="834"/>
    </row>
    <row r="241" spans="1:8">
      <c r="A241" s="834" t="s">
        <v>479</v>
      </c>
      <c r="B241" s="834"/>
      <c r="C241" s="834"/>
      <c r="D241" s="834"/>
      <c r="E241" s="834"/>
      <c r="F241" s="834"/>
      <c r="G241" s="834"/>
      <c r="H241" s="834"/>
    </row>
    <row r="242" spans="1:8">
      <c r="A242" s="834"/>
      <c r="B242" s="834"/>
      <c r="C242" s="834"/>
      <c r="D242" s="834"/>
      <c r="E242" s="834"/>
      <c r="F242" s="834"/>
      <c r="G242" s="834"/>
      <c r="H242" s="834"/>
    </row>
    <row r="243" spans="1:8">
      <c r="A243" s="834" t="s">
        <v>480</v>
      </c>
      <c r="B243" s="834"/>
      <c r="C243" s="834"/>
      <c r="D243" s="834"/>
      <c r="E243" s="834"/>
      <c r="F243" s="834"/>
      <c r="G243" s="834"/>
      <c r="H243" s="834"/>
    </row>
    <row r="244" spans="1:8">
      <c r="A244" s="834" t="s">
        <v>481</v>
      </c>
      <c r="B244" s="834"/>
      <c r="C244" s="834"/>
      <c r="D244" s="834"/>
      <c r="E244" s="834"/>
      <c r="F244" s="834"/>
      <c r="G244" s="834"/>
      <c r="H244" s="834"/>
    </row>
    <row r="245" spans="1:8">
      <c r="A245" s="834" t="s">
        <v>482</v>
      </c>
      <c r="B245" s="834"/>
      <c r="C245" s="834"/>
      <c r="D245" s="834"/>
      <c r="E245" s="834"/>
      <c r="F245" s="834"/>
      <c r="G245" s="834"/>
      <c r="H245" s="834"/>
    </row>
    <row r="246" spans="1:8">
      <c r="A246" s="834" t="s">
        <v>483</v>
      </c>
      <c r="B246" s="834"/>
      <c r="C246" s="834"/>
      <c r="D246" s="834"/>
      <c r="E246" s="834"/>
      <c r="F246" s="834"/>
      <c r="G246" s="834"/>
      <c r="H246" s="834"/>
    </row>
    <row r="247" spans="1:8">
      <c r="A247" s="834" t="s">
        <v>484</v>
      </c>
      <c r="B247" s="834"/>
      <c r="C247" s="834"/>
      <c r="D247" s="834"/>
      <c r="E247" s="834"/>
      <c r="F247" s="834"/>
      <c r="G247" s="834"/>
      <c r="H247" s="834"/>
    </row>
    <row r="248" spans="1:8">
      <c r="A248" s="834" t="s">
        <v>485</v>
      </c>
      <c r="B248" s="834"/>
      <c r="C248" s="834"/>
      <c r="D248" s="834"/>
      <c r="E248" s="834"/>
      <c r="F248" s="834"/>
      <c r="G248" s="834"/>
      <c r="H248" s="834"/>
    </row>
    <row r="249" spans="1:8">
      <c r="A249" s="834"/>
      <c r="B249" s="834"/>
      <c r="C249" s="834"/>
      <c r="D249" s="834"/>
      <c r="E249" s="834"/>
      <c r="F249" s="834"/>
      <c r="G249" s="834"/>
      <c r="H249" s="834"/>
    </row>
    <row r="250" spans="1:8">
      <c r="A250" s="834" t="s">
        <v>486</v>
      </c>
      <c r="B250" s="834"/>
      <c r="C250" s="834"/>
      <c r="D250" s="834"/>
      <c r="E250" s="834"/>
      <c r="F250" s="834"/>
      <c r="G250" s="834"/>
      <c r="H250" s="834"/>
    </row>
    <row r="251" spans="1:8">
      <c r="A251" s="834" t="s">
        <v>487</v>
      </c>
      <c r="B251" s="834"/>
      <c r="C251" s="834"/>
      <c r="D251" s="834"/>
      <c r="E251" s="834"/>
      <c r="F251" s="834"/>
      <c r="G251" s="834"/>
      <c r="H251" s="834"/>
    </row>
    <row r="252" spans="1:8">
      <c r="A252" s="834" t="s">
        <v>488</v>
      </c>
      <c r="B252" s="834"/>
      <c r="C252" s="834"/>
      <c r="D252" s="834"/>
      <c r="E252" s="834"/>
      <c r="F252" s="834"/>
      <c r="G252" s="834"/>
      <c r="H252" s="834"/>
    </row>
    <row r="253" spans="1:8">
      <c r="A253" s="834" t="s">
        <v>489</v>
      </c>
      <c r="B253" s="834"/>
      <c r="C253" s="834"/>
      <c r="D253" s="834"/>
      <c r="E253" s="834"/>
      <c r="F253" s="834"/>
      <c r="G253" s="834"/>
      <c r="H253" s="834"/>
    </row>
    <row r="254" spans="1:8">
      <c r="A254" s="834" t="s">
        <v>490</v>
      </c>
      <c r="B254" s="834"/>
      <c r="C254" s="834"/>
      <c r="D254" s="834"/>
      <c r="E254" s="834"/>
      <c r="F254" s="834"/>
      <c r="G254" s="834"/>
      <c r="H254" s="834"/>
    </row>
    <row r="255" spans="1:8">
      <c r="A255" s="834" t="s">
        <v>491</v>
      </c>
      <c r="B255" s="834"/>
      <c r="C255" s="834"/>
      <c r="D255" s="834"/>
      <c r="E255" s="834"/>
      <c r="F255" s="834"/>
      <c r="G255" s="834"/>
      <c r="H255" s="834"/>
    </row>
    <row r="256" spans="1:8">
      <c r="A256" s="834" t="s">
        <v>492</v>
      </c>
      <c r="B256" s="834"/>
      <c r="C256" s="834"/>
      <c r="D256" s="834"/>
      <c r="E256" s="834"/>
      <c r="F256" s="834"/>
      <c r="G256" s="834"/>
      <c r="H256" s="834"/>
    </row>
    <row r="257" spans="1:8">
      <c r="A257" s="834" t="s">
        <v>493</v>
      </c>
      <c r="B257" s="834"/>
      <c r="C257" s="834"/>
      <c r="D257" s="834"/>
      <c r="E257" s="834"/>
      <c r="F257" s="834"/>
      <c r="G257" s="834"/>
      <c r="H257" s="834"/>
    </row>
    <row r="258" spans="1:8">
      <c r="A258" s="834" t="s">
        <v>494</v>
      </c>
      <c r="B258" s="834"/>
      <c r="C258" s="834"/>
      <c r="D258" s="834"/>
      <c r="E258" s="834"/>
      <c r="F258" s="834"/>
      <c r="G258" s="834"/>
      <c r="H258" s="834"/>
    </row>
    <row r="259" spans="1:8">
      <c r="A259" s="834" t="s">
        <v>495</v>
      </c>
      <c r="B259" s="834"/>
      <c r="C259" s="834"/>
      <c r="D259" s="834"/>
      <c r="E259" s="834"/>
      <c r="F259" s="834"/>
      <c r="G259" s="834"/>
      <c r="H259" s="834"/>
    </row>
    <row r="260" spans="1:8">
      <c r="A260" s="834" t="s">
        <v>496</v>
      </c>
      <c r="B260" s="834"/>
      <c r="C260" s="834"/>
      <c r="D260" s="834"/>
      <c r="E260" s="834"/>
      <c r="F260" s="834"/>
      <c r="G260" s="834"/>
      <c r="H260" s="834"/>
    </row>
    <row r="261" spans="1:8">
      <c r="A261" s="834" t="s">
        <v>497</v>
      </c>
      <c r="B261" s="834"/>
      <c r="C261" s="834"/>
      <c r="D261" s="834"/>
      <c r="E261" s="834"/>
      <c r="F261" s="834"/>
      <c r="G261" s="834"/>
      <c r="H261" s="834"/>
    </row>
    <row r="262" spans="1:8">
      <c r="A262" s="834" t="s">
        <v>498</v>
      </c>
      <c r="B262" s="834"/>
      <c r="C262" s="834"/>
      <c r="D262" s="834"/>
      <c r="E262" s="834"/>
      <c r="F262" s="834"/>
      <c r="G262" s="834"/>
      <c r="H262" s="834"/>
    </row>
    <row r="263" spans="1:8">
      <c r="A263" s="834" t="s">
        <v>499</v>
      </c>
      <c r="B263" s="834"/>
      <c r="C263" s="834"/>
      <c r="D263" s="834"/>
      <c r="E263" s="834"/>
      <c r="F263" s="834"/>
      <c r="G263" s="834"/>
      <c r="H263" s="834"/>
    </row>
    <row r="264" spans="1:8">
      <c r="A264" s="834"/>
      <c r="B264" s="834"/>
      <c r="C264" s="834"/>
      <c r="D264" s="834"/>
      <c r="E264" s="834"/>
      <c r="F264" s="834"/>
      <c r="G264" s="834"/>
      <c r="H264" s="834"/>
    </row>
    <row r="265" spans="1:8">
      <c r="A265" s="834" t="s">
        <v>500</v>
      </c>
      <c r="B265" s="834"/>
      <c r="C265" s="834"/>
      <c r="D265" s="834"/>
      <c r="E265" s="834"/>
      <c r="F265" s="834"/>
      <c r="G265" s="834"/>
      <c r="H265" s="834"/>
    </row>
    <row r="266" spans="1:8">
      <c r="A266" s="834" t="s">
        <v>501</v>
      </c>
      <c r="B266" s="834"/>
      <c r="C266" s="834"/>
      <c r="D266" s="834"/>
      <c r="E266" s="834"/>
      <c r="F266" s="834"/>
      <c r="G266" s="834"/>
      <c r="H266" s="834"/>
    </row>
    <row r="267" spans="1:8">
      <c r="A267" s="834"/>
      <c r="B267" s="834"/>
      <c r="C267" s="834"/>
      <c r="D267" s="834"/>
      <c r="E267" s="834"/>
      <c r="F267" s="834"/>
      <c r="G267" s="834"/>
      <c r="H267" s="834"/>
    </row>
    <row r="268" spans="1:8">
      <c r="A268" s="834" t="s">
        <v>502</v>
      </c>
      <c r="B268" s="834"/>
      <c r="C268" s="834"/>
      <c r="D268" s="834"/>
      <c r="E268" s="834"/>
      <c r="F268" s="834"/>
      <c r="G268" s="834"/>
      <c r="H268" s="834"/>
    </row>
    <row r="269" spans="1:8">
      <c r="A269" s="834" t="s">
        <v>503</v>
      </c>
      <c r="B269" s="834"/>
      <c r="C269" s="834"/>
      <c r="D269" s="834"/>
      <c r="E269" s="834"/>
      <c r="F269" s="834"/>
      <c r="G269" s="834"/>
      <c r="H269" s="834"/>
    </row>
    <row r="270" spans="1:8">
      <c r="A270" s="834" t="s">
        <v>504</v>
      </c>
      <c r="B270" s="834"/>
      <c r="C270" s="834"/>
      <c r="D270" s="834"/>
      <c r="E270" s="834"/>
      <c r="F270" s="834"/>
      <c r="G270" s="834"/>
      <c r="H270" s="834"/>
    </row>
    <row r="271" spans="1:8">
      <c r="A271" s="834" t="s">
        <v>505</v>
      </c>
      <c r="B271" s="834"/>
      <c r="C271" s="834"/>
      <c r="D271" s="834"/>
      <c r="E271" s="834"/>
      <c r="F271" s="834"/>
      <c r="G271" s="834"/>
      <c r="H271" s="834"/>
    </row>
    <row r="272" spans="1:8">
      <c r="A272" s="834" t="s">
        <v>506</v>
      </c>
      <c r="B272" s="834"/>
      <c r="C272" s="834"/>
      <c r="D272" s="834"/>
      <c r="E272" s="834"/>
      <c r="F272" s="834"/>
      <c r="G272" s="834"/>
      <c r="H272" s="834"/>
    </row>
    <row r="273" spans="1:8">
      <c r="A273" s="834" t="s">
        <v>507</v>
      </c>
      <c r="B273" s="834"/>
      <c r="C273" s="834"/>
      <c r="D273" s="834"/>
      <c r="E273" s="834"/>
      <c r="F273" s="834"/>
      <c r="G273" s="834"/>
      <c r="H273" s="834"/>
    </row>
    <row r="274" spans="1:8">
      <c r="A274" s="834" t="s">
        <v>508</v>
      </c>
      <c r="B274" s="834"/>
      <c r="C274" s="834"/>
      <c r="D274" s="834"/>
      <c r="E274" s="834"/>
      <c r="F274" s="834"/>
      <c r="G274" s="834"/>
      <c r="H274" s="834"/>
    </row>
    <row r="275" spans="1:8">
      <c r="A275" s="834" t="s">
        <v>509</v>
      </c>
      <c r="B275" s="834"/>
      <c r="C275" s="834"/>
      <c r="D275" s="834"/>
      <c r="E275" s="834"/>
      <c r="F275" s="834"/>
      <c r="G275" s="834"/>
      <c r="H275" s="834"/>
    </row>
    <row r="276" spans="1:8">
      <c r="A276" s="834" t="s">
        <v>510</v>
      </c>
      <c r="B276" s="834"/>
      <c r="C276" s="834"/>
      <c r="D276" s="834"/>
      <c r="E276" s="834"/>
      <c r="F276" s="834"/>
      <c r="G276" s="834"/>
      <c r="H276" s="834"/>
    </row>
    <row r="277" spans="1:8">
      <c r="A277" s="834" t="s">
        <v>511</v>
      </c>
      <c r="B277" s="834"/>
      <c r="C277" s="834"/>
      <c r="D277" s="834"/>
      <c r="E277" s="834"/>
      <c r="F277" s="834"/>
      <c r="G277" s="834"/>
      <c r="H277" s="834"/>
    </row>
    <row r="278" spans="1:8">
      <c r="A278" s="834" t="s">
        <v>512</v>
      </c>
      <c r="B278" s="834"/>
      <c r="C278" s="834"/>
      <c r="D278" s="834"/>
      <c r="E278" s="834"/>
      <c r="F278" s="834"/>
      <c r="G278" s="834"/>
      <c r="H278" s="834"/>
    </row>
    <row r="279" spans="1:8">
      <c r="A279" s="834" t="s">
        <v>513</v>
      </c>
      <c r="B279" s="834"/>
      <c r="C279" s="834"/>
      <c r="D279" s="834"/>
      <c r="E279" s="834"/>
      <c r="F279" s="834"/>
      <c r="G279" s="834"/>
      <c r="H279" s="834"/>
    </row>
    <row r="280" spans="1:8">
      <c r="A280" s="834" t="s">
        <v>514</v>
      </c>
      <c r="B280" s="834"/>
      <c r="C280" s="834"/>
      <c r="D280" s="834"/>
      <c r="E280" s="834"/>
      <c r="F280" s="834"/>
      <c r="G280" s="834"/>
      <c r="H280" s="834"/>
    </row>
    <row r="281" spans="1:8">
      <c r="A281" s="834" t="s">
        <v>515</v>
      </c>
      <c r="B281" s="834"/>
      <c r="C281" s="834"/>
      <c r="D281" s="834"/>
      <c r="E281" s="834"/>
      <c r="F281" s="834"/>
      <c r="G281" s="834"/>
      <c r="H281" s="834"/>
    </row>
    <row r="282" spans="1:8">
      <c r="A282" s="834" t="s">
        <v>516</v>
      </c>
      <c r="B282" s="834"/>
      <c r="C282" s="834"/>
      <c r="D282" s="834"/>
      <c r="E282" s="834"/>
      <c r="F282" s="834"/>
      <c r="G282" s="834"/>
      <c r="H282" s="834"/>
    </row>
    <row r="283" spans="1:8">
      <c r="A283" s="834" t="s">
        <v>517</v>
      </c>
      <c r="B283" s="834"/>
      <c r="C283" s="834"/>
      <c r="D283" s="834"/>
      <c r="E283" s="834"/>
      <c r="F283" s="834"/>
      <c r="G283" s="834"/>
      <c r="H283" s="834"/>
    </row>
    <row r="284" spans="1:8">
      <c r="A284" s="834"/>
      <c r="B284" s="834"/>
      <c r="C284" s="834"/>
      <c r="D284" s="834"/>
      <c r="E284" s="834"/>
      <c r="F284" s="834"/>
      <c r="G284" s="834"/>
      <c r="H284" s="834"/>
    </row>
    <row r="285" spans="1:8">
      <c r="A285" s="834" t="s">
        <v>518</v>
      </c>
      <c r="B285" s="834"/>
      <c r="C285" s="834"/>
      <c r="D285" s="834"/>
      <c r="E285" s="834"/>
      <c r="F285" s="834"/>
      <c r="G285" s="834"/>
      <c r="H285" s="834"/>
    </row>
    <row r="286" spans="1:8">
      <c r="A286" s="834" t="s">
        <v>519</v>
      </c>
      <c r="B286" s="834"/>
      <c r="C286" s="834"/>
      <c r="D286" s="834"/>
      <c r="E286" s="834"/>
      <c r="F286" s="834"/>
      <c r="G286" s="834"/>
      <c r="H286" s="834"/>
    </row>
    <row r="287" spans="1:8">
      <c r="A287" s="834" t="s">
        <v>520</v>
      </c>
      <c r="B287" s="834"/>
      <c r="C287" s="834"/>
      <c r="D287" s="834"/>
      <c r="E287" s="834"/>
      <c r="F287" s="834"/>
      <c r="G287" s="834"/>
      <c r="H287" s="834"/>
    </row>
    <row r="288" spans="1:8">
      <c r="A288" s="834" t="s">
        <v>521</v>
      </c>
      <c r="B288" s="834"/>
      <c r="C288" s="834"/>
      <c r="D288" s="834"/>
      <c r="E288" s="834"/>
      <c r="F288" s="834"/>
      <c r="G288" s="834"/>
      <c r="H288" s="834"/>
    </row>
    <row r="289" spans="1:8">
      <c r="A289" s="834" t="s">
        <v>522</v>
      </c>
      <c r="B289" s="834"/>
      <c r="C289" s="834"/>
      <c r="D289" s="834"/>
      <c r="E289" s="834"/>
      <c r="F289" s="834"/>
      <c r="G289" s="834"/>
      <c r="H289" s="834"/>
    </row>
    <row r="290" spans="1:8">
      <c r="A290" s="834" t="s">
        <v>523</v>
      </c>
      <c r="B290" s="834"/>
      <c r="C290" s="834"/>
      <c r="D290" s="834"/>
      <c r="E290" s="834"/>
      <c r="F290" s="834"/>
      <c r="G290" s="834"/>
      <c r="H290" s="834"/>
    </row>
    <row r="291" spans="1:8">
      <c r="A291" s="834" t="s">
        <v>402</v>
      </c>
      <c r="B291" s="834"/>
      <c r="C291" s="834"/>
      <c r="D291" s="834"/>
      <c r="E291" s="834"/>
      <c r="F291" s="834"/>
      <c r="G291" s="834"/>
      <c r="H291" s="834"/>
    </row>
    <row r="292" spans="1:8">
      <c r="A292" s="834"/>
      <c r="B292" s="834"/>
      <c r="C292" s="834"/>
      <c r="D292" s="834"/>
      <c r="E292" s="834"/>
      <c r="F292" s="834"/>
      <c r="G292" s="834"/>
      <c r="H292" s="834"/>
    </row>
    <row r="293" spans="1:8">
      <c r="A293" s="834" t="s">
        <v>524</v>
      </c>
      <c r="B293" s="834"/>
      <c r="C293" s="834"/>
      <c r="D293" s="834"/>
      <c r="E293" s="834"/>
      <c r="F293" s="834"/>
      <c r="G293" s="834"/>
      <c r="H293" s="834"/>
    </row>
    <row r="294" spans="1:8">
      <c r="A294" s="834" t="s">
        <v>525</v>
      </c>
      <c r="B294" s="834"/>
      <c r="C294" s="834"/>
      <c r="D294" s="834"/>
      <c r="E294" s="834"/>
      <c r="F294" s="834"/>
      <c r="G294" s="834"/>
      <c r="H294" s="834"/>
    </row>
    <row r="295" spans="1:8">
      <c r="A295" s="834" t="s">
        <v>526</v>
      </c>
      <c r="B295" s="834"/>
      <c r="C295" s="834"/>
      <c r="D295" s="834"/>
      <c r="E295" s="834"/>
      <c r="F295" s="834"/>
      <c r="G295" s="834"/>
      <c r="H295" s="834"/>
    </row>
    <row r="296" spans="1:8">
      <c r="A296" s="834" t="s">
        <v>527</v>
      </c>
      <c r="B296" s="834"/>
      <c r="C296" s="834"/>
      <c r="D296" s="834"/>
      <c r="E296" s="834"/>
      <c r="F296" s="834"/>
      <c r="G296" s="834"/>
      <c r="H296" s="834"/>
    </row>
    <row r="297" spans="1:8">
      <c r="A297" s="834" t="s">
        <v>528</v>
      </c>
      <c r="B297" s="834"/>
      <c r="C297" s="834"/>
      <c r="D297" s="834"/>
      <c r="E297" s="834"/>
      <c r="F297" s="834"/>
      <c r="G297" s="834"/>
      <c r="H297" s="834"/>
    </row>
    <row r="298" spans="1:8">
      <c r="A298" s="834" t="s">
        <v>529</v>
      </c>
      <c r="B298" s="834"/>
      <c r="C298" s="834"/>
      <c r="D298" s="834"/>
      <c r="E298" s="834"/>
      <c r="F298" s="834"/>
      <c r="G298" s="834"/>
      <c r="H298" s="834"/>
    </row>
    <row r="299" spans="1:8">
      <c r="A299" s="834" t="s">
        <v>530</v>
      </c>
      <c r="B299" s="834"/>
      <c r="C299" s="834"/>
      <c r="D299" s="834"/>
      <c r="E299" s="834"/>
      <c r="F299" s="834"/>
      <c r="G299" s="834"/>
      <c r="H299" s="834"/>
    </row>
    <row r="300" spans="1:8">
      <c r="A300" s="834" t="s">
        <v>531</v>
      </c>
      <c r="B300" s="834"/>
      <c r="C300" s="834"/>
      <c r="D300" s="834"/>
      <c r="E300" s="834"/>
      <c r="F300" s="834"/>
      <c r="G300" s="834"/>
      <c r="H300" s="834"/>
    </row>
    <row r="301" spans="1:8">
      <c r="A301" s="834" t="s">
        <v>532</v>
      </c>
      <c r="B301" s="834"/>
      <c r="C301" s="834"/>
      <c r="D301" s="834"/>
      <c r="E301" s="834"/>
      <c r="F301" s="834"/>
      <c r="G301" s="834"/>
      <c r="H301" s="834"/>
    </row>
    <row r="302" spans="1:8">
      <c r="A302" s="834"/>
      <c r="B302" s="834"/>
      <c r="C302" s="834"/>
      <c r="D302" s="834"/>
      <c r="E302" s="834"/>
      <c r="F302" s="834"/>
      <c r="G302" s="834"/>
      <c r="H302" s="834"/>
    </row>
    <row r="303" spans="1:8">
      <c r="A303" s="834" t="s">
        <v>533</v>
      </c>
      <c r="B303" s="834"/>
      <c r="C303" s="834"/>
      <c r="D303" s="834"/>
      <c r="E303" s="834"/>
      <c r="F303" s="834"/>
      <c r="G303" s="834"/>
      <c r="H303" s="834"/>
    </row>
    <row r="304" spans="1:8">
      <c r="A304" s="834" t="s">
        <v>534</v>
      </c>
      <c r="B304" s="834"/>
      <c r="C304" s="834"/>
      <c r="D304" s="834"/>
      <c r="E304" s="834"/>
      <c r="F304" s="834"/>
      <c r="G304" s="834"/>
      <c r="H304" s="834"/>
    </row>
    <row r="305" spans="1:8">
      <c r="A305" s="834" t="s">
        <v>535</v>
      </c>
      <c r="B305" s="834"/>
      <c r="C305" s="834"/>
      <c r="D305" s="834"/>
      <c r="E305" s="834"/>
      <c r="F305" s="834"/>
      <c r="G305" s="834"/>
      <c r="H305" s="834"/>
    </row>
    <row r="306" spans="1:8">
      <c r="A306" s="834" t="s">
        <v>536</v>
      </c>
      <c r="B306" s="834"/>
      <c r="C306" s="834"/>
      <c r="D306" s="834"/>
      <c r="E306" s="834"/>
      <c r="F306" s="834"/>
      <c r="G306" s="834"/>
      <c r="H306" s="834"/>
    </row>
    <row r="307" spans="1:8">
      <c r="A307" s="834" t="s">
        <v>537</v>
      </c>
      <c r="B307" s="834"/>
      <c r="C307" s="834"/>
      <c r="D307" s="834"/>
      <c r="E307" s="834"/>
      <c r="F307" s="834"/>
      <c r="G307" s="834"/>
      <c r="H307" s="834"/>
    </row>
    <row r="308" spans="1:8">
      <c r="A308" s="834" t="s">
        <v>538</v>
      </c>
      <c r="B308" s="834"/>
      <c r="C308" s="834"/>
      <c r="D308" s="834"/>
      <c r="E308" s="834"/>
      <c r="F308" s="834"/>
      <c r="G308" s="834"/>
      <c r="H308" s="834"/>
    </row>
    <row r="309" spans="1:8">
      <c r="A309" s="834" t="s">
        <v>539</v>
      </c>
      <c r="B309" s="834"/>
      <c r="C309" s="834"/>
      <c r="D309" s="834"/>
      <c r="E309" s="834"/>
      <c r="F309" s="834"/>
      <c r="G309" s="834"/>
      <c r="H309" s="834"/>
    </row>
    <row r="310" spans="1:8">
      <c r="A310" s="834"/>
      <c r="B310" s="834"/>
      <c r="C310" s="834"/>
      <c r="D310" s="834"/>
      <c r="E310" s="834"/>
      <c r="F310" s="834"/>
      <c r="G310" s="834"/>
      <c r="H310" s="834"/>
    </row>
    <row r="311" spans="1:8">
      <c r="A311" s="834" t="s">
        <v>540</v>
      </c>
      <c r="B311" s="834"/>
      <c r="C311" s="834"/>
      <c r="D311" s="834"/>
      <c r="E311" s="834"/>
      <c r="F311" s="834"/>
      <c r="G311" s="834"/>
      <c r="H311" s="834"/>
    </row>
    <row r="312" spans="1:8">
      <c r="A312" s="834" t="s">
        <v>541</v>
      </c>
      <c r="B312" s="834"/>
      <c r="C312" s="834"/>
      <c r="D312" s="834"/>
      <c r="E312" s="834"/>
      <c r="F312" s="834"/>
      <c r="G312" s="834"/>
      <c r="H312" s="834"/>
    </row>
    <row r="313" spans="1:8">
      <c r="A313" s="834" t="s">
        <v>542</v>
      </c>
      <c r="B313" s="834"/>
      <c r="C313" s="834"/>
      <c r="D313" s="834"/>
      <c r="E313" s="834"/>
      <c r="F313" s="834"/>
      <c r="G313" s="834"/>
      <c r="H313" s="834"/>
    </row>
    <row r="314" spans="1:8">
      <c r="A314" s="834"/>
      <c r="B314" s="834"/>
      <c r="C314" s="834"/>
      <c r="D314" s="834"/>
      <c r="E314" s="834"/>
      <c r="F314" s="834"/>
      <c r="G314" s="834"/>
      <c r="H314" s="834"/>
    </row>
    <row r="315" spans="1:8">
      <c r="A315" s="834" t="s">
        <v>543</v>
      </c>
      <c r="B315" s="834"/>
      <c r="C315" s="834"/>
      <c r="D315" s="834"/>
      <c r="E315" s="834"/>
      <c r="F315" s="834"/>
      <c r="G315" s="834"/>
      <c r="H315" s="834"/>
    </row>
    <row r="316" spans="1:8">
      <c r="A316" s="834" t="s">
        <v>544</v>
      </c>
      <c r="B316" s="834"/>
      <c r="C316" s="834"/>
      <c r="D316" s="834"/>
      <c r="E316" s="834"/>
      <c r="F316" s="834"/>
      <c r="G316" s="834"/>
      <c r="H316" s="834"/>
    </row>
    <row r="317" spans="1:8">
      <c r="A317" s="834"/>
      <c r="B317" s="834"/>
      <c r="C317" s="834"/>
      <c r="D317" s="834"/>
      <c r="E317" s="834"/>
      <c r="F317" s="834"/>
      <c r="G317" s="834"/>
      <c r="H317" s="834"/>
    </row>
    <row r="318" spans="1:8">
      <c r="A318" s="834" t="s">
        <v>545</v>
      </c>
      <c r="B318" s="834"/>
      <c r="C318" s="834"/>
      <c r="D318" s="834"/>
      <c r="E318" s="834"/>
      <c r="F318" s="834"/>
      <c r="G318" s="834"/>
      <c r="H318" s="834"/>
    </row>
    <row r="319" spans="1:8">
      <c r="A319" s="834" t="s">
        <v>546</v>
      </c>
      <c r="B319" s="834"/>
      <c r="C319" s="834"/>
      <c r="D319" s="834"/>
      <c r="E319" s="834"/>
      <c r="F319" s="834"/>
      <c r="G319" s="834"/>
      <c r="H319" s="834"/>
    </row>
    <row r="320" spans="1:8">
      <c r="A320" s="834" t="s">
        <v>547</v>
      </c>
      <c r="B320" s="834"/>
      <c r="C320" s="834"/>
      <c r="D320" s="834"/>
      <c r="E320" s="834"/>
      <c r="F320" s="834"/>
      <c r="G320" s="834"/>
      <c r="H320" s="834"/>
    </row>
    <row r="321" spans="1:8">
      <c r="A321" s="834" t="s">
        <v>548</v>
      </c>
      <c r="B321" s="834"/>
      <c r="C321" s="834"/>
      <c r="D321" s="834"/>
      <c r="E321" s="834"/>
      <c r="F321" s="834"/>
      <c r="G321" s="834"/>
      <c r="H321" s="834"/>
    </row>
    <row r="322" spans="1:8">
      <c r="A322" s="834" t="s">
        <v>549</v>
      </c>
      <c r="B322" s="834"/>
      <c r="C322" s="834"/>
      <c r="D322" s="834"/>
      <c r="E322" s="834"/>
      <c r="F322" s="834"/>
      <c r="G322" s="834"/>
      <c r="H322" s="834"/>
    </row>
    <row r="323" spans="1:8">
      <c r="A323" s="834" t="s">
        <v>550</v>
      </c>
      <c r="B323" s="834"/>
      <c r="C323" s="834"/>
      <c r="D323" s="834"/>
      <c r="E323" s="834"/>
      <c r="F323" s="834"/>
      <c r="G323" s="834"/>
      <c r="H323" s="834"/>
    </row>
    <row r="324" spans="1:8">
      <c r="A324" s="834" t="s">
        <v>551</v>
      </c>
      <c r="B324" s="834"/>
      <c r="C324" s="834"/>
      <c r="D324" s="834"/>
      <c r="E324" s="834"/>
      <c r="F324" s="834"/>
      <c r="G324" s="834"/>
      <c r="H324" s="834"/>
    </row>
    <row r="325" spans="1:8">
      <c r="A325" s="834" t="s">
        <v>552</v>
      </c>
      <c r="B325" s="834"/>
      <c r="C325" s="834"/>
      <c r="D325" s="834"/>
      <c r="E325" s="834"/>
      <c r="F325" s="834"/>
      <c r="G325" s="834"/>
      <c r="H325" s="834"/>
    </row>
    <row r="326" spans="1:8">
      <c r="A326" s="834" t="s">
        <v>553</v>
      </c>
      <c r="B326" s="834"/>
      <c r="C326" s="834"/>
      <c r="D326" s="834"/>
      <c r="E326" s="834"/>
      <c r="F326" s="834"/>
      <c r="G326" s="834"/>
      <c r="H326" s="834"/>
    </row>
    <row r="327" spans="1:8">
      <c r="A327" s="834" t="s">
        <v>554</v>
      </c>
      <c r="B327" s="834"/>
      <c r="C327" s="834"/>
      <c r="D327" s="834"/>
      <c r="E327" s="834"/>
      <c r="F327" s="834"/>
      <c r="G327" s="834"/>
      <c r="H327" s="834"/>
    </row>
    <row r="328" spans="1:8">
      <c r="A328" s="834" t="s">
        <v>555</v>
      </c>
      <c r="B328" s="834"/>
      <c r="C328" s="834"/>
      <c r="D328" s="834"/>
      <c r="E328" s="834"/>
      <c r="F328" s="834"/>
      <c r="G328" s="834"/>
      <c r="H328" s="834"/>
    </row>
    <row r="329" spans="1:8">
      <c r="A329" s="834" t="s">
        <v>556</v>
      </c>
      <c r="B329" s="834"/>
      <c r="C329" s="834"/>
      <c r="D329" s="834"/>
      <c r="E329" s="834"/>
      <c r="F329" s="834"/>
      <c r="G329" s="834"/>
      <c r="H329" s="834"/>
    </row>
    <row r="330" spans="1:8">
      <c r="A330" s="834" t="s">
        <v>557</v>
      </c>
      <c r="B330" s="834"/>
      <c r="C330" s="834"/>
      <c r="D330" s="834"/>
      <c r="E330" s="834"/>
      <c r="F330" s="834"/>
      <c r="G330" s="834"/>
      <c r="H330" s="834"/>
    </row>
    <row r="331" spans="1:8">
      <c r="A331" s="834"/>
      <c r="B331" s="834"/>
      <c r="C331" s="834"/>
      <c r="D331" s="834"/>
      <c r="E331" s="834"/>
      <c r="F331" s="834"/>
      <c r="G331" s="834"/>
      <c r="H331" s="834"/>
    </row>
    <row r="332" spans="1:8">
      <c r="A332" s="834" t="s">
        <v>558</v>
      </c>
      <c r="B332" s="834"/>
      <c r="C332" s="834"/>
      <c r="D332" s="834"/>
      <c r="E332" s="834"/>
      <c r="F332" s="834"/>
      <c r="G332" s="834"/>
      <c r="H332" s="834"/>
    </row>
    <row r="333" spans="1:8">
      <c r="A333" s="834" t="s">
        <v>559</v>
      </c>
      <c r="B333" s="834"/>
      <c r="C333" s="834"/>
      <c r="D333" s="834"/>
      <c r="E333" s="834"/>
      <c r="F333" s="834"/>
      <c r="G333" s="834"/>
      <c r="H333" s="834"/>
    </row>
    <row r="334" spans="1:8">
      <c r="A334" s="834"/>
      <c r="B334" s="834"/>
      <c r="C334" s="834"/>
      <c r="D334" s="834"/>
      <c r="E334" s="834"/>
      <c r="F334" s="834"/>
      <c r="G334" s="834"/>
      <c r="H334" s="834"/>
    </row>
    <row r="335" spans="1:8">
      <c r="A335" s="834" t="s">
        <v>560</v>
      </c>
      <c r="B335" s="834"/>
      <c r="C335" s="834"/>
      <c r="D335" s="834"/>
      <c r="E335" s="834"/>
      <c r="F335" s="834"/>
      <c r="G335" s="834"/>
      <c r="H335" s="834"/>
    </row>
    <row r="336" spans="1:8">
      <c r="A336" s="834" t="s">
        <v>561</v>
      </c>
      <c r="B336" s="834"/>
      <c r="C336" s="834"/>
      <c r="D336" s="834"/>
      <c r="E336" s="834"/>
      <c r="F336" s="834"/>
      <c r="G336" s="834"/>
      <c r="H336" s="834"/>
    </row>
    <row r="337" spans="1:8">
      <c r="A337" s="834" t="s">
        <v>562</v>
      </c>
      <c r="B337" s="834"/>
      <c r="C337" s="834"/>
      <c r="D337" s="834"/>
      <c r="E337" s="834"/>
      <c r="F337" s="834"/>
      <c r="G337" s="834"/>
      <c r="H337" s="834"/>
    </row>
    <row r="338" spans="1:8">
      <c r="A338" s="834" t="s">
        <v>563</v>
      </c>
      <c r="B338" s="834"/>
      <c r="C338" s="834"/>
      <c r="D338" s="834"/>
      <c r="E338" s="834"/>
      <c r="F338" s="834"/>
      <c r="G338" s="834"/>
      <c r="H338" s="834"/>
    </row>
    <row r="339" spans="1:8">
      <c r="A339" s="834" t="s">
        <v>564</v>
      </c>
      <c r="B339" s="834"/>
      <c r="C339" s="834"/>
      <c r="D339" s="834"/>
      <c r="E339" s="834"/>
      <c r="F339" s="834"/>
      <c r="G339" s="834"/>
      <c r="H339" s="834"/>
    </row>
    <row r="340" spans="1:8">
      <c r="A340" s="834" t="s">
        <v>565</v>
      </c>
      <c r="B340" s="834"/>
      <c r="C340" s="834"/>
      <c r="D340" s="834"/>
      <c r="E340" s="834"/>
      <c r="F340" s="834"/>
      <c r="G340" s="834"/>
      <c r="H340" s="834"/>
    </row>
    <row r="341" spans="1:8">
      <c r="A341" s="834" t="s">
        <v>566</v>
      </c>
      <c r="B341" s="834"/>
      <c r="C341" s="834"/>
      <c r="D341" s="834"/>
      <c r="E341" s="834"/>
      <c r="F341" s="834"/>
      <c r="G341" s="834"/>
      <c r="H341" s="834"/>
    </row>
    <row r="342" spans="1:8">
      <c r="A342" s="834" t="s">
        <v>567</v>
      </c>
      <c r="B342" s="834"/>
      <c r="C342" s="834"/>
      <c r="D342" s="834"/>
      <c r="E342" s="834"/>
      <c r="F342" s="834"/>
      <c r="G342" s="834"/>
      <c r="H342" s="834"/>
    </row>
    <row r="343" spans="1:8">
      <c r="A343" s="834"/>
      <c r="B343" s="834"/>
      <c r="C343" s="834"/>
      <c r="D343" s="834"/>
      <c r="E343" s="834"/>
      <c r="F343" s="834"/>
      <c r="G343" s="834"/>
      <c r="H343" s="834"/>
    </row>
    <row r="344" spans="1:8">
      <c r="A344" s="834" t="s">
        <v>568</v>
      </c>
      <c r="B344" s="834"/>
      <c r="C344" s="834"/>
      <c r="D344" s="834"/>
      <c r="E344" s="834"/>
      <c r="F344" s="834"/>
      <c r="G344" s="834"/>
      <c r="H344" s="834"/>
    </row>
    <row r="345" spans="1:8">
      <c r="A345" s="834" t="s">
        <v>569</v>
      </c>
      <c r="B345" s="834"/>
      <c r="C345" s="834"/>
      <c r="D345" s="834"/>
      <c r="E345" s="834"/>
      <c r="F345" s="834"/>
      <c r="G345" s="834"/>
      <c r="H345" s="834"/>
    </row>
    <row r="346" spans="1:8">
      <c r="A346" s="834" t="s">
        <v>570</v>
      </c>
      <c r="B346" s="834"/>
      <c r="C346" s="834"/>
      <c r="D346" s="834"/>
      <c r="E346" s="834"/>
      <c r="F346" s="834"/>
      <c r="G346" s="834"/>
      <c r="H346" s="834"/>
    </row>
    <row r="347" spans="1:8">
      <c r="A347" s="834" t="s">
        <v>571</v>
      </c>
      <c r="B347" s="834"/>
      <c r="C347" s="834"/>
      <c r="D347" s="834"/>
      <c r="E347" s="834"/>
      <c r="F347" s="834"/>
      <c r="G347" s="834"/>
      <c r="H347" s="834"/>
    </row>
    <row r="348" spans="1:8">
      <c r="A348" s="834" t="s">
        <v>572</v>
      </c>
      <c r="B348" s="834"/>
      <c r="C348" s="834"/>
      <c r="D348" s="834"/>
      <c r="E348" s="834"/>
      <c r="F348" s="834"/>
      <c r="G348" s="834"/>
      <c r="H348" s="834"/>
    </row>
    <row r="349" spans="1:8">
      <c r="A349" s="834" t="s">
        <v>573</v>
      </c>
      <c r="B349" s="834"/>
      <c r="C349" s="834"/>
      <c r="D349" s="834"/>
      <c r="E349" s="834"/>
      <c r="F349" s="834"/>
      <c r="G349" s="834"/>
      <c r="H349" s="834"/>
    </row>
    <row r="350" spans="1:8">
      <c r="A350" s="834" t="s">
        <v>574</v>
      </c>
      <c r="B350" s="834"/>
      <c r="C350" s="834"/>
      <c r="D350" s="834"/>
      <c r="E350" s="834"/>
      <c r="F350" s="834"/>
      <c r="G350" s="834"/>
      <c r="H350" s="834"/>
    </row>
    <row r="351" spans="1:8">
      <c r="A351" s="834" t="s">
        <v>575</v>
      </c>
      <c r="B351" s="834"/>
      <c r="C351" s="834"/>
      <c r="D351" s="834"/>
      <c r="E351" s="834"/>
      <c r="F351" s="834"/>
      <c r="G351" s="834"/>
      <c r="H351" s="834"/>
    </row>
    <row r="352" spans="1:8">
      <c r="A352" s="834" t="s">
        <v>576</v>
      </c>
      <c r="B352" s="834"/>
      <c r="C352" s="834"/>
      <c r="D352" s="834"/>
      <c r="E352" s="834"/>
      <c r="F352" s="834"/>
      <c r="G352" s="834"/>
      <c r="H352" s="834"/>
    </row>
    <row r="353" spans="1:8">
      <c r="A353" s="834" t="s">
        <v>577</v>
      </c>
      <c r="B353" s="834"/>
      <c r="C353" s="834"/>
      <c r="D353" s="834"/>
      <c r="E353" s="834"/>
      <c r="F353" s="834"/>
      <c r="G353" s="834"/>
      <c r="H353" s="834"/>
    </row>
    <row r="354" spans="1:8">
      <c r="A354" s="834" t="s">
        <v>578</v>
      </c>
      <c r="B354" s="834"/>
      <c r="C354" s="834"/>
      <c r="D354" s="834"/>
      <c r="E354" s="834"/>
      <c r="F354" s="834"/>
      <c r="G354" s="834"/>
      <c r="H354" s="834"/>
    </row>
    <row r="355" spans="1:8">
      <c r="A355" s="834" t="s">
        <v>579</v>
      </c>
      <c r="B355" s="834"/>
      <c r="C355" s="834"/>
      <c r="D355" s="834"/>
      <c r="E355" s="834"/>
      <c r="F355" s="834"/>
      <c r="G355" s="834"/>
      <c r="H355" s="834"/>
    </row>
    <row r="356" spans="1:8">
      <c r="A356" s="834" t="s">
        <v>580</v>
      </c>
      <c r="B356" s="834"/>
      <c r="C356" s="834"/>
      <c r="D356" s="834"/>
      <c r="E356" s="834"/>
      <c r="F356" s="834"/>
      <c r="G356" s="834"/>
      <c r="H356" s="834"/>
    </row>
    <row r="357" spans="1:8">
      <c r="A357" s="834" t="s">
        <v>581</v>
      </c>
      <c r="B357" s="834"/>
      <c r="C357" s="834"/>
      <c r="D357" s="834"/>
      <c r="E357" s="834"/>
      <c r="F357" s="834"/>
      <c r="G357" s="834"/>
      <c r="H357" s="834"/>
    </row>
    <row r="358" spans="1:8">
      <c r="A358" s="834" t="s">
        <v>582</v>
      </c>
      <c r="B358" s="834"/>
      <c r="C358" s="834"/>
      <c r="D358" s="834"/>
      <c r="E358" s="834"/>
      <c r="F358" s="834"/>
      <c r="G358" s="834"/>
      <c r="H358" s="834"/>
    </row>
    <row r="359" spans="1:8">
      <c r="A359" s="834" t="s">
        <v>583</v>
      </c>
      <c r="B359" s="834"/>
      <c r="C359" s="834"/>
      <c r="D359" s="834"/>
      <c r="E359" s="834"/>
      <c r="F359" s="834"/>
      <c r="G359" s="834"/>
      <c r="H359" s="834"/>
    </row>
    <row r="360" spans="1:8">
      <c r="A360" s="834" t="s">
        <v>584</v>
      </c>
      <c r="B360" s="834"/>
      <c r="C360" s="834"/>
      <c r="D360" s="834"/>
      <c r="E360" s="834"/>
      <c r="F360" s="834"/>
      <c r="G360" s="834"/>
      <c r="H360" s="834"/>
    </row>
    <row r="361" spans="1:8">
      <c r="A361" s="834" t="s">
        <v>585</v>
      </c>
      <c r="B361" s="834"/>
      <c r="C361" s="834"/>
      <c r="D361" s="834"/>
      <c r="E361" s="834"/>
      <c r="F361" s="834"/>
      <c r="G361" s="834"/>
      <c r="H361" s="834"/>
    </row>
    <row r="362" spans="1:8">
      <c r="A362" s="834" t="s">
        <v>586</v>
      </c>
      <c r="B362" s="834"/>
      <c r="C362" s="834"/>
      <c r="D362" s="834"/>
      <c r="E362" s="834"/>
      <c r="F362" s="834"/>
      <c r="G362" s="834"/>
      <c r="H362" s="834"/>
    </row>
    <row r="363" spans="1:8">
      <c r="A363" s="834" t="s">
        <v>587</v>
      </c>
      <c r="B363" s="834"/>
      <c r="C363" s="834"/>
      <c r="D363" s="834"/>
      <c r="E363" s="834"/>
      <c r="F363" s="834"/>
      <c r="G363" s="834"/>
      <c r="H363" s="834"/>
    </row>
    <row r="364" spans="1:8">
      <c r="A364" s="834" t="s">
        <v>588</v>
      </c>
      <c r="B364" s="834"/>
      <c r="C364" s="834"/>
      <c r="D364" s="834"/>
      <c r="E364" s="834"/>
      <c r="F364" s="834"/>
      <c r="G364" s="834"/>
      <c r="H364" s="834"/>
    </row>
    <row r="365" spans="1:8">
      <c r="A365" s="834" t="s">
        <v>589</v>
      </c>
      <c r="B365" s="834"/>
      <c r="C365" s="834"/>
      <c r="D365" s="834"/>
      <c r="E365" s="834"/>
      <c r="F365" s="834"/>
      <c r="G365" s="834"/>
      <c r="H365" s="834"/>
    </row>
    <row r="366" spans="1:8">
      <c r="A366" s="834" t="s">
        <v>590</v>
      </c>
      <c r="B366" s="834"/>
      <c r="C366" s="834"/>
      <c r="D366" s="834"/>
      <c r="E366" s="834"/>
      <c r="F366" s="834"/>
      <c r="G366" s="834"/>
      <c r="H366" s="834"/>
    </row>
    <row r="367" spans="1:8">
      <c r="A367" s="834" t="s">
        <v>591</v>
      </c>
      <c r="B367" s="834"/>
      <c r="C367" s="834"/>
      <c r="D367" s="834"/>
      <c r="E367" s="834"/>
      <c r="F367" s="834"/>
      <c r="G367" s="834"/>
      <c r="H367" s="834"/>
    </row>
    <row r="368" spans="1:8">
      <c r="A368" s="834" t="s">
        <v>592</v>
      </c>
      <c r="B368" s="834"/>
      <c r="C368" s="834"/>
      <c r="D368" s="834"/>
      <c r="E368" s="834"/>
      <c r="F368" s="834"/>
      <c r="G368" s="834"/>
      <c r="H368" s="834"/>
    </row>
    <row r="369" spans="1:8">
      <c r="A369" s="834" t="s">
        <v>593</v>
      </c>
      <c r="B369" s="834"/>
      <c r="C369" s="834"/>
      <c r="D369" s="834"/>
      <c r="E369" s="834"/>
      <c r="F369" s="834"/>
      <c r="G369" s="834"/>
      <c r="H369" s="834"/>
    </row>
    <row r="370" spans="1:8">
      <c r="A370" s="834" t="s">
        <v>594</v>
      </c>
      <c r="B370" s="834"/>
      <c r="C370" s="834"/>
      <c r="D370" s="834"/>
      <c r="E370" s="834"/>
      <c r="F370" s="834"/>
      <c r="G370" s="834"/>
      <c r="H370" s="834"/>
    </row>
    <row r="371" spans="1:8">
      <c r="A371" s="834" t="s">
        <v>595</v>
      </c>
      <c r="B371" s="834"/>
      <c r="C371" s="834"/>
      <c r="D371" s="834"/>
      <c r="E371" s="834"/>
      <c r="F371" s="834"/>
      <c r="G371" s="834"/>
      <c r="H371" s="834"/>
    </row>
    <row r="372" spans="1:8">
      <c r="A372" s="834" t="s">
        <v>596</v>
      </c>
      <c r="B372" s="834"/>
      <c r="C372" s="834"/>
      <c r="D372" s="834"/>
      <c r="E372" s="834"/>
      <c r="F372" s="834"/>
      <c r="G372" s="834"/>
      <c r="H372" s="834"/>
    </row>
    <row r="373" spans="1:8">
      <c r="A373" s="834" t="s">
        <v>597</v>
      </c>
      <c r="B373" s="834"/>
      <c r="C373" s="834"/>
      <c r="D373" s="834"/>
      <c r="E373" s="834"/>
      <c r="F373" s="834"/>
      <c r="G373" s="834"/>
      <c r="H373" s="834"/>
    </row>
    <row r="374" spans="1:8">
      <c r="A374" s="834" t="s">
        <v>598</v>
      </c>
      <c r="B374" s="834"/>
      <c r="C374" s="834"/>
      <c r="D374" s="834"/>
      <c r="E374" s="834"/>
      <c r="F374" s="834"/>
      <c r="G374" s="834"/>
      <c r="H374" s="834"/>
    </row>
    <row r="375" spans="1:8">
      <c r="A375" s="834" t="s">
        <v>599</v>
      </c>
      <c r="B375" s="834"/>
      <c r="C375" s="834"/>
      <c r="D375" s="834"/>
      <c r="E375" s="834"/>
      <c r="F375" s="834"/>
      <c r="G375" s="834"/>
      <c r="H375" s="834"/>
    </row>
    <row r="376" spans="1:8">
      <c r="A376" s="834" t="s">
        <v>600</v>
      </c>
      <c r="B376" s="834"/>
      <c r="C376" s="834"/>
      <c r="D376" s="834"/>
      <c r="E376" s="834"/>
      <c r="F376" s="834"/>
      <c r="G376" s="834"/>
      <c r="H376" s="834"/>
    </row>
    <row r="377" spans="1:8">
      <c r="A377" s="834" t="s">
        <v>601</v>
      </c>
      <c r="B377" s="834"/>
      <c r="C377" s="834"/>
      <c r="D377" s="834"/>
      <c r="E377" s="834"/>
      <c r="F377" s="834"/>
      <c r="G377" s="834"/>
      <c r="H377" s="834"/>
    </row>
    <row r="378" spans="1:8">
      <c r="A378" s="834" t="s">
        <v>602</v>
      </c>
      <c r="B378" s="834"/>
      <c r="C378" s="834"/>
      <c r="D378" s="834"/>
      <c r="E378" s="834"/>
      <c r="F378" s="834"/>
      <c r="G378" s="834"/>
      <c r="H378" s="834"/>
    </row>
    <row r="379" spans="1:8">
      <c r="A379" s="834" t="s">
        <v>603</v>
      </c>
      <c r="B379" s="834"/>
      <c r="C379" s="834"/>
      <c r="D379" s="834"/>
      <c r="E379" s="834"/>
      <c r="F379" s="834"/>
      <c r="G379" s="834"/>
      <c r="H379" s="834"/>
    </row>
    <row r="380" spans="1:8">
      <c r="A380" s="834" t="s">
        <v>604</v>
      </c>
      <c r="B380" s="834"/>
      <c r="C380" s="834"/>
      <c r="D380" s="834"/>
      <c r="E380" s="834"/>
      <c r="F380" s="834"/>
      <c r="G380" s="834"/>
      <c r="H380" s="834"/>
    </row>
    <row r="381" spans="1:8">
      <c r="A381" s="834" t="s">
        <v>605</v>
      </c>
      <c r="B381" s="834"/>
      <c r="C381" s="834"/>
      <c r="D381" s="834"/>
      <c r="E381" s="834"/>
      <c r="F381" s="834"/>
      <c r="G381" s="834"/>
      <c r="H381" s="834"/>
    </row>
    <row r="382" spans="1:8">
      <c r="A382" s="834" t="s">
        <v>606</v>
      </c>
      <c r="B382" s="834"/>
      <c r="C382" s="834"/>
      <c r="D382" s="834"/>
      <c r="E382" s="834"/>
      <c r="F382" s="834"/>
      <c r="G382" s="834"/>
      <c r="H382" s="834"/>
    </row>
    <row r="383" spans="1:8">
      <c r="A383" s="834" t="s">
        <v>607</v>
      </c>
      <c r="B383" s="834"/>
      <c r="C383" s="834"/>
      <c r="D383" s="834"/>
      <c r="E383" s="834"/>
      <c r="F383" s="834"/>
      <c r="G383" s="834"/>
      <c r="H383" s="834"/>
    </row>
    <row r="384" spans="1:8">
      <c r="A384" s="834" t="s">
        <v>608</v>
      </c>
      <c r="B384" s="834"/>
      <c r="C384" s="834"/>
      <c r="D384" s="834"/>
      <c r="E384" s="834"/>
      <c r="F384" s="834"/>
      <c r="G384" s="834"/>
      <c r="H384" s="834"/>
    </row>
    <row r="385" spans="1:8">
      <c r="A385" s="834" t="s">
        <v>609</v>
      </c>
      <c r="B385" s="834"/>
      <c r="C385" s="834"/>
      <c r="D385" s="834"/>
      <c r="E385" s="834"/>
      <c r="F385" s="834"/>
      <c r="G385" s="834"/>
      <c r="H385" s="834"/>
    </row>
    <row r="386" spans="1:8">
      <c r="A386" s="834" t="s">
        <v>610</v>
      </c>
      <c r="B386" s="834"/>
      <c r="C386" s="834"/>
      <c r="D386" s="834"/>
      <c r="E386" s="834"/>
      <c r="F386" s="834"/>
      <c r="G386" s="834"/>
      <c r="H386" s="834"/>
    </row>
    <row r="387" spans="1:8">
      <c r="A387" s="834" t="s">
        <v>611</v>
      </c>
      <c r="B387" s="834"/>
      <c r="C387" s="834"/>
      <c r="D387" s="834"/>
      <c r="E387" s="834"/>
      <c r="F387" s="834"/>
      <c r="G387" s="834"/>
      <c r="H387" s="834"/>
    </row>
    <row r="388" spans="1:8">
      <c r="A388" s="834" t="s">
        <v>612</v>
      </c>
      <c r="B388" s="834"/>
      <c r="C388" s="834"/>
      <c r="D388" s="834"/>
      <c r="E388" s="834"/>
      <c r="F388" s="834"/>
      <c r="G388" s="834"/>
      <c r="H388" s="834"/>
    </row>
    <row r="389" spans="1:8">
      <c r="A389" s="834" t="s">
        <v>613</v>
      </c>
      <c r="B389" s="834"/>
      <c r="C389" s="834"/>
      <c r="D389" s="834"/>
      <c r="E389" s="834"/>
      <c r="F389" s="834"/>
      <c r="G389" s="834"/>
      <c r="H389" s="834"/>
    </row>
    <row r="390" spans="1:8">
      <c r="A390" s="834"/>
      <c r="B390" s="834"/>
      <c r="C390" s="834"/>
      <c r="D390" s="834"/>
      <c r="E390" s="834"/>
      <c r="F390" s="834"/>
      <c r="G390" s="834"/>
      <c r="H390" s="834"/>
    </row>
    <row r="391" spans="1:8">
      <c r="A391" s="834" t="s">
        <v>614</v>
      </c>
      <c r="B391" s="834"/>
      <c r="C391" s="834"/>
      <c r="D391" s="834"/>
      <c r="E391" s="834"/>
      <c r="F391" s="834"/>
      <c r="G391" s="834"/>
      <c r="H391" s="834"/>
    </row>
    <row r="392" spans="1:8">
      <c r="A392" s="834" t="s">
        <v>615</v>
      </c>
      <c r="B392" s="834"/>
      <c r="C392" s="834"/>
      <c r="D392" s="834"/>
      <c r="E392" s="834"/>
      <c r="F392" s="834"/>
      <c r="G392" s="834"/>
      <c r="H392" s="834"/>
    </row>
    <row r="393" spans="1:8">
      <c r="A393" s="834" t="s">
        <v>616</v>
      </c>
      <c r="B393" s="834"/>
      <c r="C393" s="834"/>
      <c r="D393" s="834"/>
      <c r="E393" s="834"/>
      <c r="F393" s="834"/>
      <c r="G393" s="834"/>
      <c r="H393" s="834"/>
    </row>
    <row r="394" spans="1:8">
      <c r="A394" s="834" t="s">
        <v>617</v>
      </c>
      <c r="B394" s="834"/>
      <c r="C394" s="834"/>
      <c r="D394" s="834"/>
      <c r="E394" s="834"/>
      <c r="F394" s="834"/>
      <c r="G394" s="834"/>
      <c r="H394" s="834"/>
    </row>
    <row r="395" spans="1:8">
      <c r="A395" s="834" t="s">
        <v>618</v>
      </c>
      <c r="B395" s="834"/>
      <c r="C395" s="834"/>
      <c r="D395" s="834"/>
      <c r="E395" s="834"/>
      <c r="F395" s="834"/>
      <c r="G395" s="834"/>
      <c r="H395" s="834"/>
    </row>
    <row r="396" spans="1:8">
      <c r="A396" s="834" t="s">
        <v>619</v>
      </c>
      <c r="B396" s="834"/>
      <c r="C396" s="834"/>
      <c r="D396" s="834"/>
      <c r="E396" s="834"/>
      <c r="F396" s="834"/>
      <c r="G396" s="834"/>
      <c r="H396" s="834"/>
    </row>
    <row r="397" spans="1:8">
      <c r="A397" s="834" t="s">
        <v>620</v>
      </c>
      <c r="B397" s="834"/>
      <c r="C397" s="834"/>
      <c r="D397" s="834"/>
      <c r="E397" s="834"/>
      <c r="F397" s="834"/>
      <c r="G397" s="834"/>
      <c r="H397" s="834"/>
    </row>
    <row r="398" spans="1:8">
      <c r="A398" s="834" t="s">
        <v>621</v>
      </c>
      <c r="B398" s="834"/>
      <c r="C398" s="834"/>
      <c r="D398" s="834"/>
      <c r="E398" s="834"/>
      <c r="F398" s="834"/>
      <c r="G398" s="834"/>
      <c r="H398" s="834"/>
    </row>
    <row r="399" spans="1:8">
      <c r="A399" s="834"/>
      <c r="B399" s="834"/>
      <c r="C399" s="834"/>
      <c r="D399" s="834"/>
      <c r="E399" s="834"/>
      <c r="F399" s="834"/>
      <c r="G399" s="834"/>
      <c r="H399" s="834"/>
    </row>
    <row r="400" spans="1:8">
      <c r="A400" s="834" t="s">
        <v>614</v>
      </c>
      <c r="B400" s="834"/>
      <c r="C400" s="834"/>
      <c r="D400" s="834"/>
      <c r="E400" s="834"/>
      <c r="F400" s="834"/>
      <c r="G400" s="834"/>
      <c r="H400" s="834"/>
    </row>
    <row r="401" spans="1:8">
      <c r="A401" s="834" t="s">
        <v>622</v>
      </c>
      <c r="B401" s="834"/>
      <c r="C401" s="834"/>
      <c r="D401" s="834"/>
      <c r="E401" s="834"/>
      <c r="F401" s="834"/>
      <c r="G401" s="834"/>
      <c r="H401" s="834"/>
    </row>
    <row r="402" spans="1:8">
      <c r="A402" s="834" t="s">
        <v>623</v>
      </c>
      <c r="B402" s="834"/>
      <c r="C402" s="834"/>
      <c r="D402" s="834"/>
      <c r="E402" s="834"/>
      <c r="F402" s="834"/>
      <c r="G402" s="834"/>
      <c r="H402" s="834"/>
    </row>
    <row r="403" spans="1:8">
      <c r="A403" s="834" t="s">
        <v>624</v>
      </c>
      <c r="B403" s="834"/>
      <c r="C403" s="834"/>
      <c r="D403" s="834"/>
      <c r="E403" s="834"/>
      <c r="F403" s="834"/>
      <c r="G403" s="834"/>
      <c r="H403" s="834"/>
    </row>
    <row r="404" spans="1:8">
      <c r="A404" s="834"/>
      <c r="B404" s="834"/>
      <c r="C404" s="834"/>
      <c r="D404" s="834"/>
      <c r="E404" s="834"/>
      <c r="F404" s="834"/>
      <c r="G404" s="834"/>
      <c r="H404" s="834"/>
    </row>
    <row r="405" spans="1:8">
      <c r="A405" s="834" t="s">
        <v>625</v>
      </c>
      <c r="B405" s="834"/>
      <c r="C405" s="834"/>
      <c r="D405" s="834"/>
      <c r="E405" s="834"/>
      <c r="F405" s="834"/>
      <c r="G405" s="834"/>
      <c r="H405" s="834"/>
    </row>
    <row r="406" spans="1:8">
      <c r="A406" s="834" t="s">
        <v>626</v>
      </c>
      <c r="B406" s="834"/>
      <c r="C406" s="834"/>
      <c r="D406" s="834"/>
      <c r="E406" s="834"/>
      <c r="F406" s="834"/>
      <c r="G406" s="834"/>
      <c r="H406" s="834"/>
    </row>
    <row r="407" spans="1:8">
      <c r="A407" s="834" t="s">
        <v>627</v>
      </c>
      <c r="B407" s="834"/>
      <c r="C407" s="834"/>
      <c r="D407" s="834"/>
      <c r="E407" s="834"/>
      <c r="F407" s="834"/>
      <c r="G407" s="834"/>
      <c r="H407" s="834"/>
    </row>
    <row r="408" spans="1:8">
      <c r="A408" s="834" t="s">
        <v>628</v>
      </c>
      <c r="B408" s="834"/>
      <c r="C408" s="834"/>
      <c r="D408" s="834"/>
      <c r="E408" s="834"/>
      <c r="F408" s="834"/>
      <c r="G408" s="834"/>
      <c r="H408" s="834"/>
    </row>
    <row r="409" spans="1:8">
      <c r="A409" s="834" t="s">
        <v>629</v>
      </c>
      <c r="B409" s="834"/>
      <c r="C409" s="834"/>
      <c r="D409" s="834"/>
      <c r="E409" s="834"/>
      <c r="F409" s="834"/>
      <c r="G409" s="834"/>
      <c r="H409" s="834"/>
    </row>
    <row r="410" spans="1:8">
      <c r="A410" s="834" t="s">
        <v>630</v>
      </c>
      <c r="B410" s="834"/>
      <c r="C410" s="834"/>
      <c r="D410" s="834"/>
      <c r="E410" s="834"/>
      <c r="F410" s="834"/>
      <c r="G410" s="834"/>
      <c r="H410" s="834"/>
    </row>
    <row r="411" spans="1:8">
      <c r="A411" s="834"/>
      <c r="B411" s="834"/>
      <c r="C411" s="834"/>
      <c r="D411" s="834"/>
      <c r="E411" s="834"/>
      <c r="F411" s="834"/>
      <c r="G411" s="834"/>
      <c r="H411" s="834"/>
    </row>
    <row r="412" spans="1:8">
      <c r="A412" s="834" t="s">
        <v>631</v>
      </c>
      <c r="B412" s="834"/>
      <c r="C412" s="834"/>
      <c r="D412" s="834"/>
      <c r="E412" s="834"/>
      <c r="F412" s="834"/>
      <c r="G412" s="834"/>
      <c r="H412" s="834"/>
    </row>
    <row r="413" spans="1:8">
      <c r="A413" s="834" t="s">
        <v>632</v>
      </c>
      <c r="B413" s="834"/>
      <c r="C413" s="834"/>
      <c r="D413" s="834"/>
      <c r="E413" s="834"/>
      <c r="F413" s="834"/>
      <c r="G413" s="834"/>
      <c r="H413" s="834"/>
    </row>
    <row r="414" spans="1:8">
      <c r="A414" s="834" t="s">
        <v>633</v>
      </c>
      <c r="B414" s="834"/>
      <c r="C414" s="834"/>
      <c r="D414" s="834"/>
      <c r="E414" s="834"/>
      <c r="F414" s="834"/>
      <c r="G414" s="834"/>
      <c r="H414" s="834"/>
    </row>
    <row r="415" spans="1:8">
      <c r="A415" s="834" t="s">
        <v>634</v>
      </c>
      <c r="B415" s="834"/>
      <c r="C415" s="834"/>
      <c r="D415" s="834"/>
      <c r="E415" s="834"/>
      <c r="F415" s="834"/>
      <c r="G415" s="834"/>
      <c r="H415" s="834"/>
    </row>
    <row r="416" spans="1:8">
      <c r="A416" s="834" t="s">
        <v>635</v>
      </c>
      <c r="B416" s="834"/>
      <c r="C416" s="834"/>
      <c r="D416" s="834"/>
      <c r="E416" s="834"/>
      <c r="F416" s="834"/>
      <c r="G416" s="834"/>
      <c r="H416" s="834"/>
    </row>
    <row r="417" spans="1:8">
      <c r="A417" s="834"/>
      <c r="B417" s="834"/>
      <c r="C417" s="834"/>
      <c r="D417" s="834"/>
      <c r="E417" s="834"/>
      <c r="F417" s="834"/>
      <c r="G417" s="834"/>
      <c r="H417" s="834"/>
    </row>
    <row r="418" spans="1:8">
      <c r="A418" s="834" t="s">
        <v>636</v>
      </c>
      <c r="B418" s="834"/>
      <c r="C418" s="834"/>
      <c r="D418" s="834"/>
      <c r="E418" s="834"/>
      <c r="F418" s="834"/>
      <c r="G418" s="834"/>
      <c r="H418" s="834"/>
    </row>
    <row r="419" spans="1:8">
      <c r="A419" s="834" t="s">
        <v>637</v>
      </c>
      <c r="B419" s="834"/>
      <c r="C419" s="834"/>
      <c r="D419" s="834"/>
      <c r="E419" s="834"/>
      <c r="F419" s="834"/>
      <c r="G419" s="834"/>
      <c r="H419" s="834"/>
    </row>
    <row r="420" spans="1:8">
      <c r="A420" s="834"/>
      <c r="B420" s="834"/>
      <c r="C420" s="834"/>
      <c r="D420" s="834"/>
      <c r="E420" s="834"/>
      <c r="F420" s="834"/>
      <c r="G420" s="834"/>
      <c r="H420" s="834"/>
    </row>
    <row r="421" spans="1:8">
      <c r="A421" s="834" t="s">
        <v>638</v>
      </c>
      <c r="B421" s="834"/>
      <c r="C421" s="834"/>
      <c r="D421" s="834"/>
      <c r="E421" s="834"/>
      <c r="F421" s="834"/>
      <c r="G421" s="834"/>
      <c r="H421" s="834"/>
    </row>
    <row r="422" spans="1:8">
      <c r="A422" s="834" t="s">
        <v>639</v>
      </c>
      <c r="B422" s="834"/>
      <c r="C422" s="834"/>
      <c r="D422" s="834"/>
      <c r="E422" s="834"/>
      <c r="F422" s="834"/>
      <c r="G422" s="834"/>
      <c r="H422" s="834"/>
    </row>
    <row r="423" spans="1:8">
      <c r="A423" s="834"/>
      <c r="B423" s="834"/>
      <c r="C423" s="834"/>
      <c r="D423" s="834"/>
      <c r="E423" s="834"/>
      <c r="F423" s="834"/>
      <c r="G423" s="834"/>
      <c r="H423" s="834"/>
    </row>
    <row r="424" spans="1:8">
      <c r="A424" s="834" t="s">
        <v>640</v>
      </c>
      <c r="B424" s="834"/>
      <c r="C424" s="834"/>
      <c r="D424" s="834"/>
      <c r="E424" s="834"/>
      <c r="F424" s="834"/>
      <c r="G424" s="834"/>
      <c r="H424" s="834"/>
    </row>
    <row r="425" spans="1:8">
      <c r="A425" s="834" t="s">
        <v>641</v>
      </c>
      <c r="B425" s="834"/>
      <c r="C425" s="834"/>
      <c r="D425" s="834"/>
      <c r="E425" s="834"/>
      <c r="F425" s="834"/>
      <c r="G425" s="834"/>
      <c r="H425" s="834"/>
    </row>
    <row r="426" spans="1:8">
      <c r="A426" s="834" t="s">
        <v>642</v>
      </c>
      <c r="B426" s="834"/>
      <c r="C426" s="834"/>
      <c r="D426" s="834"/>
      <c r="E426" s="834"/>
      <c r="F426" s="834"/>
      <c r="G426" s="834"/>
      <c r="H426" s="834"/>
    </row>
    <row r="427" spans="1:8">
      <c r="A427" s="834" t="s">
        <v>643</v>
      </c>
      <c r="B427" s="834"/>
      <c r="C427" s="834"/>
      <c r="D427" s="834"/>
      <c r="E427" s="834"/>
      <c r="F427" s="834"/>
      <c r="G427" s="834"/>
      <c r="H427" s="834"/>
    </row>
    <row r="428" spans="1:8">
      <c r="A428" s="834"/>
      <c r="B428" s="834"/>
      <c r="C428" s="834"/>
      <c r="D428" s="834"/>
      <c r="E428" s="834"/>
      <c r="F428" s="834"/>
      <c r="G428" s="834"/>
      <c r="H428" s="834"/>
    </row>
    <row r="429" spans="1:8">
      <c r="A429" s="834" t="s">
        <v>644</v>
      </c>
      <c r="B429" s="834"/>
      <c r="C429" s="834"/>
      <c r="D429" s="834"/>
      <c r="E429" s="834"/>
      <c r="F429" s="834"/>
      <c r="G429" s="834"/>
      <c r="H429" s="834"/>
    </row>
    <row r="430" spans="1:8">
      <c r="A430" s="834" t="s">
        <v>645</v>
      </c>
      <c r="B430" s="834"/>
      <c r="C430" s="834"/>
      <c r="D430" s="834"/>
      <c r="E430" s="834"/>
      <c r="F430" s="834"/>
      <c r="G430" s="834"/>
      <c r="H430" s="834"/>
    </row>
    <row r="431" spans="1:8">
      <c r="A431" s="834"/>
      <c r="B431" s="834"/>
      <c r="C431" s="834"/>
      <c r="D431" s="834"/>
      <c r="E431" s="834"/>
      <c r="F431" s="834"/>
      <c r="G431" s="834"/>
      <c r="H431" s="834"/>
    </row>
    <row r="432" spans="1:8">
      <c r="A432" s="834" t="s">
        <v>646</v>
      </c>
      <c r="B432" s="834"/>
      <c r="C432" s="834"/>
      <c r="D432" s="834"/>
      <c r="E432" s="834"/>
      <c r="F432" s="834"/>
      <c r="G432" s="834"/>
      <c r="H432" s="834"/>
    </row>
    <row r="433" spans="1:8">
      <c r="A433" s="834" t="s">
        <v>647</v>
      </c>
      <c r="B433" s="834"/>
      <c r="C433" s="834"/>
      <c r="D433" s="834"/>
      <c r="E433" s="834"/>
      <c r="F433" s="834"/>
      <c r="G433" s="834"/>
      <c r="H433" s="834"/>
    </row>
    <row r="434" spans="1:8">
      <c r="A434" s="834" t="s">
        <v>648</v>
      </c>
      <c r="B434" s="834"/>
      <c r="C434" s="834"/>
      <c r="D434" s="834"/>
      <c r="E434" s="834"/>
      <c r="F434" s="834"/>
      <c r="G434" s="834"/>
      <c r="H434" s="834"/>
    </row>
    <row r="435" spans="1:8">
      <c r="A435" s="834" t="s">
        <v>649</v>
      </c>
      <c r="B435" s="834"/>
      <c r="C435" s="834"/>
      <c r="D435" s="834"/>
      <c r="E435" s="834"/>
      <c r="F435" s="834"/>
      <c r="G435" s="834"/>
      <c r="H435" s="834"/>
    </row>
    <row r="437" spans="1:8">
      <c r="A437" s="830" t="s">
        <v>650</v>
      </c>
    </row>
  </sheetData>
  <mergeCells count="3">
    <mergeCell ref="B135:C135"/>
    <mergeCell ref="D135:F135"/>
    <mergeCell ref="G135:H13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7">
    <tabColor rgb="FFFF0000"/>
    <pageSetUpPr fitToPage="1"/>
  </sheetPr>
  <dimension ref="A1:AM218"/>
  <sheetViews>
    <sheetView showGridLines="0" topLeftCell="B1" zoomScale="80" zoomScaleNormal="80" workbookViewId="0">
      <pane xSplit="3" ySplit="6" topLeftCell="M7" activePane="bottomRight" state="frozen"/>
      <selection activeCell="B1" sqref="B1"/>
      <selection pane="topRight" activeCell="D1" sqref="D1"/>
      <selection pane="bottomLeft" activeCell="B5" sqref="B5"/>
      <selection pane="bottomRight" activeCell="P7" sqref="P7"/>
    </sheetView>
  </sheetViews>
  <sheetFormatPr defaultColWidth="9.109375" defaultRowHeight="13.8" outlineLevelCol="1"/>
  <cols>
    <col min="1" max="1" width="9.109375" style="1"/>
    <col min="2" max="2" width="4.44140625" style="1" customWidth="1"/>
    <col min="3" max="3" width="39" style="1" customWidth="1"/>
    <col min="4" max="4" width="9.33203125" style="2" customWidth="1"/>
    <col min="5" max="9" width="7.88671875" style="1" hidden="1" customWidth="1" outlineLevel="1"/>
    <col min="10" max="10" width="7.88671875" style="25" hidden="1" customWidth="1" outlineLevel="1"/>
    <col min="11" max="12" width="7.88671875" style="73" hidden="1" customWidth="1" outlineLevel="1"/>
    <col min="13" max="13" width="7.88671875" style="73" customWidth="1" collapsed="1"/>
    <col min="14" max="15" width="7.88671875" style="73" customWidth="1"/>
    <col min="16" max="16" width="7.88671875" style="463" customWidth="1"/>
    <col min="17" max="25" width="7.88671875" style="73" customWidth="1"/>
    <col min="26" max="26" width="7.88671875" style="245" customWidth="1"/>
    <col min="27" max="27" width="9.109375" style="25"/>
    <col min="28" max="30" width="9.109375" style="191"/>
    <col min="31" max="16384" width="9.109375" style="378"/>
  </cols>
  <sheetData>
    <row r="1" spans="1:30">
      <c r="I1" s="457"/>
    </row>
    <row r="2" spans="1:30" ht="15.6">
      <c r="C2" s="171" t="s">
        <v>242</v>
      </c>
      <c r="E2" s="3"/>
      <c r="F2" s="186"/>
      <c r="G2" s="186"/>
      <c r="H2" s="3"/>
      <c r="I2" s="3"/>
      <c r="K2" s="367"/>
      <c r="L2" s="36"/>
      <c r="M2" s="682"/>
      <c r="N2" s="682"/>
      <c r="O2" s="682"/>
      <c r="P2" s="656"/>
      <c r="Q2" s="71"/>
      <c r="R2" s="71"/>
      <c r="S2" s="71"/>
      <c r="T2" s="71"/>
      <c r="U2" s="71"/>
      <c r="V2" s="71"/>
      <c r="W2" s="71"/>
      <c r="X2" s="71"/>
      <c r="Y2" s="71"/>
      <c r="Z2" s="247"/>
    </row>
    <row r="3" spans="1:30" ht="15.6">
      <c r="C3" s="572">
        <v>5.28</v>
      </c>
      <c r="E3" s="26"/>
      <c r="F3" s="26"/>
      <c r="G3" s="26"/>
      <c r="H3" s="26"/>
      <c r="I3" s="26"/>
      <c r="J3" s="40"/>
      <c r="K3" s="15"/>
      <c r="L3" s="75"/>
      <c r="M3" s="75"/>
      <c r="N3" s="75"/>
      <c r="O3" s="75"/>
      <c r="P3" s="263"/>
      <c r="Q3" s="48"/>
      <c r="R3" s="48"/>
      <c r="S3" s="48"/>
      <c r="T3" s="48"/>
      <c r="U3" s="48"/>
      <c r="V3" s="48"/>
      <c r="W3" s="48"/>
      <c r="X3" s="48"/>
      <c r="Y3" s="48"/>
      <c r="Z3" s="249"/>
    </row>
    <row r="4" spans="1:30">
      <c r="C4" s="170"/>
      <c r="K4" s="367"/>
      <c r="L4" s="36"/>
      <c r="M4" s="36"/>
      <c r="N4" s="36"/>
      <c r="O4" s="36"/>
      <c r="P4" s="510"/>
      <c r="Q4" s="49"/>
      <c r="R4" s="49"/>
      <c r="S4" s="49"/>
      <c r="T4" s="49"/>
      <c r="U4" s="49"/>
      <c r="V4" s="49"/>
      <c r="W4" s="49"/>
      <c r="X4" s="49"/>
      <c r="Y4" s="49"/>
      <c r="Z4" s="247"/>
    </row>
    <row r="5" spans="1:30">
      <c r="C5" s="699" t="s">
        <v>243</v>
      </c>
      <c r="D5" s="700"/>
      <c r="E5" s="701"/>
      <c r="F5" s="701"/>
      <c r="G5" s="701"/>
      <c r="H5" s="701"/>
      <c r="I5" s="701"/>
      <c r="J5" s="702"/>
      <c r="K5" s="703"/>
      <c r="L5" s="703"/>
      <c r="M5" s="703"/>
      <c r="N5" s="703"/>
      <c r="O5" s="703"/>
      <c r="P5" s="704"/>
      <c r="Q5" s="703"/>
      <c r="R5" s="703"/>
      <c r="S5" s="703"/>
      <c r="T5" s="703"/>
      <c r="U5" s="703"/>
      <c r="V5" s="703"/>
      <c r="W5" s="703"/>
      <c r="X5" s="703"/>
      <c r="Y5" s="703"/>
      <c r="Z5" s="705" t="s">
        <v>315</v>
      </c>
    </row>
    <row r="6" spans="1:30">
      <c r="C6" s="706"/>
      <c r="D6" s="707" t="s">
        <v>113</v>
      </c>
      <c r="E6" s="708" t="s">
        <v>114</v>
      </c>
      <c r="F6" s="708" t="s">
        <v>115</v>
      </c>
      <c r="G6" s="708" t="s">
        <v>116</v>
      </c>
      <c r="H6" s="708" t="s">
        <v>117</v>
      </c>
      <c r="I6" s="708" t="s">
        <v>118</v>
      </c>
      <c r="J6" s="708" t="s">
        <v>119</v>
      </c>
      <c r="K6" s="708" t="s">
        <v>236</v>
      </c>
      <c r="L6" s="708" t="s">
        <v>239</v>
      </c>
      <c r="M6" s="708" t="s">
        <v>290</v>
      </c>
      <c r="N6" s="708" t="s">
        <v>294</v>
      </c>
      <c r="O6" s="708" t="s">
        <v>295</v>
      </c>
      <c r="P6" s="709" t="s">
        <v>305</v>
      </c>
      <c r="Q6" s="708" t="s">
        <v>201</v>
      </c>
      <c r="R6" s="708" t="s">
        <v>202</v>
      </c>
      <c r="S6" s="708" t="s">
        <v>203</v>
      </c>
      <c r="T6" s="708" t="s">
        <v>204</v>
      </c>
      <c r="U6" s="708" t="s">
        <v>237</v>
      </c>
      <c r="V6" s="708" t="s">
        <v>238</v>
      </c>
      <c r="W6" s="708" t="s">
        <v>289</v>
      </c>
      <c r="X6" s="708" t="s">
        <v>304</v>
      </c>
      <c r="Y6" s="708" t="s">
        <v>314</v>
      </c>
      <c r="Z6" s="710" t="s">
        <v>195</v>
      </c>
    </row>
    <row r="7" spans="1:30">
      <c r="Q7" s="71"/>
      <c r="R7" s="71"/>
      <c r="S7" s="71"/>
      <c r="T7" s="71"/>
      <c r="U7" s="71"/>
      <c r="V7" s="71"/>
      <c r="W7" s="71"/>
      <c r="X7" s="71"/>
      <c r="Y7" s="71"/>
      <c r="Z7" s="247"/>
    </row>
    <row r="8" spans="1:30" s="376" customFormat="1" ht="18">
      <c r="A8" s="355"/>
      <c r="B8" s="355"/>
      <c r="C8" s="711" t="s">
        <v>120</v>
      </c>
      <c r="D8" s="712"/>
      <c r="E8" s="713"/>
      <c r="F8" s="713"/>
      <c r="G8" s="713"/>
      <c r="H8" s="713"/>
      <c r="I8" s="713"/>
      <c r="J8" s="714"/>
      <c r="K8" s="715"/>
      <c r="L8" s="715"/>
      <c r="M8" s="715"/>
      <c r="N8" s="715"/>
      <c r="O8" s="715"/>
      <c r="P8" s="716"/>
      <c r="Q8" s="717"/>
      <c r="R8" s="717"/>
      <c r="S8" s="717"/>
      <c r="T8" s="717"/>
      <c r="U8" s="717"/>
      <c r="V8" s="717"/>
      <c r="W8" s="717"/>
      <c r="X8" s="717"/>
      <c r="Y8" s="717"/>
      <c r="Z8" s="718"/>
      <c r="AA8" s="356"/>
      <c r="AB8" s="377"/>
      <c r="AC8" s="377"/>
      <c r="AD8" s="377"/>
    </row>
    <row r="9" spans="1:30" ht="18">
      <c r="C9" s="181"/>
      <c r="Q9" s="71"/>
      <c r="R9" s="71"/>
      <c r="S9" s="71"/>
      <c r="T9" s="71"/>
      <c r="U9" s="71"/>
      <c r="V9" s="71"/>
      <c r="W9" s="71"/>
      <c r="X9" s="71"/>
      <c r="Y9" s="71"/>
      <c r="Z9" s="247"/>
    </row>
    <row r="10" spans="1:30">
      <c r="C10" s="190" t="s">
        <v>121</v>
      </c>
      <c r="Q10" s="71"/>
      <c r="R10" s="71"/>
      <c r="S10" s="71"/>
      <c r="T10" s="71"/>
      <c r="U10" s="71"/>
      <c r="V10" s="71"/>
      <c r="W10" s="71"/>
      <c r="X10" s="71"/>
      <c r="Y10" s="71"/>
      <c r="Z10" s="247"/>
      <c r="AA10" s="356"/>
    </row>
    <row r="11" spans="1:30">
      <c r="C11" s="212" t="s">
        <v>244</v>
      </c>
      <c r="D11" s="2" t="s">
        <v>256</v>
      </c>
      <c r="E11" s="351"/>
      <c r="F11" s="351"/>
      <c r="G11" s="351"/>
      <c r="H11" s="351">
        <v>0</v>
      </c>
      <c r="I11" s="186">
        <v>0</v>
      </c>
      <c r="J11" s="206">
        <v>0</v>
      </c>
      <c r="K11" s="507">
        <v>0</v>
      </c>
      <c r="L11" s="507">
        <f>0.91*L14</f>
        <v>29.392999999999997</v>
      </c>
      <c r="M11" s="450">
        <v>56.587000000000003</v>
      </c>
      <c r="N11" s="450">
        <v>85.606999999999999</v>
      </c>
      <c r="O11" s="450">
        <v>116.505</v>
      </c>
      <c r="P11" s="295">
        <v>144.626</v>
      </c>
      <c r="Q11" s="49">
        <f t="shared" ref="Q11:V11" si="0">Q65</f>
        <v>168.17881653112164</v>
      </c>
      <c r="R11" s="49">
        <f t="shared" si="0"/>
        <v>192.61426215101233</v>
      </c>
      <c r="S11" s="49">
        <f t="shared" si="0"/>
        <v>216.09216905832304</v>
      </c>
      <c r="T11" s="49">
        <f t="shared" si="0"/>
        <v>238.63840128420634</v>
      </c>
      <c r="U11" s="49">
        <f t="shared" si="0"/>
        <v>260.30518869982723</v>
      </c>
      <c r="V11" s="49">
        <f t="shared" si="0"/>
        <v>281.12682196568932</v>
      </c>
      <c r="W11" s="49">
        <f t="shared" ref="W11" si="1">W65</f>
        <v>301.12212333900385</v>
      </c>
      <c r="X11" s="49">
        <f t="shared" ref="X11" si="2">X65</f>
        <v>320.29777505234284</v>
      </c>
      <c r="Y11" s="49">
        <f t="shared" ref="Y11" si="3">Y65</f>
        <v>338.65240953011522</v>
      </c>
      <c r="Z11" s="247">
        <f>(R11/O11)^(1/3)-1</f>
        <v>0.18244593440308043</v>
      </c>
    </row>
    <row r="12" spans="1:30">
      <c r="C12" s="212" t="s">
        <v>275</v>
      </c>
      <c r="D12" s="2" t="s">
        <v>256</v>
      </c>
      <c r="E12" s="351"/>
      <c r="F12" s="351"/>
      <c r="G12" s="351"/>
      <c r="H12" s="351"/>
      <c r="I12" s="186"/>
      <c r="J12" s="206"/>
      <c r="K12" s="507"/>
      <c r="L12" s="507"/>
      <c r="M12" s="36"/>
      <c r="N12" s="36"/>
      <c r="O12" s="36">
        <v>0.30099999999999999</v>
      </c>
      <c r="P12" s="295">
        <v>6.3810000000000002</v>
      </c>
      <c r="Q12" s="49">
        <f t="shared" ref="Q12:Y12" si="4">Q85</f>
        <v>12.670759417425462</v>
      </c>
      <c r="R12" s="49">
        <f t="shared" si="4"/>
        <v>21.510589981835576</v>
      </c>
      <c r="S12" s="49">
        <f t="shared" si="4"/>
        <v>31.065319580991488</v>
      </c>
      <c r="T12" s="49">
        <f t="shared" si="4"/>
        <v>41.026065901901532</v>
      </c>
      <c r="U12" s="49">
        <f t="shared" si="4"/>
        <v>50.016194124764795</v>
      </c>
      <c r="V12" s="49">
        <f t="shared" si="4"/>
        <v>59.284809735521236</v>
      </c>
      <c r="W12" s="49">
        <f t="shared" si="4"/>
        <v>68.838543906590601</v>
      </c>
      <c r="X12" s="49">
        <f t="shared" si="4"/>
        <v>78.684169054392228</v>
      </c>
      <c r="Y12" s="49">
        <f t="shared" si="4"/>
        <v>88.828601667040871</v>
      </c>
      <c r="Z12" s="247">
        <f>(R12/O12)^(1/3)-1</f>
        <v>3.1498137835343334</v>
      </c>
    </row>
    <row r="13" spans="1:30">
      <c r="C13" s="350" t="s">
        <v>152</v>
      </c>
      <c r="D13" s="29" t="s">
        <v>256</v>
      </c>
      <c r="E13" s="526"/>
      <c r="F13" s="526"/>
      <c r="G13" s="357"/>
      <c r="H13" s="357">
        <v>0</v>
      </c>
      <c r="I13" s="209">
        <v>0</v>
      </c>
      <c r="J13" s="209">
        <v>1.6E-2</v>
      </c>
      <c r="K13" s="527">
        <f>1.005*2</f>
        <v>2.0099999999999998</v>
      </c>
      <c r="L13" s="360">
        <f>L14-L11</f>
        <v>2.907</v>
      </c>
      <c r="M13" s="215">
        <f>M14-M11</f>
        <v>0.84499999999999886</v>
      </c>
      <c r="N13" s="215">
        <f>N14-N11</f>
        <v>0.492999999999995</v>
      </c>
      <c r="O13" s="215">
        <f>O14-O11-O12</f>
        <v>0.25900000000000228</v>
      </c>
      <c r="P13" s="465">
        <v>0.2</v>
      </c>
      <c r="Q13" s="215">
        <f t="shared" ref="Q13:Y13" si="5">AVERAGE(O13:P13)*1.03</f>
        <v>0.23638500000000118</v>
      </c>
      <c r="R13" s="215">
        <f t="shared" si="5"/>
        <v>0.22473827500000063</v>
      </c>
      <c r="S13" s="215">
        <f t="shared" si="5"/>
        <v>0.23747848662500096</v>
      </c>
      <c r="T13" s="215">
        <f t="shared" si="5"/>
        <v>0.23804163223687583</v>
      </c>
      <c r="U13" s="215">
        <f t="shared" si="5"/>
        <v>0.24489286121386655</v>
      </c>
      <c r="V13" s="215">
        <f t="shared" si="5"/>
        <v>0.24871126412713232</v>
      </c>
      <c r="W13" s="215">
        <f t="shared" si="5"/>
        <v>0.25420612455061442</v>
      </c>
      <c r="X13" s="215">
        <f t="shared" si="5"/>
        <v>0.25900245516903958</v>
      </c>
      <c r="Y13" s="215">
        <f t="shared" si="5"/>
        <v>0.26430241855562181</v>
      </c>
      <c r="Z13" s="248"/>
      <c r="AA13" s="356"/>
    </row>
    <row r="14" spans="1:30" s="190" customFormat="1">
      <c r="A14" s="26"/>
      <c r="B14" s="26"/>
      <c r="C14" s="190" t="s">
        <v>245</v>
      </c>
      <c r="D14" s="27" t="s">
        <v>256</v>
      </c>
      <c r="E14" s="155"/>
      <c r="F14" s="155"/>
      <c r="G14" s="155"/>
      <c r="H14" s="155">
        <f>SUM(H11:H13)</f>
        <v>0</v>
      </c>
      <c r="I14" s="155">
        <f>SUM(I11:I13)</f>
        <v>0</v>
      </c>
      <c r="J14" s="45">
        <f>SUM(J11:J13)</f>
        <v>1.6E-2</v>
      </c>
      <c r="K14" s="34">
        <f>SUM(K11:K13)</f>
        <v>2.0099999999999998</v>
      </c>
      <c r="L14" s="509">
        <f>32.3</f>
        <v>32.299999999999997</v>
      </c>
      <c r="M14" s="509">
        <v>57.432000000000002</v>
      </c>
      <c r="N14" s="509">
        <v>86.1</v>
      </c>
      <c r="O14" s="509">
        <v>117.065</v>
      </c>
      <c r="P14" s="518">
        <v>151.29</v>
      </c>
      <c r="Q14" s="78">
        <f t="shared" ref="Q14:V14" si="6">SUM(Q11:Q13)</f>
        <v>181.08596094854713</v>
      </c>
      <c r="R14" s="78">
        <f t="shared" si="6"/>
        <v>214.3495904078479</v>
      </c>
      <c r="S14" s="78">
        <f t="shared" si="6"/>
        <v>247.39496712593953</v>
      </c>
      <c r="T14" s="78">
        <f t="shared" si="6"/>
        <v>279.90250881834476</v>
      </c>
      <c r="U14" s="78">
        <f t="shared" si="6"/>
        <v>310.56627568580592</v>
      </c>
      <c r="V14" s="78">
        <f t="shared" si="6"/>
        <v>340.66034296533769</v>
      </c>
      <c r="W14" s="78">
        <f t="shared" ref="W14" si="7">SUM(W11:W13)</f>
        <v>370.21487337014503</v>
      </c>
      <c r="X14" s="78">
        <f t="shared" ref="X14" si="8">SUM(X11:X13)</f>
        <v>399.24094656190408</v>
      </c>
      <c r="Y14" s="78">
        <f t="shared" ref="Y14" si="9">SUM(Y11:Y13)</f>
        <v>427.74531361571172</v>
      </c>
      <c r="Z14" s="249">
        <f>(R14/O14)^(1/3)-1</f>
        <v>0.22339076035407746</v>
      </c>
      <c r="AA14" s="356"/>
      <c r="AB14" s="193"/>
      <c r="AC14" s="193"/>
      <c r="AD14" s="193"/>
    </row>
    <row r="15" spans="1:30">
      <c r="D15" s="21"/>
      <c r="E15" s="6"/>
      <c r="F15" s="6"/>
      <c r="G15" s="6"/>
      <c r="H15" s="6"/>
      <c r="I15" s="6"/>
      <c r="J15" s="180"/>
      <c r="K15" s="367"/>
      <c r="L15" s="36"/>
      <c r="M15" s="36"/>
      <c r="N15" s="36"/>
      <c r="O15" s="36"/>
      <c r="P15" s="510"/>
      <c r="Q15" s="49"/>
      <c r="R15" s="49"/>
      <c r="S15" s="49"/>
      <c r="T15" s="49"/>
      <c r="U15" s="49"/>
      <c r="V15" s="49"/>
      <c r="W15" s="49"/>
      <c r="X15" s="49"/>
      <c r="Y15" s="49"/>
      <c r="Z15" s="247"/>
    </row>
    <row r="16" spans="1:30">
      <c r="C16" s="26" t="s">
        <v>191</v>
      </c>
      <c r="D16" s="21"/>
      <c r="E16" s="6"/>
      <c r="F16" s="6"/>
      <c r="G16" s="6"/>
      <c r="H16" s="6"/>
      <c r="I16" s="6"/>
      <c r="J16" s="180"/>
      <c r="K16" s="367"/>
      <c r="L16" s="36"/>
      <c r="M16" s="36"/>
      <c r="N16" s="36"/>
      <c r="O16" s="36"/>
      <c r="P16" s="510"/>
      <c r="Q16" s="49"/>
      <c r="R16" s="49"/>
      <c r="S16" s="49"/>
      <c r="T16" s="49"/>
      <c r="U16" s="49"/>
      <c r="V16" s="49"/>
      <c r="W16" s="49"/>
      <c r="X16" s="49"/>
      <c r="Y16" s="49"/>
      <c r="Z16" s="247"/>
      <c r="AA16" s="356"/>
    </row>
    <row r="17" spans="1:30">
      <c r="C17" s="39" t="str">
        <f>C11</f>
        <v>Singapore Mobile</v>
      </c>
      <c r="D17" s="21" t="s">
        <v>122</v>
      </c>
      <c r="E17" s="50"/>
      <c r="F17" s="50"/>
      <c r="G17" s="50"/>
      <c r="H17" s="50" t="str">
        <f t="shared" ref="H17:Y17" si="10">IFERROR(H11/G11-1,"NA")</f>
        <v>NA</v>
      </c>
      <c r="I17" s="50" t="str">
        <f t="shared" si="10"/>
        <v>NA</v>
      </c>
      <c r="J17" s="31" t="str">
        <f t="shared" si="10"/>
        <v>NA</v>
      </c>
      <c r="K17" s="24" t="str">
        <f t="shared" si="10"/>
        <v>NA</v>
      </c>
      <c r="L17" s="24" t="str">
        <f t="shared" si="10"/>
        <v>NA</v>
      </c>
      <c r="M17" s="24">
        <f t="shared" si="10"/>
        <v>0.92518626883951982</v>
      </c>
      <c r="N17" s="24">
        <f t="shared" si="10"/>
        <v>0.51283863784968275</v>
      </c>
      <c r="O17" s="24">
        <f t="shared" si="10"/>
        <v>0.36092842874998543</v>
      </c>
      <c r="P17" s="218">
        <f t="shared" si="10"/>
        <v>0.24137161495214809</v>
      </c>
      <c r="Q17" s="50">
        <f t="shared" si="10"/>
        <v>0.16285326657116728</v>
      </c>
      <c r="R17" s="50">
        <f t="shared" si="10"/>
        <v>0.14529443198554604</v>
      </c>
      <c r="S17" s="50">
        <f t="shared" si="10"/>
        <v>0.12189080208870351</v>
      </c>
      <c r="T17" s="50">
        <f t="shared" si="10"/>
        <v>0.10433618360227626</v>
      </c>
      <c r="U17" s="50">
        <f t="shared" si="10"/>
        <v>9.0793381530480666E-2</v>
      </c>
      <c r="V17" s="50">
        <f t="shared" si="10"/>
        <v>7.9989313197566414E-2</v>
      </c>
      <c r="W17" s="50">
        <f t="shared" si="10"/>
        <v>7.1125555482411063E-2</v>
      </c>
      <c r="X17" s="50">
        <f t="shared" si="10"/>
        <v>6.3680647242750021E-2</v>
      </c>
      <c r="Y17" s="50">
        <f t="shared" si="10"/>
        <v>5.7304907830761254E-2</v>
      </c>
      <c r="Z17" s="247"/>
    </row>
    <row r="18" spans="1:30">
      <c r="C18" s="39" t="str">
        <f>C12</f>
        <v>Singapore Broadband</v>
      </c>
      <c r="D18" s="21" t="s">
        <v>122</v>
      </c>
      <c r="E18" s="50"/>
      <c r="F18" s="50"/>
      <c r="G18" s="50"/>
      <c r="H18" s="50" t="str">
        <f t="shared" ref="H18" si="11">IFERROR(H12/G12-1,"NA")</f>
        <v>NA</v>
      </c>
      <c r="I18" s="50" t="str">
        <f t="shared" ref="I18" si="12">IFERROR(I12/H12-1,"NA")</f>
        <v>NA</v>
      </c>
      <c r="J18" s="31" t="str">
        <f t="shared" ref="J18" si="13">IFERROR(J12/I12-1,"NA")</f>
        <v>NA</v>
      </c>
      <c r="K18" s="24" t="str">
        <f t="shared" ref="K18" si="14">IFERROR(K12/J12-1,"NA")</f>
        <v>NA</v>
      </c>
      <c r="L18" s="24" t="str">
        <f t="shared" ref="L18" si="15">IFERROR(L12/K12-1,"NA")</f>
        <v>NA</v>
      </c>
      <c r="M18" s="24" t="str">
        <f t="shared" ref="M18:O18" si="16">IFERROR(M12/L12-1,"NA")</f>
        <v>NA</v>
      </c>
      <c r="N18" s="24" t="str">
        <f t="shared" si="16"/>
        <v>NA</v>
      </c>
      <c r="O18" s="24" t="str">
        <f t="shared" si="16"/>
        <v>NA</v>
      </c>
      <c r="P18" s="218">
        <f t="shared" ref="P18" si="17">IFERROR(P12/O12-1,"NA")</f>
        <v>20.199335548172758</v>
      </c>
      <c r="Q18" s="50">
        <f t="shared" ref="Q18" si="18">IFERROR(Q12/P12-1,"NA")</f>
        <v>0.98570120943824802</v>
      </c>
      <c r="R18" s="50">
        <f t="shared" ref="R18" si="19">IFERROR(R12/Q12-1,"NA")</f>
        <v>0.6976559394106352</v>
      </c>
      <c r="S18" s="50">
        <f t="shared" ref="S18" si="20">IFERROR(S12/R12-1,"NA")</f>
        <v>0.44418724020235234</v>
      </c>
      <c r="T18" s="50">
        <f t="shared" ref="T18" si="21">IFERROR(T12/S12-1,"NA")</f>
        <v>0.32063878483339048</v>
      </c>
      <c r="U18" s="50">
        <f t="shared" ref="U18" si="22">IFERROR(U12/T12-1,"NA")</f>
        <v>0.21913210602156652</v>
      </c>
      <c r="V18" s="50">
        <f t="shared" ref="V18:Y18" si="23">IFERROR(V12/U12-1,"NA")</f>
        <v>0.18531229280732542</v>
      </c>
      <c r="W18" s="50">
        <f t="shared" si="23"/>
        <v>0.16114978210590647</v>
      </c>
      <c r="X18" s="50">
        <f t="shared" si="23"/>
        <v>0.14302488967752569</v>
      </c>
      <c r="Y18" s="50">
        <f t="shared" si="23"/>
        <v>0.12892596737770812</v>
      </c>
      <c r="Z18" s="247"/>
    </row>
    <row r="19" spans="1:30">
      <c r="C19" s="179" t="str">
        <f>C13</f>
        <v>Other</v>
      </c>
      <c r="D19" s="29" t="s">
        <v>122</v>
      </c>
      <c r="E19" s="211"/>
      <c r="F19" s="211"/>
      <c r="G19" s="211"/>
      <c r="H19" s="211" t="str">
        <f t="shared" ref="H19:Y19" si="24">IFERROR(H13/G13-1,"NA")</f>
        <v>NA</v>
      </c>
      <c r="I19" s="211" t="str">
        <f t="shared" si="24"/>
        <v>NA</v>
      </c>
      <c r="J19" s="211" t="str">
        <f t="shared" si="24"/>
        <v>NA</v>
      </c>
      <c r="K19" s="211">
        <f t="shared" si="24"/>
        <v>124.62499999999999</v>
      </c>
      <c r="L19" s="211">
        <f t="shared" si="24"/>
        <v>0.44626865671641802</v>
      </c>
      <c r="M19" s="211">
        <f t="shared" si="24"/>
        <v>-0.70932232542139695</v>
      </c>
      <c r="N19" s="211">
        <f t="shared" si="24"/>
        <v>-0.41656804733728325</v>
      </c>
      <c r="O19" s="211">
        <f t="shared" si="24"/>
        <v>-0.47464503042595352</v>
      </c>
      <c r="P19" s="466">
        <f t="shared" si="24"/>
        <v>-0.22779922779923456</v>
      </c>
      <c r="Q19" s="211">
        <f t="shared" si="24"/>
        <v>0.18192500000000589</v>
      </c>
      <c r="R19" s="211">
        <f t="shared" si="24"/>
        <v>-4.927015250544875E-2</v>
      </c>
      <c r="S19" s="211">
        <f t="shared" si="24"/>
        <v>5.6689104804245272E-2</v>
      </c>
      <c r="T19" s="211">
        <f t="shared" si="24"/>
        <v>2.3713542219263584E-3</v>
      </c>
      <c r="U19" s="211">
        <f t="shared" si="24"/>
        <v>2.8781641734724195E-2</v>
      </c>
      <c r="V19" s="211">
        <f t="shared" si="24"/>
        <v>1.5592136472819096E-2</v>
      </c>
      <c r="W19" s="211">
        <f t="shared" si="24"/>
        <v>2.2093331569708496E-2</v>
      </c>
      <c r="X19" s="211">
        <f t="shared" si="24"/>
        <v>1.8867879862863646E-2</v>
      </c>
      <c r="Y19" s="211">
        <f t="shared" si="24"/>
        <v>2.0462985121601163E-2</v>
      </c>
      <c r="Z19" s="248"/>
      <c r="AA19" s="356"/>
    </row>
    <row r="20" spans="1:30">
      <c r="C20" s="205" t="str">
        <f>C14</f>
        <v>Total  Revenue</v>
      </c>
      <c r="D20" s="203" t="s">
        <v>122</v>
      </c>
      <c r="E20" s="213"/>
      <c r="F20" s="213"/>
      <c r="G20" s="213"/>
      <c r="H20" s="213" t="str">
        <f t="shared" ref="H20:Y20" si="25">IFERROR(H14/G14-1,"NA")</f>
        <v>NA</v>
      </c>
      <c r="I20" s="213" t="str">
        <f t="shared" si="25"/>
        <v>NA</v>
      </c>
      <c r="J20" s="452" t="str">
        <f t="shared" si="25"/>
        <v>NA</v>
      </c>
      <c r="K20" s="452">
        <f t="shared" si="25"/>
        <v>124.62499999999999</v>
      </c>
      <c r="L20" s="452">
        <f t="shared" si="25"/>
        <v>15.069651741293534</v>
      </c>
      <c r="M20" s="452">
        <f t="shared" si="25"/>
        <v>0.7780804953560374</v>
      </c>
      <c r="N20" s="452">
        <f t="shared" si="25"/>
        <v>0.49916422900125346</v>
      </c>
      <c r="O20" s="452">
        <f t="shared" si="25"/>
        <v>0.35963995354239264</v>
      </c>
      <c r="P20" s="219">
        <f t="shared" si="25"/>
        <v>0.29235894588476485</v>
      </c>
      <c r="Q20" s="213">
        <f t="shared" si="25"/>
        <v>0.19694600402238827</v>
      </c>
      <c r="R20" s="213">
        <f t="shared" si="25"/>
        <v>0.18368971998194894</v>
      </c>
      <c r="S20" s="213">
        <f t="shared" si="25"/>
        <v>0.15416580295402205</v>
      </c>
      <c r="T20" s="213">
        <f t="shared" si="25"/>
        <v>0.13139936543598663</v>
      </c>
      <c r="U20" s="213">
        <f t="shared" si="25"/>
        <v>0.10955159707897355</v>
      </c>
      <c r="V20" s="213">
        <f t="shared" si="25"/>
        <v>9.6900628418448598E-2</v>
      </c>
      <c r="W20" s="213">
        <f t="shared" si="25"/>
        <v>8.675659205748687E-2</v>
      </c>
      <c r="X20" s="213">
        <f t="shared" si="25"/>
        <v>7.8403314614371222E-2</v>
      </c>
      <c r="Y20" s="213">
        <f t="shared" si="25"/>
        <v>7.1396401845239765E-2</v>
      </c>
      <c r="Z20" s="249"/>
      <c r="AA20" s="356"/>
    </row>
    <row r="21" spans="1:30" s="191" customFormat="1">
      <c r="A21" s="25"/>
      <c r="B21" s="25"/>
      <c r="C21" s="40"/>
      <c r="D21" s="27"/>
      <c r="E21" s="70"/>
      <c r="F21" s="70"/>
      <c r="G21" s="70"/>
      <c r="H21" s="70"/>
      <c r="I21" s="153"/>
      <c r="J21" s="153"/>
      <c r="K21" s="46"/>
      <c r="L21" s="46"/>
      <c r="M21" s="46"/>
      <c r="N21" s="46"/>
      <c r="O21" s="46"/>
      <c r="P21" s="220"/>
      <c r="Q21" s="46"/>
      <c r="R21" s="46"/>
      <c r="S21" s="46"/>
      <c r="T21" s="46"/>
      <c r="U21" s="46"/>
      <c r="V21" s="46"/>
      <c r="W21" s="46"/>
      <c r="X21" s="46"/>
      <c r="Y21" s="46"/>
      <c r="Z21" s="245"/>
      <c r="AA21" s="25"/>
    </row>
    <row r="22" spans="1:30">
      <c r="C22" s="26" t="s">
        <v>193</v>
      </c>
      <c r="D22" s="21"/>
      <c r="E22" s="3"/>
      <c r="F22" s="3"/>
      <c r="G22" s="3"/>
      <c r="H22" s="3"/>
      <c r="I22" s="5"/>
      <c r="J22" s="153"/>
      <c r="K22" s="46"/>
      <c r="L22" s="46"/>
      <c r="M22" s="46"/>
      <c r="N22" s="46"/>
      <c r="O22" s="46"/>
      <c r="P22" s="220"/>
      <c r="Q22" s="105"/>
      <c r="R22" s="105"/>
      <c r="S22" s="105"/>
      <c r="T22" s="105"/>
      <c r="U22" s="105"/>
      <c r="V22" s="105"/>
      <c r="W22" s="105"/>
      <c r="X22" s="105"/>
      <c r="Y22" s="105"/>
      <c r="Z22" s="247"/>
      <c r="AA22" s="356"/>
    </row>
    <row r="23" spans="1:30">
      <c r="C23" s="39" t="str">
        <f>C17</f>
        <v>Singapore Mobile</v>
      </c>
      <c r="D23" s="21" t="s">
        <v>122</v>
      </c>
      <c r="E23" s="50"/>
      <c r="F23" s="50"/>
      <c r="G23" s="50"/>
      <c r="H23" s="50" t="str">
        <f t="shared" ref="H23:V24" si="26">IFERROR(H11/H$14,"NA")</f>
        <v>NA</v>
      </c>
      <c r="I23" s="50" t="str">
        <f t="shared" si="26"/>
        <v>NA</v>
      </c>
      <c r="J23" s="24">
        <f t="shared" si="26"/>
        <v>0</v>
      </c>
      <c r="K23" s="24">
        <f t="shared" si="26"/>
        <v>0</v>
      </c>
      <c r="L23" s="24">
        <f t="shared" si="26"/>
        <v>0.91</v>
      </c>
      <c r="M23" s="24">
        <f t="shared" si="26"/>
        <v>0.98528694804290295</v>
      </c>
      <c r="N23" s="24">
        <f t="shared" ref="N23" si="27">IFERROR(N11/N$14,"NA")</f>
        <v>0.99427409988385607</v>
      </c>
      <c r="O23" s="24">
        <f t="shared" ref="O23" si="28">IFERROR(O11/O$14,"NA")</f>
        <v>0.99521633280656041</v>
      </c>
      <c r="P23" s="218">
        <f t="shared" si="26"/>
        <v>0.95595214488730262</v>
      </c>
      <c r="Q23" s="50">
        <f t="shared" si="26"/>
        <v>0.92872366057635547</v>
      </c>
      <c r="R23" s="50">
        <f t="shared" si="26"/>
        <v>0.89859869470485454</v>
      </c>
      <c r="S23" s="50">
        <f t="shared" si="26"/>
        <v>0.87347035216087721</v>
      </c>
      <c r="T23" s="50">
        <f t="shared" si="26"/>
        <v>0.85257685717665854</v>
      </c>
      <c r="U23" s="50">
        <f t="shared" si="26"/>
        <v>0.83816308813637286</v>
      </c>
      <c r="V23" s="50">
        <f t="shared" si="26"/>
        <v>0.82524082350933958</v>
      </c>
      <c r="W23" s="50">
        <f t="shared" ref="W23" si="29">IFERROR(W11/W$14,"NA")</f>
        <v>0.81337122033435572</v>
      </c>
      <c r="X23" s="50">
        <f t="shared" ref="X23" si="30">IFERROR(X11/X$14,"NA")</f>
        <v>0.80226684615045929</v>
      </c>
      <c r="Y23" s="50">
        <f t="shared" ref="Y23" si="31">IFERROR(Y11/Y$14,"NA")</f>
        <v>0.79171506677069536</v>
      </c>
      <c r="Z23" s="247"/>
    </row>
    <row r="24" spans="1:30">
      <c r="C24" s="39" t="str">
        <f>C18</f>
        <v>Singapore Broadband</v>
      </c>
      <c r="D24" s="21" t="s">
        <v>122</v>
      </c>
      <c r="E24" s="50"/>
      <c r="F24" s="50"/>
      <c r="G24" s="50"/>
      <c r="H24" s="50" t="str">
        <f t="shared" si="26"/>
        <v>NA</v>
      </c>
      <c r="I24" s="50" t="str">
        <f t="shared" si="26"/>
        <v>NA</v>
      </c>
      <c r="J24" s="24">
        <f t="shared" si="26"/>
        <v>0</v>
      </c>
      <c r="K24" s="24">
        <f t="shared" si="26"/>
        <v>0</v>
      </c>
      <c r="L24" s="24">
        <f t="shared" si="26"/>
        <v>0</v>
      </c>
      <c r="M24" s="24">
        <f t="shared" si="26"/>
        <v>0</v>
      </c>
      <c r="N24" s="24">
        <f t="shared" ref="N24" si="32">IFERROR(N12/N$14,"NA")</f>
        <v>0</v>
      </c>
      <c r="O24" s="24">
        <f t="shared" ref="O24" si="33">IFERROR(O12/O$14,"NA")</f>
        <v>2.5712211164737537E-3</v>
      </c>
      <c r="P24" s="218">
        <f t="shared" si="26"/>
        <v>4.2177275431290899E-2</v>
      </c>
      <c r="Q24" s="50">
        <f t="shared" si="26"/>
        <v>6.9970964900065713E-2</v>
      </c>
      <c r="R24" s="50">
        <f t="shared" si="26"/>
        <v>0.10035283921423353</v>
      </c>
      <c r="S24" s="50">
        <f t="shared" si="26"/>
        <v>0.12556973143749239</v>
      </c>
      <c r="T24" s="50">
        <f t="shared" si="26"/>
        <v>0.14657269802653763</v>
      </c>
      <c r="U24" s="50">
        <f t="shared" si="26"/>
        <v>0.16104837530835203</v>
      </c>
      <c r="V24" s="50">
        <f t="shared" si="26"/>
        <v>0.17402909073438433</v>
      </c>
      <c r="W24" s="50">
        <f t="shared" ref="W24" si="34">IFERROR(W12/W$14,"NA")</f>
        <v>0.18594213484709202</v>
      </c>
      <c r="X24" s="50">
        <f t="shared" ref="X24" si="35">IFERROR(X12/X$14,"NA")</f>
        <v>0.19708441664610646</v>
      </c>
      <c r="Y24" s="50">
        <f t="shared" ref="Y24" si="36">IFERROR(Y12/Y$14,"NA")</f>
        <v>0.20766703652735954</v>
      </c>
      <c r="Z24" s="247"/>
    </row>
    <row r="25" spans="1:30">
      <c r="C25" s="179" t="str">
        <f>C19</f>
        <v>Other</v>
      </c>
      <c r="D25" s="29" t="s">
        <v>122</v>
      </c>
      <c r="E25" s="211"/>
      <c r="F25" s="211"/>
      <c r="G25" s="211"/>
      <c r="H25" s="211" t="str">
        <f t="shared" ref="H25:V25" si="37">IFERROR(H13/H$14,"NA")</f>
        <v>NA</v>
      </c>
      <c r="I25" s="211" t="str">
        <f t="shared" si="37"/>
        <v>NA</v>
      </c>
      <c r="J25" s="211">
        <f t="shared" si="37"/>
        <v>1</v>
      </c>
      <c r="K25" s="211">
        <f t="shared" si="37"/>
        <v>1</v>
      </c>
      <c r="L25" s="211">
        <f t="shared" si="37"/>
        <v>9.0000000000000011E-2</v>
      </c>
      <c r="M25" s="211">
        <f t="shared" si="37"/>
        <v>1.4713051957097068E-2</v>
      </c>
      <c r="N25" s="211">
        <f t="shared" ref="N25" si="38">IFERROR(N13/N$14,"NA")</f>
        <v>5.7259001161439607E-3</v>
      </c>
      <c r="O25" s="211">
        <f t="shared" ref="O25" si="39">IFERROR(O13/O$14,"NA")</f>
        <v>2.2124460769658077E-3</v>
      </c>
      <c r="P25" s="466">
        <f t="shared" si="37"/>
        <v>1.3219644391565869E-3</v>
      </c>
      <c r="Q25" s="211">
        <f t="shared" si="37"/>
        <v>1.3053745235787023E-3</v>
      </c>
      <c r="R25" s="211">
        <f t="shared" si="37"/>
        <v>1.0484660809119623E-3</v>
      </c>
      <c r="S25" s="211">
        <f t="shared" si="37"/>
        <v>9.5991640163039182E-4</v>
      </c>
      <c r="T25" s="211">
        <f t="shared" si="37"/>
        <v>8.504447968037456E-4</v>
      </c>
      <c r="U25" s="211">
        <f t="shared" si="37"/>
        <v>7.8853655527498447E-4</v>
      </c>
      <c r="V25" s="211">
        <f t="shared" si="37"/>
        <v>7.3008575627612397E-4</v>
      </c>
      <c r="W25" s="211">
        <f t="shared" ref="W25" si="40">IFERROR(W13/W$14,"NA")</f>
        <v>6.8664481855232285E-4</v>
      </c>
      <c r="X25" s="211">
        <f t="shared" ref="X25" si="41">IFERROR(X13/X$14,"NA")</f>
        <v>6.4873720343431782E-4</v>
      </c>
      <c r="Y25" s="211">
        <f t="shared" ref="Y25" si="42">IFERROR(Y13/Y$14,"NA")</f>
        <v>6.1789670194510246E-4</v>
      </c>
      <c r="Z25" s="248"/>
      <c r="AA25" s="356"/>
    </row>
    <row r="26" spans="1:30">
      <c r="C26" s="205" t="str">
        <f>C20</f>
        <v>Total  Revenue</v>
      </c>
      <c r="D26" s="203" t="s">
        <v>122</v>
      </c>
      <c r="E26" s="213"/>
      <c r="F26" s="213"/>
      <c r="G26" s="213"/>
      <c r="H26" s="213" t="str">
        <f t="shared" ref="H26:V26" si="43">IFERROR(H14/H$14,"NA")</f>
        <v>NA</v>
      </c>
      <c r="I26" s="213" t="str">
        <f t="shared" si="43"/>
        <v>NA</v>
      </c>
      <c r="J26" s="452">
        <f t="shared" si="43"/>
        <v>1</v>
      </c>
      <c r="K26" s="452">
        <f t="shared" si="43"/>
        <v>1</v>
      </c>
      <c r="L26" s="452">
        <f t="shared" si="43"/>
        <v>1</v>
      </c>
      <c r="M26" s="452">
        <f t="shared" si="43"/>
        <v>1</v>
      </c>
      <c r="N26" s="452">
        <f t="shared" si="43"/>
        <v>1</v>
      </c>
      <c r="O26" s="452">
        <f t="shared" ref="O26" si="44">IFERROR(O14/O$14,"NA")</f>
        <v>1</v>
      </c>
      <c r="P26" s="219">
        <f t="shared" si="43"/>
        <v>1</v>
      </c>
      <c r="Q26" s="213">
        <f t="shared" si="43"/>
        <v>1</v>
      </c>
      <c r="R26" s="213">
        <f t="shared" si="43"/>
        <v>1</v>
      </c>
      <c r="S26" s="213">
        <f t="shared" si="43"/>
        <v>1</v>
      </c>
      <c r="T26" s="213">
        <f t="shared" si="43"/>
        <v>1</v>
      </c>
      <c r="U26" s="213">
        <f t="shared" si="43"/>
        <v>1</v>
      </c>
      <c r="V26" s="213">
        <f t="shared" si="43"/>
        <v>1</v>
      </c>
      <c r="W26" s="213">
        <f t="shared" ref="W26" si="45">IFERROR(W14/W$14,"NA")</f>
        <v>1</v>
      </c>
      <c r="X26" s="213">
        <f t="shared" ref="X26" si="46">IFERROR(X14/X$14,"NA")</f>
        <v>1</v>
      </c>
      <c r="Y26" s="213">
        <f t="shared" ref="Y26" si="47">IFERROR(Y14/Y$14,"NA")</f>
        <v>1</v>
      </c>
      <c r="Z26" s="249"/>
      <c r="AA26" s="356"/>
    </row>
    <row r="27" spans="1:30">
      <c r="C27" s="25"/>
      <c r="D27" s="21"/>
      <c r="E27" s="180"/>
      <c r="F27" s="180"/>
      <c r="G27" s="180"/>
      <c r="H27" s="180"/>
      <c r="I27" s="180"/>
      <c r="J27" s="180"/>
      <c r="K27" s="367"/>
      <c r="L27" s="36"/>
      <c r="M27" s="36"/>
      <c r="N27" s="36"/>
      <c r="O27" s="36"/>
      <c r="P27" s="510"/>
      <c r="Q27" s="36"/>
      <c r="R27" s="36"/>
      <c r="S27" s="36"/>
      <c r="T27" s="36"/>
      <c r="U27" s="36"/>
      <c r="V27" s="36"/>
      <c r="W27" s="36"/>
      <c r="X27" s="36"/>
      <c r="Y27" s="36"/>
      <c r="AA27" s="356"/>
    </row>
    <row r="28" spans="1:30">
      <c r="C28" s="25"/>
      <c r="D28" s="21"/>
      <c r="E28" s="180"/>
      <c r="F28" s="180"/>
      <c r="G28" s="180"/>
      <c r="H28" s="180"/>
      <c r="I28" s="180"/>
      <c r="J28" s="180"/>
      <c r="K28" s="367"/>
      <c r="L28" s="36"/>
      <c r="M28" s="36"/>
      <c r="N28" s="36"/>
      <c r="O28" s="36"/>
      <c r="P28" s="510"/>
      <c r="Q28" s="36"/>
      <c r="R28" s="36"/>
      <c r="S28" s="36"/>
      <c r="T28" s="36"/>
      <c r="U28" s="36"/>
      <c r="V28" s="36"/>
      <c r="W28" s="36"/>
      <c r="X28" s="36"/>
      <c r="Y28" s="36"/>
      <c r="AA28" s="356"/>
    </row>
    <row r="29" spans="1:30" s="376" customFormat="1" ht="18">
      <c r="A29" s="355"/>
      <c r="B29" s="355"/>
      <c r="C29" s="711" t="s">
        <v>283</v>
      </c>
      <c r="D29" s="712"/>
      <c r="E29" s="713"/>
      <c r="F29" s="713"/>
      <c r="G29" s="713"/>
      <c r="H29" s="713"/>
      <c r="I29" s="713"/>
      <c r="J29" s="714"/>
      <c r="K29" s="715"/>
      <c r="L29" s="715"/>
      <c r="M29" s="715"/>
      <c r="N29" s="715"/>
      <c r="O29" s="715"/>
      <c r="P29" s="716"/>
      <c r="Q29" s="717"/>
      <c r="R29" s="717"/>
      <c r="S29" s="717"/>
      <c r="T29" s="717"/>
      <c r="U29" s="717"/>
      <c r="V29" s="717"/>
      <c r="W29" s="717"/>
      <c r="X29" s="717"/>
      <c r="Y29" s="717"/>
      <c r="Z29" s="718"/>
      <c r="AA29" s="356"/>
      <c r="AB29" s="377"/>
      <c r="AC29" s="377"/>
      <c r="AD29" s="377"/>
    </row>
    <row r="30" spans="1:30" s="345" customFormat="1">
      <c r="A30" s="187"/>
      <c r="B30" s="187"/>
      <c r="C30" s="212"/>
      <c r="D30" s="189"/>
      <c r="E30" s="363"/>
      <c r="F30" s="363"/>
      <c r="G30" s="363"/>
      <c r="H30" s="363"/>
      <c r="I30" s="195"/>
      <c r="J30" s="235"/>
      <c r="K30" s="223"/>
      <c r="L30" s="223"/>
      <c r="M30" s="223"/>
      <c r="N30" s="223"/>
      <c r="O30" s="223"/>
      <c r="P30" s="468"/>
      <c r="Q30" s="221"/>
      <c r="R30" s="221"/>
      <c r="S30" s="221"/>
      <c r="T30" s="221"/>
      <c r="U30" s="221"/>
      <c r="V30" s="221"/>
      <c r="W30" s="221"/>
      <c r="X30" s="221"/>
      <c r="Y30" s="221"/>
      <c r="Z30" s="247"/>
      <c r="AA30" s="356"/>
      <c r="AB30" s="375"/>
      <c r="AC30" s="375"/>
      <c r="AD30" s="375"/>
    </row>
    <row r="31" spans="1:30">
      <c r="C31" s="183" t="s">
        <v>246</v>
      </c>
      <c r="D31" s="29" t="s">
        <v>256</v>
      </c>
      <c r="E31" s="209"/>
      <c r="F31" s="209"/>
      <c r="G31" s="209"/>
      <c r="H31" s="559">
        <f>H14-H32</f>
        <v>0</v>
      </c>
      <c r="I31" s="559">
        <f t="shared" ref="I31:V31" si="48">I14-I32</f>
        <v>0</v>
      </c>
      <c r="J31" s="610">
        <f t="shared" si="48"/>
        <v>0</v>
      </c>
      <c r="K31" s="360">
        <f t="shared" si="48"/>
        <v>0.59600000000000009</v>
      </c>
      <c r="L31" s="360">
        <f t="shared" si="48"/>
        <v>17.443148628559769</v>
      </c>
      <c r="M31" s="215">
        <f t="shared" si="48"/>
        <v>22.283000000000001</v>
      </c>
      <c r="N31" s="215">
        <f t="shared" si="48"/>
        <v>29.219000000000001</v>
      </c>
      <c r="O31" s="215">
        <f t="shared" ref="O31" si="49">O14-O32</f>
        <v>35.750999999999991</v>
      </c>
      <c r="P31" s="465">
        <f t="shared" si="48"/>
        <v>48.337000000000003</v>
      </c>
      <c r="Q31" s="215">
        <f t="shared" si="48"/>
        <v>65.637167753809976</v>
      </c>
      <c r="R31" s="215">
        <f t="shared" si="48"/>
        <v>81.194063045803091</v>
      </c>
      <c r="S31" s="215">
        <f t="shared" si="48"/>
        <v>96.937475623849735</v>
      </c>
      <c r="T31" s="215">
        <f t="shared" si="48"/>
        <v>112.56931582110005</v>
      </c>
      <c r="U31" s="215">
        <f t="shared" si="48"/>
        <v>126.74792620508603</v>
      </c>
      <c r="V31" s="215">
        <f t="shared" si="48"/>
        <v>140.74273833000515</v>
      </c>
      <c r="W31" s="215">
        <f t="shared" ref="W31" si="50">W14-W32</f>
        <v>154.5798008721593</v>
      </c>
      <c r="X31" s="215">
        <f t="shared" ref="X31" si="51">X14-X32</f>
        <v>168.27945995012982</v>
      </c>
      <c r="Y31" s="215">
        <f t="shared" ref="Y31" si="52">Y14-Y32</f>
        <v>181.8608918691742</v>
      </c>
      <c r="Z31" s="248">
        <f>(R31/O31)^(1/3)-1</f>
        <v>0.31445390258805683</v>
      </c>
    </row>
    <row r="32" spans="1:30">
      <c r="C32" s="379" t="s">
        <v>44</v>
      </c>
      <c r="D32" s="204" t="s">
        <v>256</v>
      </c>
      <c r="E32" s="277"/>
      <c r="F32" s="277"/>
      <c r="G32" s="277"/>
      <c r="H32" s="530">
        <f t="shared" ref="H32:Y32" si="53">H91+H109</f>
        <v>0</v>
      </c>
      <c r="I32" s="225">
        <f t="shared" si="53"/>
        <v>0</v>
      </c>
      <c r="J32" s="321">
        <f t="shared" si="53"/>
        <v>1.6E-2</v>
      </c>
      <c r="K32" s="226">
        <f t="shared" si="53"/>
        <v>1.4139999999999997</v>
      </c>
      <c r="L32" s="226">
        <f t="shared" si="53"/>
        <v>14.856851371440229</v>
      </c>
      <c r="M32" s="226">
        <f t="shared" si="53"/>
        <v>35.149000000000001</v>
      </c>
      <c r="N32" s="226">
        <f t="shared" si="53"/>
        <v>56.880999999999993</v>
      </c>
      <c r="O32" s="226">
        <f t="shared" si="53"/>
        <v>81.314000000000007</v>
      </c>
      <c r="P32" s="270">
        <f t="shared" si="53"/>
        <v>102.95299999999999</v>
      </c>
      <c r="Q32" s="225">
        <f t="shared" si="53"/>
        <v>115.44879319473715</v>
      </c>
      <c r="R32" s="225">
        <f t="shared" si="53"/>
        <v>133.15552736204481</v>
      </c>
      <c r="S32" s="225">
        <f t="shared" si="53"/>
        <v>150.45749150208979</v>
      </c>
      <c r="T32" s="225">
        <f t="shared" si="53"/>
        <v>167.33319299724471</v>
      </c>
      <c r="U32" s="225">
        <f t="shared" si="53"/>
        <v>183.81834948071989</v>
      </c>
      <c r="V32" s="225">
        <f t="shared" si="53"/>
        <v>199.91760463533254</v>
      </c>
      <c r="W32" s="225">
        <f t="shared" si="53"/>
        <v>215.63507249798573</v>
      </c>
      <c r="X32" s="225">
        <f t="shared" si="53"/>
        <v>230.96148661177426</v>
      </c>
      <c r="Y32" s="225">
        <f t="shared" si="53"/>
        <v>245.88442174653753</v>
      </c>
      <c r="Z32" s="247">
        <f>(R32/O32)^(1/3)-1</f>
        <v>0.17868554588349461</v>
      </c>
    </row>
    <row r="33" spans="1:30">
      <c r="C33" s="212" t="s">
        <v>17</v>
      </c>
      <c r="D33" s="189" t="s">
        <v>122</v>
      </c>
      <c r="E33" s="363"/>
      <c r="F33" s="380"/>
      <c r="G33" s="380"/>
      <c r="H33" s="529" t="str">
        <f>IFERROR(H32/G32-1,"NA")</f>
        <v>NA</v>
      </c>
      <c r="I33" s="227" t="str">
        <f t="shared" ref="I33" si="54">IFERROR(I32/H32-1,"NA")</f>
        <v>NA</v>
      </c>
      <c r="J33" s="358" t="str">
        <f t="shared" ref="J33" si="55">IFERROR(J32/I32-1,"NA")</f>
        <v>NA</v>
      </c>
      <c r="K33" s="460">
        <f t="shared" ref="K33" si="56">IFERROR(K32/J32-1,"NA")</f>
        <v>87.374999999999986</v>
      </c>
      <c r="L33" s="358">
        <f t="shared" ref="L33" si="57">IFERROR(L32/K32-1,"NA")</f>
        <v>9.506967023649386</v>
      </c>
      <c r="M33" s="358">
        <f t="shared" ref="M33" si="58">IFERROR(M32/L32-1,"NA")</f>
        <v>1.3658444929702922</v>
      </c>
      <c r="N33" s="358">
        <f t="shared" ref="N33:O33" si="59">IFERROR(N32/M32-1,"NA")</f>
        <v>0.61828217018976339</v>
      </c>
      <c r="O33" s="358">
        <f t="shared" si="59"/>
        <v>0.42954589405952803</v>
      </c>
      <c r="P33" s="393">
        <f t="shared" ref="P33" si="60">IFERROR(P32/O32-1,"NA")</f>
        <v>0.2661165358978772</v>
      </c>
      <c r="Q33" s="227">
        <f t="shared" ref="Q33" si="61">IFERROR(Q32/P32-1,"NA")</f>
        <v>0.1213737646764752</v>
      </c>
      <c r="R33" s="227">
        <f t="shared" ref="R33" si="62">IFERROR(R32/Q32-1,"NA")</f>
        <v>0.15337305551076863</v>
      </c>
      <c r="S33" s="227">
        <f t="shared" ref="S33" si="63">IFERROR(S32/R32-1,"NA")</f>
        <v>0.12993800920484211</v>
      </c>
      <c r="T33" s="227">
        <f t="shared" ref="T33" si="64">IFERROR(T32/S32-1,"NA")</f>
        <v>0.11216258709803428</v>
      </c>
      <c r="U33" s="227">
        <f t="shared" ref="U33" si="65">IFERROR(U32/T32-1,"NA")</f>
        <v>9.8516954037604521E-2</v>
      </c>
      <c r="V33" s="227">
        <f t="shared" ref="V33:Y33" si="66">IFERROR(V32/U32-1,"NA")</f>
        <v>8.7582416010656416E-2</v>
      </c>
      <c r="W33" s="227">
        <f t="shared" si="66"/>
        <v>7.8619728819396606E-2</v>
      </c>
      <c r="X33" s="227">
        <f t="shared" si="66"/>
        <v>7.1075701815305203E-2</v>
      </c>
      <c r="Y33" s="227">
        <f t="shared" si="66"/>
        <v>6.4612223248490697E-2</v>
      </c>
      <c r="Z33" s="247"/>
    </row>
    <row r="34" spans="1:30">
      <c r="C34" s="212" t="s">
        <v>168</v>
      </c>
      <c r="D34" s="189" t="s">
        <v>122</v>
      </c>
      <c r="E34" s="380"/>
      <c r="F34" s="380"/>
      <c r="G34" s="380"/>
      <c r="H34" s="529" t="str">
        <f t="shared" ref="H34:L34" si="67">IFERROR(H32/H$14,"NA")</f>
        <v>NA</v>
      </c>
      <c r="I34" s="227" t="str">
        <f t="shared" si="67"/>
        <v>NA</v>
      </c>
      <c r="J34" s="358">
        <f t="shared" si="67"/>
        <v>1</v>
      </c>
      <c r="K34" s="358">
        <f t="shared" si="67"/>
        <v>0.70348258706467659</v>
      </c>
      <c r="L34" s="358">
        <f t="shared" si="67"/>
        <v>0.45996443874427956</v>
      </c>
      <c r="M34" s="358">
        <f>IFERROR(M32/M$14,"NA")</f>
        <v>0.61201072572781723</v>
      </c>
      <c r="N34" s="358">
        <f t="shared" ref="N34:V34" si="68">IFERROR(N32/N$14,"NA")</f>
        <v>0.66063879210220666</v>
      </c>
      <c r="O34" s="358">
        <f t="shared" ref="O34" si="69">IFERROR(O32/O$14,"NA")</f>
        <v>0.69460556101311244</v>
      </c>
      <c r="P34" s="393">
        <f t="shared" si="68"/>
        <v>0.68050102452244032</v>
      </c>
      <c r="Q34" s="358">
        <f t="shared" si="68"/>
        <v>0.63753585639662147</v>
      </c>
      <c r="R34" s="358">
        <f t="shared" si="68"/>
        <v>0.6212072862312763</v>
      </c>
      <c r="S34" s="358">
        <f t="shared" si="68"/>
        <v>0.60816714765865676</v>
      </c>
      <c r="T34" s="358">
        <f t="shared" si="68"/>
        <v>0.59782669938783239</v>
      </c>
      <c r="U34" s="358">
        <f t="shared" si="68"/>
        <v>0.59188123074472343</v>
      </c>
      <c r="V34" s="358">
        <f t="shared" si="68"/>
        <v>0.58685317725895148</v>
      </c>
      <c r="W34" s="358">
        <f t="shared" ref="W34" si="70">IFERROR(W32/W$14,"NA")</f>
        <v>0.58245923653745635</v>
      </c>
      <c r="X34" s="358">
        <f t="shared" ref="X34" si="71">IFERROR(X32/X$14,"NA")</f>
        <v>0.57850150041151316</v>
      </c>
      <c r="Y34" s="358">
        <f t="shared" ref="Y34" si="72">IFERROR(Y32/Y$14,"NA")</f>
        <v>0.57483837676230198</v>
      </c>
      <c r="Z34" s="247"/>
    </row>
    <row r="35" spans="1:30">
      <c r="C35" s="212"/>
      <c r="D35" s="189"/>
      <c r="E35" s="380"/>
      <c r="F35" s="380"/>
      <c r="G35" s="380"/>
      <c r="H35" s="529"/>
      <c r="I35" s="227"/>
      <c r="J35" s="358"/>
      <c r="K35" s="358"/>
      <c r="L35" s="358"/>
      <c r="M35" s="683"/>
      <c r="N35" s="683"/>
      <c r="O35" s="683"/>
      <c r="P35" s="657"/>
      <c r="Q35" s="244"/>
      <c r="R35" s="244"/>
      <c r="S35" s="244"/>
      <c r="T35" s="244"/>
      <c r="U35" s="244"/>
      <c r="V35" s="244"/>
      <c r="W35" s="244"/>
      <c r="X35" s="244"/>
      <c r="Y35" s="244"/>
      <c r="Z35" s="247"/>
    </row>
    <row r="36" spans="1:30">
      <c r="C36" s="379" t="s">
        <v>228</v>
      </c>
      <c r="D36" s="204" t="s">
        <v>256</v>
      </c>
      <c r="E36" s="277"/>
      <c r="F36" s="277"/>
      <c r="G36" s="277"/>
      <c r="H36" s="530">
        <f>H32-H40</f>
        <v>0.311</v>
      </c>
      <c r="I36" s="530">
        <f t="shared" ref="I36:V36" si="73">I32-I40</f>
        <v>1.427</v>
      </c>
      <c r="J36" s="530">
        <f t="shared" si="73"/>
        <v>2.6059999999999999</v>
      </c>
      <c r="K36" s="530">
        <f t="shared" si="73"/>
        <v>4.0779999999999994</v>
      </c>
      <c r="L36" s="226">
        <f t="shared" si="73"/>
        <v>15.356851371440229</v>
      </c>
      <c r="M36" s="226">
        <f t="shared" si="73"/>
        <v>19.649000000000001</v>
      </c>
      <c r="N36" s="226">
        <f t="shared" si="73"/>
        <v>25.780999999999992</v>
      </c>
      <c r="O36" s="226">
        <f t="shared" ref="O36" si="74">O32-O40</f>
        <v>31.574000000000005</v>
      </c>
      <c r="P36" s="270">
        <f t="shared" si="73"/>
        <v>34.552999999999983</v>
      </c>
      <c r="Q36" s="225">
        <f t="shared" si="73"/>
        <v>34.153063956098762</v>
      </c>
      <c r="R36" s="225">
        <f t="shared" si="73"/>
        <v>36.712258793424738</v>
      </c>
      <c r="S36" s="225">
        <f t="shared" si="73"/>
        <v>35.435044488188908</v>
      </c>
      <c r="T36" s="225">
        <f t="shared" si="73"/>
        <v>32.998331802547682</v>
      </c>
      <c r="U36" s="225">
        <f t="shared" si="73"/>
        <v>30.10839556347446</v>
      </c>
      <c r="V36" s="225">
        <f t="shared" si="73"/>
        <v>26.203154444855187</v>
      </c>
      <c r="W36" s="225">
        <f t="shared" ref="W36" si="75">W32-W40</f>
        <v>21.296525517290348</v>
      </c>
      <c r="X36" s="225">
        <f t="shared" ref="X36" si="76">X32-X40</f>
        <v>15.397539192023089</v>
      </c>
      <c r="Y36" s="225">
        <f t="shared" ref="Y36" si="77">Y32-Y40</f>
        <v>8.5138044092239795</v>
      </c>
      <c r="Z36" s="247">
        <f>(R36/O36)^(1/3)-1</f>
        <v>5.1543315949703628E-2</v>
      </c>
    </row>
    <row r="37" spans="1:30">
      <c r="C37" s="212" t="s">
        <v>17</v>
      </c>
      <c r="D37" s="189" t="s">
        <v>122</v>
      </c>
      <c r="E37" s="363"/>
      <c r="F37" s="380"/>
      <c r="G37" s="380"/>
      <c r="H37" s="529" t="str">
        <f>IFERROR(H36/G36-1,"NA")</f>
        <v>NA</v>
      </c>
      <c r="I37" s="227">
        <f t="shared" ref="I37" si="78">IFERROR(I36/H36-1,"NA")</f>
        <v>3.5884244372990359</v>
      </c>
      <c r="J37" s="358">
        <f t="shared" ref="J37" si="79">IFERROR(J36/I36-1,"NA")</f>
        <v>0.82620882971268372</v>
      </c>
      <c r="K37" s="358">
        <f t="shared" ref="K37" si="80">IFERROR(K36/J36-1,"NA")</f>
        <v>0.56485034535686851</v>
      </c>
      <c r="L37" s="358">
        <f t="shared" ref="L37" si="81">IFERROR(L36/K36-1,"NA")</f>
        <v>2.7657801303188405</v>
      </c>
      <c r="M37" s="358">
        <f t="shared" ref="M37" si="82">IFERROR(M36/L36-1,"NA")</f>
        <v>0.27949405283312556</v>
      </c>
      <c r="N37" s="358">
        <f t="shared" ref="N37:O37" si="83">IFERROR(N36/M36-1,"NA")</f>
        <v>0.31207695048093997</v>
      </c>
      <c r="O37" s="358">
        <f t="shared" si="83"/>
        <v>0.22470036073077138</v>
      </c>
      <c r="P37" s="393">
        <f t="shared" ref="P37" si="84">IFERROR(P36/O36-1,"NA")</f>
        <v>9.4349781465762339E-2</v>
      </c>
      <c r="Q37" s="227">
        <f t="shared" ref="Q37" si="85">IFERROR(Q36/P36-1,"NA")</f>
        <v>-1.1574567878367192E-2</v>
      </c>
      <c r="R37" s="227">
        <f t="shared" ref="R37" si="86">IFERROR(R36/Q36-1,"NA")</f>
        <v>7.4933096503893015E-2</v>
      </c>
      <c r="S37" s="227">
        <f t="shared" ref="S37" si="87">IFERROR(S36/R36-1,"NA")</f>
        <v>-3.4789858952088859E-2</v>
      </c>
      <c r="T37" s="227">
        <f t="shared" ref="T37" si="88">IFERROR(T36/S36-1,"NA")</f>
        <v>-6.8765616661026652E-2</v>
      </c>
      <c r="U37" s="227">
        <f t="shared" ref="U37" si="89">IFERROR(U36/T36-1,"NA")</f>
        <v>-8.7578252633064957E-2</v>
      </c>
      <c r="V37" s="227">
        <f t="shared" ref="V37:Y37" si="90">IFERROR(V36/U36-1,"NA")</f>
        <v>-0.12970605193445961</v>
      </c>
      <c r="W37" s="227">
        <f t="shared" si="90"/>
        <v>-0.18725336821148353</v>
      </c>
      <c r="X37" s="227">
        <f t="shared" si="90"/>
        <v>-0.27699289823018103</v>
      </c>
      <c r="Y37" s="227">
        <f t="shared" si="90"/>
        <v>-0.44706720320382909</v>
      </c>
      <c r="Z37" s="247"/>
    </row>
    <row r="38" spans="1:30">
      <c r="C38" s="212" t="s">
        <v>168</v>
      </c>
      <c r="D38" s="189" t="s">
        <v>122</v>
      </c>
      <c r="E38" s="380"/>
      <c r="F38" s="380"/>
      <c r="G38" s="380"/>
      <c r="H38" s="529" t="str">
        <f>IFERROR(H36/H$14,"NA")</f>
        <v>NA</v>
      </c>
      <c r="I38" s="227" t="str">
        <f t="shared" ref="I38:V38" si="91">IFERROR(I36/I$14,"NA")</f>
        <v>NA</v>
      </c>
      <c r="J38" s="460">
        <f t="shared" si="91"/>
        <v>162.875</v>
      </c>
      <c r="K38" s="358">
        <f t="shared" si="91"/>
        <v>2.0288557213930347</v>
      </c>
      <c r="L38" s="358">
        <f t="shared" si="91"/>
        <v>0.47544431490527028</v>
      </c>
      <c r="M38" s="358">
        <f t="shared" si="91"/>
        <v>0.34212634071597714</v>
      </c>
      <c r="N38" s="358">
        <f t="shared" si="91"/>
        <v>0.29943089430894299</v>
      </c>
      <c r="O38" s="358">
        <f t="shared" ref="O38" si="92">IFERROR(O36/O$14,"NA")</f>
        <v>0.26971340708153596</v>
      </c>
      <c r="P38" s="393">
        <f t="shared" si="91"/>
        <v>0.22838918633088759</v>
      </c>
      <c r="Q38" s="227">
        <f t="shared" si="91"/>
        <v>0.18860139006470439</v>
      </c>
      <c r="R38" s="227">
        <f t="shared" si="91"/>
        <v>0.17127281989935916</v>
      </c>
      <c r="S38" s="227">
        <f t="shared" si="91"/>
        <v>0.14323268132673955</v>
      </c>
      <c r="T38" s="227">
        <f t="shared" si="91"/>
        <v>0.11789223305591529</v>
      </c>
      <c r="U38" s="227">
        <f t="shared" si="91"/>
        <v>9.6946764412806238E-2</v>
      </c>
      <c r="V38" s="227">
        <f t="shared" si="91"/>
        <v>7.6918710927034339E-2</v>
      </c>
      <c r="W38" s="227">
        <f t="shared" ref="W38" si="93">IFERROR(W36/W$14,"NA")</f>
        <v>5.7524770205539096E-2</v>
      </c>
      <c r="X38" s="227">
        <f t="shared" ref="X38" si="94">IFERROR(X36/X$14,"NA")</f>
        <v>3.856703407959592E-2</v>
      </c>
      <c r="Y38" s="227">
        <f t="shared" ref="Y38" si="95">IFERROR(Y36/Y$14,"NA")</f>
        <v>1.9903910430384794E-2</v>
      </c>
      <c r="Z38" s="247"/>
    </row>
    <row r="39" spans="1:30">
      <c r="C39" s="369"/>
      <c r="D39" s="189"/>
      <c r="E39" s="363"/>
      <c r="F39" s="363"/>
      <c r="G39" s="363"/>
      <c r="H39" s="531"/>
      <c r="I39" s="221"/>
      <c r="J39" s="532"/>
      <c r="K39" s="223"/>
      <c r="L39" s="223"/>
      <c r="M39" s="223"/>
      <c r="N39" s="223"/>
      <c r="O39" s="223"/>
      <c r="P39" s="468"/>
      <c r="Q39" s="221"/>
      <c r="R39" s="221"/>
      <c r="S39" s="221"/>
      <c r="T39" s="221"/>
      <c r="U39" s="221"/>
      <c r="V39" s="221"/>
      <c r="W39" s="221"/>
      <c r="X39" s="221"/>
      <c r="Y39" s="221"/>
      <c r="Z39" s="247"/>
    </row>
    <row r="40" spans="1:30">
      <c r="C40" s="607" t="s">
        <v>49</v>
      </c>
      <c r="D40" s="608" t="s">
        <v>256</v>
      </c>
      <c r="E40" s="374"/>
      <c r="F40" s="374"/>
      <c r="G40" s="374"/>
      <c r="H40" s="605">
        <f t="shared" ref="H40:Y40" si="96">H101+H117</f>
        <v>-0.311</v>
      </c>
      <c r="I40" s="605">
        <f t="shared" si="96"/>
        <v>-1.427</v>
      </c>
      <c r="J40" s="427">
        <f t="shared" si="96"/>
        <v>-2.59</v>
      </c>
      <c r="K40" s="427">
        <f t="shared" si="96"/>
        <v>-2.6639999999999997</v>
      </c>
      <c r="L40" s="427">
        <f t="shared" si="96"/>
        <v>-0.5</v>
      </c>
      <c r="M40" s="427">
        <f t="shared" si="96"/>
        <v>15.5</v>
      </c>
      <c r="N40" s="427">
        <f t="shared" si="96"/>
        <v>31.1</v>
      </c>
      <c r="O40" s="427">
        <f t="shared" si="96"/>
        <v>49.74</v>
      </c>
      <c r="P40" s="473">
        <f t="shared" si="96"/>
        <v>68.400000000000006</v>
      </c>
      <c r="Q40" s="605">
        <f t="shared" si="96"/>
        <v>81.295729238638387</v>
      </c>
      <c r="R40" s="605">
        <f t="shared" si="96"/>
        <v>96.44326856862007</v>
      </c>
      <c r="S40" s="605">
        <f t="shared" si="96"/>
        <v>115.02244701390089</v>
      </c>
      <c r="T40" s="605">
        <f t="shared" si="96"/>
        <v>134.33486119469703</v>
      </c>
      <c r="U40" s="605">
        <f t="shared" si="96"/>
        <v>153.70995391724543</v>
      </c>
      <c r="V40" s="605">
        <f t="shared" si="96"/>
        <v>173.71445019047735</v>
      </c>
      <c r="W40" s="605">
        <f t="shared" si="96"/>
        <v>194.33854698069538</v>
      </c>
      <c r="X40" s="605">
        <f t="shared" si="96"/>
        <v>215.56394741975117</v>
      </c>
      <c r="Y40" s="605">
        <f t="shared" si="96"/>
        <v>237.37061733731355</v>
      </c>
      <c r="Z40" s="247">
        <f>(R40/O40)^(1/3)-1</f>
        <v>0.24696820461550328</v>
      </c>
    </row>
    <row r="41" spans="1:30">
      <c r="C41" s="212" t="s">
        <v>17</v>
      </c>
      <c r="D41" s="189" t="s">
        <v>122</v>
      </c>
      <c r="E41" s="363"/>
      <c r="F41" s="380"/>
      <c r="G41" s="380"/>
      <c r="H41" s="529" t="str">
        <f>IFERROR(H40/G40-1,"NA")</f>
        <v>NA</v>
      </c>
      <c r="I41" s="227">
        <f t="shared" ref="I41" si="97">IFERROR(I40/H40-1,"NA")</f>
        <v>3.5884244372990359</v>
      </c>
      <c r="J41" s="358">
        <f t="shared" ref="J41" si="98">IFERROR(J40/I40-1,"NA")</f>
        <v>0.81499649614576009</v>
      </c>
      <c r="K41" s="358">
        <f t="shared" ref="K41" si="99">IFERROR(K40/J40-1,"NA")</f>
        <v>2.857142857142847E-2</v>
      </c>
      <c r="L41" s="358">
        <f t="shared" ref="L41" si="100">IFERROR(L40/K40-1,"NA")</f>
        <v>-0.81231231231231227</v>
      </c>
      <c r="M41" s="460">
        <f t="shared" ref="M41" si="101">IFERROR(M40/L40-1,"NA")</f>
        <v>-32</v>
      </c>
      <c r="N41" s="358">
        <f t="shared" ref="N41:O41" si="102">IFERROR(N40/M40-1,"NA")</f>
        <v>1.0064516129032257</v>
      </c>
      <c r="O41" s="358">
        <f t="shared" si="102"/>
        <v>0.59935691318327966</v>
      </c>
      <c r="P41" s="393">
        <f t="shared" ref="P41" si="103">IFERROR(P40/O40-1,"NA")</f>
        <v>0.37515078407720148</v>
      </c>
      <c r="Q41" s="227">
        <f t="shared" ref="Q41" si="104">IFERROR(Q40/P40-1,"NA")</f>
        <v>0.18853405319646765</v>
      </c>
      <c r="R41" s="227">
        <f t="shared" ref="R41" si="105">IFERROR(R40/Q40-1,"NA")</f>
        <v>0.18632638481557939</v>
      </c>
      <c r="S41" s="227">
        <f t="shared" ref="S41" si="106">IFERROR(S40/R40-1,"NA")</f>
        <v>0.19264359992176749</v>
      </c>
      <c r="T41" s="227">
        <f t="shared" ref="T41" si="107">IFERROR(T40/S40-1,"NA")</f>
        <v>0.16790126346783563</v>
      </c>
      <c r="U41" s="227">
        <f t="shared" ref="U41" si="108">IFERROR(U40/T40-1,"NA")</f>
        <v>0.14422981905245935</v>
      </c>
      <c r="V41" s="227">
        <f t="shared" ref="V41:Y41" si="109">IFERROR(V40/U40-1,"NA")</f>
        <v>0.13014444259089397</v>
      </c>
      <c r="W41" s="227">
        <f t="shared" si="109"/>
        <v>0.11872412898065643</v>
      </c>
      <c r="X41" s="227">
        <f t="shared" si="109"/>
        <v>0.10921868444948402</v>
      </c>
      <c r="Y41" s="227">
        <f t="shared" si="109"/>
        <v>0.10116102520195502</v>
      </c>
      <c r="Z41" s="247"/>
    </row>
    <row r="42" spans="1:30">
      <c r="C42" s="212" t="s">
        <v>168</v>
      </c>
      <c r="D42" s="189" t="s">
        <v>122</v>
      </c>
      <c r="E42" s="380"/>
      <c r="F42" s="380"/>
      <c r="G42" s="380"/>
      <c r="H42" s="529"/>
      <c r="I42" s="227"/>
      <c r="J42" s="460"/>
      <c r="K42" s="358"/>
      <c r="L42" s="358">
        <f>IFERROR(L40/L$14,"NA")</f>
        <v>-1.5479876160990714E-2</v>
      </c>
      <c r="M42" s="358">
        <f t="shared" ref="M42:V42" si="110">IFERROR(M40/M$14,"NA")</f>
        <v>0.26988438501184009</v>
      </c>
      <c r="N42" s="358">
        <f t="shared" si="110"/>
        <v>0.36120789779326368</v>
      </c>
      <c r="O42" s="358">
        <f t="shared" ref="O42" si="111">IFERROR(O40/O$14,"NA")</f>
        <v>0.42489215393157648</v>
      </c>
      <c r="P42" s="393">
        <f t="shared" si="110"/>
        <v>0.45211183819155271</v>
      </c>
      <c r="Q42" s="358">
        <f t="shared" si="110"/>
        <v>0.44893446633191714</v>
      </c>
      <c r="R42" s="358">
        <f t="shared" si="110"/>
        <v>0.44993446633191714</v>
      </c>
      <c r="S42" s="358">
        <f t="shared" si="110"/>
        <v>0.46493446633191715</v>
      </c>
      <c r="T42" s="358">
        <f t="shared" si="110"/>
        <v>0.47993446633191716</v>
      </c>
      <c r="U42" s="358">
        <f t="shared" si="110"/>
        <v>0.49493446633191723</v>
      </c>
      <c r="V42" s="358">
        <f t="shared" si="110"/>
        <v>0.50993446633191719</v>
      </c>
      <c r="W42" s="358">
        <f t="shared" ref="W42" si="112">IFERROR(W40/W$14,"NA")</f>
        <v>0.5249344663319172</v>
      </c>
      <c r="X42" s="358">
        <f t="shared" ref="X42" si="113">IFERROR(X40/X$14,"NA")</f>
        <v>0.53993446633191722</v>
      </c>
      <c r="Y42" s="358">
        <f t="shared" ref="Y42" si="114">IFERROR(Y40/Y$14,"NA")</f>
        <v>0.55493446633191723</v>
      </c>
      <c r="Z42" s="247"/>
    </row>
    <row r="44" spans="1:30">
      <c r="C44" s="25"/>
      <c r="D44" s="21"/>
      <c r="E44" s="180"/>
      <c r="F44" s="180"/>
      <c r="G44" s="180"/>
      <c r="H44" s="180"/>
      <c r="I44" s="180"/>
      <c r="J44" s="180"/>
      <c r="K44" s="424"/>
      <c r="L44" s="424"/>
      <c r="M44" s="424"/>
      <c r="N44" s="424"/>
      <c r="O44" s="424"/>
      <c r="P44" s="470"/>
      <c r="Q44" s="424"/>
      <c r="R44" s="424"/>
      <c r="S44" s="424"/>
      <c r="T44" s="424"/>
      <c r="U44" s="424"/>
      <c r="V44" s="424"/>
      <c r="W44" s="424"/>
      <c r="X44" s="424"/>
      <c r="Y44" s="424"/>
      <c r="AA44" s="356"/>
    </row>
    <row r="45" spans="1:30" s="376" customFormat="1" ht="18">
      <c r="A45" s="355"/>
      <c r="B45" s="355"/>
      <c r="C45" s="711" t="str">
        <f>C11</f>
        <v>Singapore Mobile</v>
      </c>
      <c r="D45" s="712"/>
      <c r="E45" s="713"/>
      <c r="F45" s="713"/>
      <c r="G45" s="713"/>
      <c r="H45" s="713"/>
      <c r="I45" s="713"/>
      <c r="J45" s="714"/>
      <c r="K45" s="715"/>
      <c r="L45" s="715"/>
      <c r="M45" s="715"/>
      <c r="N45" s="715"/>
      <c r="O45" s="715"/>
      <c r="P45" s="716"/>
      <c r="Q45" s="717"/>
      <c r="R45" s="717"/>
      <c r="S45" s="717"/>
      <c r="T45" s="717"/>
      <c r="U45" s="717"/>
      <c r="V45" s="717"/>
      <c r="W45" s="717"/>
      <c r="X45" s="717"/>
      <c r="Y45" s="717"/>
      <c r="Z45" s="718"/>
      <c r="AA45" s="356"/>
      <c r="AB45" s="377"/>
      <c r="AC45" s="377"/>
      <c r="AD45" s="377"/>
    </row>
    <row r="46" spans="1:30" s="345" customFormat="1">
      <c r="A46" s="234"/>
      <c r="B46" s="187"/>
      <c r="C46" s="187"/>
      <c r="D46" s="189"/>
      <c r="E46" s="195"/>
      <c r="F46" s="195"/>
      <c r="G46" s="195"/>
      <c r="H46" s="195"/>
      <c r="I46" s="195"/>
      <c r="J46" s="235"/>
      <c r="K46" s="223"/>
      <c r="L46" s="223"/>
      <c r="M46" s="223"/>
      <c r="N46" s="223"/>
      <c r="O46" s="223"/>
      <c r="P46" s="468"/>
      <c r="Q46" s="221"/>
      <c r="R46" s="221"/>
      <c r="S46" s="221"/>
      <c r="T46" s="221"/>
      <c r="U46" s="221"/>
      <c r="V46" s="221"/>
      <c r="W46" s="221"/>
      <c r="X46" s="221"/>
      <c r="Y46" s="221"/>
      <c r="Z46" s="247"/>
      <c r="AA46" s="356"/>
      <c r="AB46" s="375"/>
      <c r="AC46" s="375"/>
      <c r="AD46" s="375"/>
    </row>
    <row r="47" spans="1:30" s="345" customFormat="1">
      <c r="A47" s="234"/>
      <c r="B47" s="187"/>
      <c r="C47" s="719" t="s">
        <v>280</v>
      </c>
      <c r="D47" s="189"/>
      <c r="E47" s="195"/>
      <c r="F47" s="195"/>
      <c r="G47" s="195"/>
      <c r="H47" s="195"/>
      <c r="I47" s="195"/>
      <c r="J47" s="235"/>
      <c r="K47" s="223"/>
      <c r="L47" s="623"/>
      <c r="M47" s="623"/>
      <c r="N47" s="623"/>
      <c r="O47" s="623"/>
      <c r="P47" s="624"/>
      <c r="Q47" s="221"/>
      <c r="R47" s="221"/>
      <c r="S47" s="221"/>
      <c r="T47" s="221"/>
      <c r="U47" s="221"/>
      <c r="V47" s="221"/>
      <c r="W47" s="221"/>
      <c r="X47" s="221"/>
      <c r="Y47" s="221"/>
      <c r="Z47" s="247"/>
      <c r="AA47" s="356"/>
      <c r="AB47" s="375"/>
      <c r="AC47" s="375"/>
      <c r="AD47" s="375"/>
    </row>
    <row r="48" spans="1:30" s="345" customFormat="1">
      <c r="A48" s="234"/>
      <c r="B48" s="187"/>
      <c r="C48" s="187"/>
      <c r="D48" s="189"/>
      <c r="E48" s="195"/>
      <c r="F48" s="195"/>
      <c r="G48" s="195"/>
      <c r="H48" s="195"/>
      <c r="I48" s="195"/>
      <c r="J48" s="235"/>
      <c r="K48" s="223"/>
      <c r="L48" s="223"/>
      <c r="M48" s="223"/>
      <c r="N48" s="223"/>
      <c r="O48" s="223"/>
      <c r="P48" s="468"/>
      <c r="Q48" s="221"/>
      <c r="R48" s="221"/>
      <c r="S48" s="221"/>
      <c r="T48" s="221"/>
      <c r="U48" s="221"/>
      <c r="V48" s="221"/>
      <c r="W48" s="221"/>
      <c r="X48" s="221"/>
      <c r="Y48" s="221"/>
      <c r="Z48" s="247"/>
      <c r="AA48" s="356"/>
      <c r="AB48" s="375"/>
      <c r="AC48" s="375"/>
      <c r="AD48" s="375"/>
    </row>
    <row r="49" spans="1:39" s="345" customFormat="1">
      <c r="A49" s="234"/>
      <c r="B49" s="187"/>
      <c r="C49" s="187" t="s">
        <v>250</v>
      </c>
      <c r="D49" s="189" t="s">
        <v>165</v>
      </c>
      <c r="E49" s="195"/>
      <c r="F49" s="195"/>
      <c r="G49" s="543">
        <v>5.5903520200000001</v>
      </c>
      <c r="H49" s="543">
        <v>5.61</v>
      </c>
      <c r="I49" s="543">
        <v>5.6387</v>
      </c>
      <c r="J49" s="543">
        <v>5.7030000000000003</v>
      </c>
      <c r="K49" s="543">
        <v>5.69</v>
      </c>
      <c r="L49" s="647">
        <v>5.6770296335262147</v>
      </c>
      <c r="M49" s="647">
        <v>5.6770296335262147</v>
      </c>
      <c r="N49" s="647">
        <v>5.6770296335262147</v>
      </c>
      <c r="O49" s="647">
        <v>5.6770296335262147</v>
      </c>
      <c r="P49" s="544">
        <v>5.6254431542071499</v>
      </c>
      <c r="Q49" s="543">
        <v>5.6126199451935266</v>
      </c>
      <c r="R49" s="543">
        <v>5.599825966710708</v>
      </c>
      <c r="S49" s="543">
        <v>5.5870611521276397</v>
      </c>
      <c r="T49" s="543">
        <v>5.5743254349651536</v>
      </c>
      <c r="U49" s="543">
        <v>5.5616187488956204</v>
      </c>
      <c r="V49" s="543">
        <v>5.5616187488956204</v>
      </c>
      <c r="W49" s="543">
        <v>5.5616187488956204</v>
      </c>
      <c r="X49" s="543">
        <v>5.5616187488956204</v>
      </c>
      <c r="Y49" s="543">
        <v>5.5616187488956204</v>
      </c>
      <c r="Z49" s="247"/>
      <c r="AA49" s="356"/>
      <c r="AB49" s="375"/>
      <c r="AC49" s="375"/>
      <c r="AD49" s="375"/>
    </row>
    <row r="50" spans="1:39" s="345" customFormat="1">
      <c r="A50" s="234"/>
      <c r="B50" s="187"/>
      <c r="C50" s="202" t="s">
        <v>252</v>
      </c>
      <c r="D50" s="204" t="s">
        <v>226</v>
      </c>
      <c r="E50" s="207"/>
      <c r="F50" s="207"/>
      <c r="G50" s="539">
        <v>8414</v>
      </c>
      <c r="H50" s="539">
        <v>8454</v>
      </c>
      <c r="I50" s="539">
        <v>8329</v>
      </c>
      <c r="J50" s="423">
        <v>8602</v>
      </c>
      <c r="K50" s="385">
        <v>8214.6</v>
      </c>
      <c r="L50" s="385">
        <v>8422.3222719999994</v>
      </c>
      <c r="M50" s="385">
        <v>8422.3222719999994</v>
      </c>
      <c r="N50" s="385">
        <v>8422.3222719999994</v>
      </c>
      <c r="O50" s="385">
        <v>8422.3222719999994</v>
      </c>
      <c r="P50" s="469">
        <v>9770</v>
      </c>
      <c r="Q50" s="540">
        <v>9446.031301407349</v>
      </c>
      <c r="R50" s="540">
        <v>9568.7466912766304</v>
      </c>
      <c r="S50" s="540">
        <v>9701.9239966734167</v>
      </c>
      <c r="T50" s="540">
        <v>9830.8386575967925</v>
      </c>
      <c r="U50" s="540">
        <v>9955.2872349868339</v>
      </c>
      <c r="V50" s="540">
        <f>U50*1.014</f>
        <v>10094.66125627665</v>
      </c>
      <c r="W50" s="540">
        <f t="shared" ref="W50:Y50" si="115">V50*1.014</f>
        <v>10235.986513864522</v>
      </c>
      <c r="X50" s="540">
        <f t="shared" si="115"/>
        <v>10379.290325058626</v>
      </c>
      <c r="Y50" s="540">
        <f t="shared" si="115"/>
        <v>10524.600389609446</v>
      </c>
      <c r="Z50" s="247"/>
      <c r="AA50" s="356"/>
      <c r="AB50" s="375"/>
      <c r="AC50" s="375"/>
      <c r="AD50" s="375"/>
    </row>
    <row r="51" spans="1:39" s="345" customFormat="1">
      <c r="A51" s="234"/>
      <c r="B51" s="187"/>
      <c r="C51" s="535" t="s">
        <v>227</v>
      </c>
      <c r="D51" s="384" t="s">
        <v>122</v>
      </c>
      <c r="E51" s="195"/>
      <c r="F51" s="195"/>
      <c r="G51" s="195"/>
      <c r="H51" s="541">
        <f t="shared" ref="H51" si="116">H50/G50-1</f>
        <v>4.7539814594723673E-3</v>
      </c>
      <c r="I51" s="541">
        <f t="shared" ref="I51" si="117">I50/H50-1</f>
        <v>-1.4785900165602106E-2</v>
      </c>
      <c r="J51" s="542">
        <f t="shared" ref="J51" si="118">J50/I50-1</f>
        <v>3.2777044062912708E-2</v>
      </c>
      <c r="K51" s="431">
        <f t="shared" ref="K51" si="119">K50/J50-1</f>
        <v>-4.5036038130667255E-2</v>
      </c>
      <c r="L51" s="648">
        <f>L50/K50-1</f>
        <v>2.528696126409069E-2</v>
      </c>
      <c r="M51" s="648">
        <f>M50/L50-1</f>
        <v>0</v>
      </c>
      <c r="N51" s="648">
        <f>N50/M50-1</f>
        <v>0</v>
      </c>
      <c r="O51" s="648">
        <f>O50/N50-1</f>
        <v>0</v>
      </c>
      <c r="P51" s="537">
        <f t="shared" ref="P51" si="120">P50/O50-1</f>
        <v>0.16001260513152693</v>
      </c>
      <c r="Q51" s="431">
        <f t="shared" ref="Q51" si="121">Q50/P50-1</f>
        <v>-3.3159539262297977E-2</v>
      </c>
      <c r="R51" s="431">
        <f t="shared" ref="R51" si="122">R50/Q50-1</f>
        <v>1.2991211436171879E-2</v>
      </c>
      <c r="S51" s="431">
        <f t="shared" ref="S51" si="123">S50/R50-1</f>
        <v>1.3917946591500696E-2</v>
      </c>
      <c r="T51" s="431">
        <f t="shared" ref="T51" si="124">T50/S50-1</f>
        <v>1.3287535644226578E-2</v>
      </c>
      <c r="U51" s="431">
        <f t="shared" ref="U51" si="125">U50/T50-1</f>
        <v>1.2658999066562204E-2</v>
      </c>
      <c r="V51" s="431">
        <f t="shared" ref="V51:Y51" si="126">V50/U50-1</f>
        <v>1.4000000000000012E-2</v>
      </c>
      <c r="W51" s="431">
        <f t="shared" si="126"/>
        <v>1.4000000000000012E-2</v>
      </c>
      <c r="X51" s="431">
        <f t="shared" si="126"/>
        <v>1.4000000000000012E-2</v>
      </c>
      <c r="Y51" s="431">
        <f t="shared" si="126"/>
        <v>1.4000000000000012E-2</v>
      </c>
      <c r="Z51" s="247"/>
      <c r="AA51" s="356"/>
      <c r="AB51" s="375"/>
      <c r="AC51" s="375"/>
      <c r="AD51" s="375"/>
    </row>
    <row r="52" spans="1:39" s="345" customFormat="1">
      <c r="A52" s="234"/>
      <c r="B52" s="187"/>
      <c r="C52" s="545" t="s">
        <v>251</v>
      </c>
      <c r="D52" s="546"/>
      <c r="E52" s="547"/>
      <c r="F52" s="548"/>
      <c r="G52" s="548">
        <f t="shared" ref="G52:V52" si="127">(G50/1000)/G49</f>
        <v>1.5050930549450443</v>
      </c>
      <c r="H52" s="548">
        <f t="shared" si="127"/>
        <v>1.5069518716577541</v>
      </c>
      <c r="I52" s="548">
        <f t="shared" si="127"/>
        <v>1.4771135190735454</v>
      </c>
      <c r="J52" s="548">
        <f t="shared" si="127"/>
        <v>1.5083289496756094</v>
      </c>
      <c r="K52" s="548">
        <f t="shared" si="127"/>
        <v>1.4436906854130054</v>
      </c>
      <c r="L52" s="649">
        <f t="shared" si="127"/>
        <v>1.4835790573051106</v>
      </c>
      <c r="M52" s="649">
        <f t="shared" ref="M52:N52" si="128">(M50/1000)/M49</f>
        <v>1.4835790573051106</v>
      </c>
      <c r="N52" s="649">
        <f t="shared" si="128"/>
        <v>1.4835790573051106</v>
      </c>
      <c r="O52" s="649">
        <f t="shared" ref="O52" si="129">(O50/1000)/O49</f>
        <v>1.4835790573051106</v>
      </c>
      <c r="P52" s="549">
        <f t="shared" si="127"/>
        <v>1.7367520624029813</v>
      </c>
      <c r="Q52" s="548">
        <f t="shared" si="127"/>
        <v>1.6829985628185347</v>
      </c>
      <c r="R52" s="548">
        <f t="shared" si="127"/>
        <v>1.708757870005241</v>
      </c>
      <c r="S52" s="548">
        <f t="shared" si="127"/>
        <v>1.7364986228902781</v>
      </c>
      <c r="T52" s="548">
        <f t="shared" si="127"/>
        <v>1.7635925229504021</v>
      </c>
      <c r="U52" s="548">
        <f t="shared" si="127"/>
        <v>1.7899981434296752</v>
      </c>
      <c r="V52" s="548">
        <f t="shared" si="127"/>
        <v>1.8150581174376907</v>
      </c>
      <c r="W52" s="548">
        <f t="shared" ref="W52" si="130">(W50/1000)/W49</f>
        <v>1.8404689310818181</v>
      </c>
      <c r="X52" s="548">
        <f t="shared" ref="X52" si="131">(X50/1000)/X49</f>
        <v>1.866235496116964</v>
      </c>
      <c r="Y52" s="548">
        <f t="shared" ref="Y52" si="132">(Y50/1000)/Y49</f>
        <v>1.8923627930626012</v>
      </c>
      <c r="Z52" s="247"/>
      <c r="AA52" s="356"/>
      <c r="AB52" s="375"/>
      <c r="AC52" s="375"/>
      <c r="AD52" s="375"/>
      <c r="AM52" s="247"/>
    </row>
    <row r="53" spans="1:39" s="345" customFormat="1">
      <c r="A53" s="234"/>
      <c r="B53" s="187"/>
      <c r="C53" s="545"/>
      <c r="D53" s="546"/>
      <c r="E53" s="547"/>
      <c r="F53" s="548"/>
      <c r="G53" s="548"/>
      <c r="H53" s="548"/>
      <c r="I53" s="548"/>
      <c r="J53" s="548"/>
      <c r="K53" s="548"/>
      <c r="L53" s="649"/>
      <c r="M53" s="649"/>
      <c r="N53" s="649"/>
      <c r="O53" s="649"/>
      <c r="P53" s="549"/>
      <c r="Q53" s="548"/>
      <c r="R53" s="548"/>
      <c r="S53" s="548"/>
      <c r="T53" s="548"/>
      <c r="U53" s="431"/>
      <c r="V53" s="431"/>
      <c r="W53" s="431"/>
      <c r="X53" s="431"/>
      <c r="Y53" s="431"/>
      <c r="Z53" s="247"/>
      <c r="AA53" s="356"/>
      <c r="AB53" s="375"/>
      <c r="AC53" s="375"/>
      <c r="AD53" s="375"/>
      <c r="AM53" s="247"/>
    </row>
    <row r="54" spans="1:39" s="345" customFormat="1">
      <c r="A54" s="234"/>
      <c r="B54" s="187"/>
      <c r="C54" s="422" t="s">
        <v>249</v>
      </c>
      <c r="D54" s="429" t="s">
        <v>226</v>
      </c>
      <c r="E54" s="195"/>
      <c r="F54" s="195"/>
      <c r="G54" s="195"/>
      <c r="H54" s="195"/>
      <c r="I54" s="195"/>
      <c r="J54" s="235"/>
      <c r="K54" s="533">
        <v>133</v>
      </c>
      <c r="L54" s="650">
        <v>392</v>
      </c>
      <c r="M54" s="650">
        <v>587</v>
      </c>
      <c r="N54" s="650">
        <v>819</v>
      </c>
      <c r="O54" s="650">
        <v>1053</v>
      </c>
      <c r="P54" s="536">
        <v>1254</v>
      </c>
      <c r="Q54" s="430">
        <f t="shared" ref="Q54:Y54" si="133">P54+Q56</f>
        <v>1424.85</v>
      </c>
      <c r="R54" s="430">
        <f t="shared" si="133"/>
        <v>1578.6149999999998</v>
      </c>
      <c r="S54" s="430">
        <f t="shared" si="133"/>
        <v>1717.0034999999998</v>
      </c>
      <c r="T54" s="430">
        <f t="shared" si="133"/>
        <v>1841.5531499999997</v>
      </c>
      <c r="U54" s="430">
        <f t="shared" si="133"/>
        <v>1953.6478349999998</v>
      </c>
      <c r="V54" s="430">
        <f t="shared" si="133"/>
        <v>2054.5330514999996</v>
      </c>
      <c r="W54" s="430">
        <f t="shared" si="133"/>
        <v>2145.3297463499994</v>
      </c>
      <c r="X54" s="430">
        <f t="shared" si="133"/>
        <v>2227.0467717149995</v>
      </c>
      <c r="Y54" s="430">
        <f t="shared" si="133"/>
        <v>2300.5920945434996</v>
      </c>
      <c r="Z54" s="247"/>
      <c r="AA54" s="356"/>
      <c r="AB54" s="823"/>
      <c r="AC54" s="375"/>
      <c r="AD54" s="375"/>
    </row>
    <row r="55" spans="1:39" s="345" customFormat="1">
      <c r="A55" s="234"/>
      <c r="B55" s="187"/>
      <c r="C55" s="535" t="s">
        <v>227</v>
      </c>
      <c r="D55" s="384" t="s">
        <v>122</v>
      </c>
      <c r="E55" s="195"/>
      <c r="F55" s="195"/>
      <c r="G55" s="195"/>
      <c r="H55" s="195"/>
      <c r="I55" s="195"/>
      <c r="J55" s="235"/>
      <c r="K55" s="383"/>
      <c r="L55" s="648">
        <f>L54/K54-1</f>
        <v>1.9473684210526314</v>
      </c>
      <c r="M55" s="648">
        <f>M54/L54-1</f>
        <v>0.49744897959183665</v>
      </c>
      <c r="N55" s="648">
        <f>N54/M54-1</f>
        <v>0.39522998296422496</v>
      </c>
      <c r="O55" s="648">
        <f>O54/N54-1</f>
        <v>0.28571428571428581</v>
      </c>
      <c r="P55" s="537">
        <f t="shared" ref="P55:W55" si="134">P54/O54-1</f>
        <v>0.19088319088319095</v>
      </c>
      <c r="Q55" s="431">
        <f t="shared" si="134"/>
        <v>0.13624401913875595</v>
      </c>
      <c r="R55" s="431">
        <f t="shared" si="134"/>
        <v>0.10791662280240022</v>
      </c>
      <c r="S55" s="431">
        <f t="shared" si="134"/>
        <v>8.7664503377961056E-2</v>
      </c>
      <c r="T55" s="431">
        <f t="shared" si="134"/>
        <v>7.2538961044633865E-2</v>
      </c>
      <c r="U55" s="431">
        <f t="shared" si="134"/>
        <v>6.0869644191371863E-2</v>
      </c>
      <c r="V55" s="431">
        <f t="shared" si="134"/>
        <v>5.163940741653672E-2</v>
      </c>
      <c r="W55" s="431">
        <f t="shared" si="134"/>
        <v>4.4193348354123474E-2</v>
      </c>
      <c r="X55" s="431">
        <f>X54/W54-1</f>
        <v>3.8090659724469456E-2</v>
      </c>
      <c r="Y55" s="431">
        <f>Y54/X54-1</f>
        <v>3.3023699260642081E-2</v>
      </c>
      <c r="Z55" s="247"/>
      <c r="AA55" s="356"/>
      <c r="AB55" s="375"/>
      <c r="AC55" s="375"/>
      <c r="AD55" s="375"/>
      <c r="AM55" s="247"/>
    </row>
    <row r="56" spans="1:39" s="345" customFormat="1">
      <c r="A56" s="234"/>
      <c r="B56" s="187"/>
      <c r="C56" s="535" t="s">
        <v>247</v>
      </c>
      <c r="D56" s="384" t="s">
        <v>226</v>
      </c>
      <c r="E56" s="195"/>
      <c r="F56" s="195"/>
      <c r="G56" s="195"/>
      <c r="H56" s="195"/>
      <c r="I56" s="195"/>
      <c r="J56" s="235"/>
      <c r="K56" s="383"/>
      <c r="L56" s="651">
        <f>L54-K54</f>
        <v>259</v>
      </c>
      <c r="M56" s="651">
        <f>M54-L54</f>
        <v>195</v>
      </c>
      <c r="N56" s="651">
        <f>N54-M54</f>
        <v>232</v>
      </c>
      <c r="O56" s="651">
        <f>O54-N54</f>
        <v>234</v>
      </c>
      <c r="P56" s="538">
        <v>201</v>
      </c>
      <c r="Q56" s="534">
        <f>P56*0.85</f>
        <v>170.85</v>
      </c>
      <c r="R56" s="534">
        <f>Q56*0.9</f>
        <v>153.76499999999999</v>
      </c>
      <c r="S56" s="534">
        <f t="shared" ref="S56:Y56" si="135">R56*0.9</f>
        <v>138.38849999999999</v>
      </c>
      <c r="T56" s="534">
        <f t="shared" si="135"/>
        <v>124.54965</v>
      </c>
      <c r="U56" s="534">
        <f t="shared" si="135"/>
        <v>112.094685</v>
      </c>
      <c r="V56" s="534">
        <f t="shared" si="135"/>
        <v>100.8852165</v>
      </c>
      <c r="W56" s="534">
        <f t="shared" si="135"/>
        <v>90.796694849999994</v>
      </c>
      <c r="X56" s="534">
        <f t="shared" si="135"/>
        <v>81.717025364999998</v>
      </c>
      <c r="Y56" s="534">
        <f t="shared" si="135"/>
        <v>73.545322828500005</v>
      </c>
      <c r="Z56" s="247"/>
      <c r="AA56" s="356"/>
      <c r="AB56" s="375"/>
      <c r="AC56" s="375"/>
      <c r="AD56" s="375"/>
    </row>
    <row r="57" spans="1:39" s="345" customFormat="1">
      <c r="A57" s="234"/>
      <c r="B57" s="187"/>
      <c r="C57" s="535" t="s">
        <v>248</v>
      </c>
      <c r="D57" s="384" t="s">
        <v>122</v>
      </c>
      <c r="E57" s="195"/>
      <c r="F57" s="195"/>
      <c r="G57" s="195"/>
      <c r="H57" s="195"/>
      <c r="I57" s="195"/>
      <c r="J57" s="235"/>
      <c r="K57" s="631">
        <f t="shared" ref="K57:V57" si="136">K54/K50</f>
        <v>1.6190684878143791E-2</v>
      </c>
      <c r="L57" s="631">
        <f t="shared" si="136"/>
        <v>4.6542982723803333E-2</v>
      </c>
      <c r="M57" s="631">
        <f t="shared" ref="M57:N57" si="137">M54/M50</f>
        <v>6.9695741986919788E-2</v>
      </c>
      <c r="N57" s="631">
        <f t="shared" si="137"/>
        <v>9.7241588905089105E-2</v>
      </c>
      <c r="O57" s="631">
        <f t="shared" ref="O57" si="138">O54/O50</f>
        <v>0.12502490002082886</v>
      </c>
      <c r="P57" s="632">
        <f t="shared" si="136"/>
        <v>0.12835209825997954</v>
      </c>
      <c r="Q57" s="598">
        <f t="shared" si="136"/>
        <v>0.15084112623972712</v>
      </c>
      <c r="R57" s="598">
        <f t="shared" si="136"/>
        <v>0.16497615110233274</v>
      </c>
      <c r="S57" s="598">
        <f t="shared" si="136"/>
        <v>0.17697556696885317</v>
      </c>
      <c r="T57" s="598">
        <f t="shared" si="136"/>
        <v>0.18732411487365194</v>
      </c>
      <c r="U57" s="598">
        <f t="shared" si="136"/>
        <v>0.19624223680197847</v>
      </c>
      <c r="V57" s="598">
        <f t="shared" si="136"/>
        <v>0.20352669587823305</v>
      </c>
      <c r="W57" s="598">
        <f t="shared" ref="W57" si="139">W54/W50</f>
        <v>0.20958700399264651</v>
      </c>
      <c r="X57" s="598">
        <f t="shared" ref="X57" si="140">X54/X50</f>
        <v>0.21456638189783175</v>
      </c>
      <c r="Y57" s="598">
        <f t="shared" ref="Y57" si="141">Y54/Y50</f>
        <v>0.2185918713659466</v>
      </c>
      <c r="Z57" s="247"/>
      <c r="AA57" s="356"/>
      <c r="AB57" s="375"/>
      <c r="AC57" s="375"/>
      <c r="AD57" s="375"/>
    </row>
    <row r="58" spans="1:39" s="345" customFormat="1">
      <c r="A58" s="234"/>
      <c r="B58" s="187"/>
      <c r="C58" s="187"/>
      <c r="D58" s="189"/>
      <c r="E58" s="195"/>
      <c r="F58" s="195"/>
      <c r="G58" s="195"/>
      <c r="H58" s="195"/>
      <c r="I58" s="195"/>
      <c r="J58" s="235"/>
      <c r="K58" s="223"/>
      <c r="L58" s="223"/>
      <c r="M58" s="223"/>
      <c r="N58" s="223"/>
      <c r="O58" s="223"/>
      <c r="P58" s="468"/>
      <c r="Q58" s="221"/>
      <c r="R58" s="221"/>
      <c r="S58" s="221"/>
      <c r="T58" s="221"/>
      <c r="U58" s="221"/>
      <c r="V58" s="221"/>
      <c r="W58" s="221"/>
      <c r="X58" s="221"/>
      <c r="Y58" s="221"/>
      <c r="Z58" s="247"/>
      <c r="AA58" s="356"/>
      <c r="AB58" s="375"/>
      <c r="AC58" s="375"/>
      <c r="AD58" s="375"/>
    </row>
    <row r="59" spans="1:39" s="345" customFormat="1">
      <c r="A59" s="234"/>
      <c r="B59" s="187"/>
      <c r="C59" s="422" t="s">
        <v>253</v>
      </c>
      <c r="D59" s="553" t="s">
        <v>254</v>
      </c>
      <c r="E59" s="195"/>
      <c r="F59" s="195"/>
      <c r="G59" s="195"/>
      <c r="H59" s="195"/>
      <c r="I59" s="195"/>
      <c r="J59" s="235"/>
      <c r="K59" s="223"/>
      <c r="L59" s="652">
        <v>9.43</v>
      </c>
      <c r="M59" s="652">
        <v>9.19</v>
      </c>
      <c r="N59" s="652">
        <v>9.3699999999999992</v>
      </c>
      <c r="O59" s="652">
        <v>9.68</v>
      </c>
      <c r="P59" s="552">
        <v>9.6</v>
      </c>
      <c r="Q59" s="550">
        <f t="shared" ref="Q59:Y59" si="142">P59*(1+Q60)</f>
        <v>9.7919999999999998</v>
      </c>
      <c r="R59" s="550">
        <f t="shared" si="142"/>
        <v>9.9878400000000003</v>
      </c>
      <c r="S59" s="550">
        <f t="shared" si="142"/>
        <v>10.1875968</v>
      </c>
      <c r="T59" s="550">
        <f t="shared" si="142"/>
        <v>10.391348735999999</v>
      </c>
      <c r="U59" s="550">
        <f t="shared" si="142"/>
        <v>10.599175710719999</v>
      </c>
      <c r="V59" s="550">
        <f t="shared" si="142"/>
        <v>10.8111592249344</v>
      </c>
      <c r="W59" s="550">
        <f t="shared" si="142"/>
        <v>11.027382409433088</v>
      </c>
      <c r="X59" s="550">
        <f t="shared" si="142"/>
        <v>11.247930057621749</v>
      </c>
      <c r="Y59" s="550">
        <f t="shared" si="142"/>
        <v>11.472888658774185</v>
      </c>
      <c r="Z59" s="247"/>
      <c r="AA59" s="356"/>
      <c r="AB59" s="375"/>
      <c r="AC59" s="375"/>
      <c r="AD59" s="375"/>
    </row>
    <row r="60" spans="1:39" s="345" customFormat="1">
      <c r="A60" s="234"/>
      <c r="B60" s="187"/>
      <c r="C60" s="535" t="s">
        <v>227</v>
      </c>
      <c r="D60" s="384" t="s">
        <v>122</v>
      </c>
      <c r="E60" s="195"/>
      <c r="F60" s="195"/>
      <c r="G60" s="195"/>
      <c r="H60" s="195"/>
      <c r="I60" s="195"/>
      <c r="J60" s="235"/>
      <c r="K60" s="223"/>
      <c r="L60" s="648"/>
      <c r="M60" s="596">
        <f>M59/L59-1</f>
        <v>-2.545068928950156E-2</v>
      </c>
      <c r="N60" s="596">
        <f>N59/M59-1</f>
        <v>1.9586507072905324E-2</v>
      </c>
      <c r="O60" s="596">
        <f>O59/N59-1</f>
        <v>3.3084311632870955E-2</v>
      </c>
      <c r="P60" s="555">
        <v>0.01</v>
      </c>
      <c r="Q60" s="601">
        <v>0.02</v>
      </c>
      <c r="R60" s="601">
        <f>Q60</f>
        <v>0.02</v>
      </c>
      <c r="S60" s="601">
        <f t="shared" ref="S60:Y60" si="143">R60</f>
        <v>0.02</v>
      </c>
      <c r="T60" s="601">
        <f t="shared" si="143"/>
        <v>0.02</v>
      </c>
      <c r="U60" s="601">
        <f t="shared" si="143"/>
        <v>0.02</v>
      </c>
      <c r="V60" s="601">
        <f t="shared" si="143"/>
        <v>0.02</v>
      </c>
      <c r="W60" s="601">
        <f t="shared" si="143"/>
        <v>0.02</v>
      </c>
      <c r="X60" s="601">
        <f t="shared" si="143"/>
        <v>0.02</v>
      </c>
      <c r="Y60" s="601">
        <f t="shared" si="143"/>
        <v>0.02</v>
      </c>
      <c r="Z60" s="247"/>
      <c r="AA60" s="356"/>
      <c r="AB60" s="375"/>
      <c r="AC60" s="375"/>
      <c r="AD60" s="375"/>
    </row>
    <row r="61" spans="1:39" s="345" customFormat="1">
      <c r="A61" s="234"/>
      <c r="B61" s="187"/>
      <c r="C61" s="535"/>
      <c r="D61" s="384"/>
      <c r="E61" s="195"/>
      <c r="F61" s="195"/>
      <c r="G61" s="195"/>
      <c r="H61" s="195"/>
      <c r="I61" s="195"/>
      <c r="J61" s="235"/>
      <c r="K61" s="223"/>
      <c r="L61" s="648"/>
      <c r="M61" s="596"/>
      <c r="N61" s="596"/>
      <c r="O61" s="596"/>
      <c r="P61" s="555"/>
      <c r="Q61" s="601"/>
      <c r="R61" s="601"/>
      <c r="S61" s="601"/>
      <c r="T61" s="601"/>
      <c r="U61" s="601"/>
      <c r="V61" s="601"/>
      <c r="W61" s="601"/>
      <c r="X61" s="601"/>
      <c r="Y61" s="601"/>
      <c r="Z61" s="247"/>
      <c r="AA61" s="356"/>
      <c r="AB61" s="375"/>
      <c r="AC61" s="375"/>
      <c r="AD61" s="375"/>
    </row>
    <row r="62" spans="1:39" s="345" customFormat="1">
      <c r="A62" s="234"/>
      <c r="B62" s="187"/>
      <c r="C62" s="597" t="s">
        <v>329</v>
      </c>
      <c r="D62" s="384"/>
      <c r="E62" s="195"/>
      <c r="F62" s="195"/>
      <c r="G62" s="195"/>
      <c r="H62" s="195"/>
      <c r="I62" s="195"/>
      <c r="J62" s="235"/>
      <c r="K62" s="223"/>
      <c r="L62" s="531"/>
      <c r="M62" s="531">
        <f>M65-(AVERAGE(L54:M54)*M59*12/1000)</f>
        <v>2.6049400000000063</v>
      </c>
      <c r="N62" s="531">
        <f>N65-(AVERAGE(M54:N54)*N59*12/1000)</f>
        <v>6.5616800000000097</v>
      </c>
      <c r="O62" s="531">
        <f>O65-(AVERAGE(N54:O54)*O59*12/1000)</f>
        <v>7.7792400000000015</v>
      </c>
      <c r="P62" s="625">
        <f>O62*(1+P63)</f>
        <v>9.144933331459006</v>
      </c>
      <c r="Q62" s="826">
        <f t="shared" ref="Q62:Y62" si="144">P62*(1+Q63)</f>
        <v>10.791021331121627</v>
      </c>
      <c r="R62" s="826">
        <f t="shared" si="144"/>
        <v>12.625494957412302</v>
      </c>
      <c r="S62" s="826">
        <f t="shared" si="144"/>
        <v>14.64557415059827</v>
      </c>
      <c r="T62" s="826">
        <f t="shared" si="144"/>
        <v>16.769182402435018</v>
      </c>
      <c r="U62" s="826">
        <f t="shared" si="144"/>
        <v>18.94917611475157</v>
      </c>
      <c r="V62" s="826">
        <f t="shared" si="144"/>
        <v>21.128331367948</v>
      </c>
      <c r="W62" s="826">
        <f t="shared" si="144"/>
        <v>23.241164504742798</v>
      </c>
      <c r="X62" s="826">
        <f t="shared" si="144"/>
        <v>25.216663487645935</v>
      </c>
      <c r="Y62" s="826">
        <f t="shared" si="144"/>
        <v>26.981829931781146</v>
      </c>
      <c r="Z62" s="247"/>
      <c r="AA62" s="356"/>
      <c r="AB62" s="375"/>
      <c r="AC62" s="375"/>
      <c r="AD62" s="375"/>
    </row>
    <row r="63" spans="1:39" s="345" customFormat="1">
      <c r="A63" s="234"/>
      <c r="B63" s="187"/>
      <c r="C63" s="535" t="s">
        <v>227</v>
      </c>
      <c r="D63" s="384" t="s">
        <v>122</v>
      </c>
      <c r="E63" s="195"/>
      <c r="F63" s="195"/>
      <c r="G63" s="195"/>
      <c r="H63" s="195"/>
      <c r="I63" s="195"/>
      <c r="J63" s="235"/>
      <c r="K63" s="383"/>
      <c r="L63" s="648"/>
      <c r="M63" s="648"/>
      <c r="N63" s="648">
        <f t="shared" ref="N63" si="145">N62/M62-1</f>
        <v>1.518937096439839</v>
      </c>
      <c r="O63" s="648">
        <f t="shared" ref="O63" si="146">O62/N62-1</f>
        <v>0.18555613806220195</v>
      </c>
      <c r="P63" s="537">
        <f>O63-1%</f>
        <v>0.17555613806220194</v>
      </c>
      <c r="Q63" s="686">
        <v>0.18</v>
      </c>
      <c r="R63" s="686">
        <f t="shared" ref="R63:S63" si="147">Q63-1%</f>
        <v>0.16999999999999998</v>
      </c>
      <c r="S63" s="686">
        <f t="shared" si="147"/>
        <v>0.15999999999999998</v>
      </c>
      <c r="T63" s="686">
        <f>S63-1.5%</f>
        <v>0.14499999999999996</v>
      </c>
      <c r="U63" s="686">
        <f t="shared" ref="U63:Y63" si="148">T63-1.5%</f>
        <v>0.12999999999999995</v>
      </c>
      <c r="V63" s="686">
        <f t="shared" si="148"/>
        <v>0.11499999999999995</v>
      </c>
      <c r="W63" s="686">
        <f t="shared" si="148"/>
        <v>9.999999999999995E-2</v>
      </c>
      <c r="X63" s="686">
        <f t="shared" si="148"/>
        <v>8.4999999999999951E-2</v>
      </c>
      <c r="Y63" s="686">
        <f t="shared" si="148"/>
        <v>6.9999999999999951E-2</v>
      </c>
      <c r="Z63" s="247"/>
      <c r="AA63" s="356"/>
      <c r="AB63" s="375"/>
      <c r="AC63" s="375"/>
      <c r="AD63" s="375"/>
    </row>
    <row r="64" spans="1:39" s="345" customFormat="1">
      <c r="A64" s="234"/>
      <c r="B64" s="187"/>
      <c r="C64" s="187"/>
      <c r="D64" s="189"/>
      <c r="E64" s="195"/>
      <c r="F64" s="195"/>
      <c r="G64" s="195"/>
      <c r="H64" s="195"/>
      <c r="I64" s="195"/>
      <c r="J64" s="235"/>
      <c r="K64" s="223"/>
      <c r="L64" s="223"/>
      <c r="M64" s="223"/>
      <c r="N64" s="223"/>
      <c r="O64" s="223"/>
      <c r="P64" s="468"/>
      <c r="Q64" s="221"/>
      <c r="R64" s="221"/>
      <c r="S64" s="221"/>
      <c r="T64" s="221"/>
      <c r="U64" s="221"/>
      <c r="V64" s="221"/>
      <c r="W64" s="221"/>
      <c r="X64" s="221"/>
      <c r="Y64" s="221"/>
      <c r="Z64" s="247"/>
      <c r="AA64" s="356"/>
      <c r="AB64" s="375"/>
      <c r="AC64" s="375"/>
      <c r="AD64" s="375"/>
    </row>
    <row r="65" spans="1:32" s="370" customFormat="1">
      <c r="A65" s="344"/>
      <c r="B65" s="202"/>
      <c r="C65" s="373" t="s">
        <v>278</v>
      </c>
      <c r="D65" s="604" t="s">
        <v>256</v>
      </c>
      <c r="E65" s="374"/>
      <c r="F65" s="374"/>
      <c r="G65" s="374"/>
      <c r="H65" s="374"/>
      <c r="I65" s="374"/>
      <c r="J65" s="426"/>
      <c r="K65" s="427"/>
      <c r="L65" s="427">
        <f>L11</f>
        <v>29.392999999999997</v>
      </c>
      <c r="M65" s="427">
        <f>M11</f>
        <v>56.587000000000003</v>
      </c>
      <c r="N65" s="427">
        <f>N11</f>
        <v>85.606999999999999</v>
      </c>
      <c r="O65" s="427">
        <f>O11</f>
        <v>116.505</v>
      </c>
      <c r="P65" s="427">
        <f>P11</f>
        <v>144.626</v>
      </c>
      <c r="Q65" s="605">
        <f t="shared" ref="Q65:Y65" si="149">(AVERAGE(P54:Q54)*Q59*12/1000)+Q62</f>
        <v>168.17881653112164</v>
      </c>
      <c r="R65" s="605">
        <f t="shared" si="149"/>
        <v>192.61426215101233</v>
      </c>
      <c r="S65" s="605">
        <f t="shared" si="149"/>
        <v>216.09216905832304</v>
      </c>
      <c r="T65" s="605">
        <f t="shared" si="149"/>
        <v>238.63840128420634</v>
      </c>
      <c r="U65" s="605">
        <f t="shared" si="149"/>
        <v>260.30518869982723</v>
      </c>
      <c r="V65" s="605">
        <f t="shared" si="149"/>
        <v>281.12682196568932</v>
      </c>
      <c r="W65" s="605">
        <f t="shared" si="149"/>
        <v>301.12212333900385</v>
      </c>
      <c r="X65" s="605">
        <f t="shared" si="149"/>
        <v>320.29777505234284</v>
      </c>
      <c r="Y65" s="605">
        <f t="shared" si="149"/>
        <v>338.65240953011522</v>
      </c>
      <c r="Z65" s="606"/>
      <c r="AA65" s="554"/>
      <c r="AB65" s="372"/>
      <c r="AC65" s="372"/>
      <c r="AD65" s="372"/>
    </row>
    <row r="66" spans="1:32" s="345" customFormat="1">
      <c r="A66" s="234"/>
      <c r="B66" s="187"/>
      <c r="C66" s="535" t="s">
        <v>227</v>
      </c>
      <c r="D66" s="384" t="s">
        <v>122</v>
      </c>
      <c r="E66" s="195"/>
      <c r="F66" s="195"/>
      <c r="G66" s="195"/>
      <c r="H66" s="195"/>
      <c r="I66" s="195"/>
      <c r="J66" s="235"/>
      <c r="K66" s="383"/>
      <c r="L66" s="648"/>
      <c r="M66" s="431">
        <f t="shared" ref="M66" si="150">M65/L65-1</f>
        <v>0.92518626883951982</v>
      </c>
      <c r="N66" s="648">
        <f t="shared" ref="N66:O66" si="151">N65/M65-1</f>
        <v>0.51283863784968275</v>
      </c>
      <c r="O66" s="648">
        <f t="shared" si="151"/>
        <v>0.36092842874998543</v>
      </c>
      <c r="P66" s="537">
        <f t="shared" ref="P66" si="152">P65/O65-1</f>
        <v>0.24137161495214809</v>
      </c>
      <c r="Q66" s="431">
        <f t="shared" ref="Q66" si="153">Q65/P65-1</f>
        <v>0.16285326657116728</v>
      </c>
      <c r="R66" s="431">
        <f t="shared" ref="R66" si="154">R65/Q65-1</f>
        <v>0.14529443198554604</v>
      </c>
      <c r="S66" s="431">
        <f t="shared" ref="S66" si="155">S65/R65-1</f>
        <v>0.12189080208870351</v>
      </c>
      <c r="T66" s="431">
        <f t="shared" ref="T66" si="156">T65/S65-1</f>
        <v>0.10433618360227626</v>
      </c>
      <c r="U66" s="431">
        <f t="shared" ref="U66" si="157">U65/T65-1</f>
        <v>9.0793381530480666E-2</v>
      </c>
      <c r="V66" s="431">
        <f t="shared" ref="V66:Y66" si="158">V65/U65-1</f>
        <v>7.9989313197566414E-2</v>
      </c>
      <c r="W66" s="431">
        <f t="shared" si="158"/>
        <v>7.1125555482411063E-2</v>
      </c>
      <c r="X66" s="431">
        <f t="shared" si="158"/>
        <v>6.3680647242750021E-2</v>
      </c>
      <c r="Y66" s="431">
        <f t="shared" si="158"/>
        <v>5.7304907830761254E-2</v>
      </c>
      <c r="Z66" s="247"/>
      <c r="AA66" s="356"/>
      <c r="AB66" s="375"/>
      <c r="AC66" s="375"/>
      <c r="AD66" s="375"/>
    </row>
    <row r="67" spans="1:32" s="345" customFormat="1">
      <c r="A67" s="234"/>
      <c r="B67" s="187"/>
      <c r="C67" s="535"/>
      <c r="D67" s="384"/>
      <c r="E67" s="195"/>
      <c r="F67" s="195"/>
      <c r="G67" s="195"/>
      <c r="H67" s="195"/>
      <c r="I67" s="195"/>
      <c r="J67" s="235"/>
      <c r="K67" s="383"/>
      <c r="L67" s="648"/>
      <c r="M67" s="648"/>
      <c r="N67" s="648"/>
      <c r="O67" s="648"/>
      <c r="P67" s="537"/>
      <c r="Q67" s="825"/>
      <c r="R67" s="825"/>
      <c r="S67" s="825"/>
      <c r="T67" s="825"/>
      <c r="U67" s="825"/>
      <c r="V67" s="825"/>
      <c r="W67" s="825"/>
      <c r="X67" s="825"/>
      <c r="Y67" s="825"/>
      <c r="Z67" s="247"/>
      <c r="AA67" s="356"/>
      <c r="AB67" s="375"/>
      <c r="AC67" s="375"/>
      <c r="AD67" s="375"/>
    </row>
    <row r="68" spans="1:32" s="376" customFormat="1" ht="18">
      <c r="A68" s="355"/>
      <c r="B68" s="355"/>
      <c r="C68" s="711" t="s">
        <v>275</v>
      </c>
      <c r="D68" s="712"/>
      <c r="E68" s="713"/>
      <c r="F68" s="713"/>
      <c r="G68" s="713"/>
      <c r="H68" s="713"/>
      <c r="I68" s="713"/>
      <c r="J68" s="714"/>
      <c r="K68" s="715"/>
      <c r="L68" s="715"/>
      <c r="M68" s="715"/>
      <c r="N68" s="715"/>
      <c r="O68" s="715"/>
      <c r="P68" s="716"/>
      <c r="Q68" s="717"/>
      <c r="R68" s="717"/>
      <c r="S68" s="717"/>
      <c r="T68" s="717"/>
      <c r="U68" s="717"/>
      <c r="V68" s="717"/>
      <c r="W68" s="717"/>
      <c r="X68" s="717"/>
      <c r="Y68" s="717"/>
      <c r="Z68" s="718"/>
      <c r="AA68" s="356"/>
      <c r="AB68" s="377"/>
      <c r="AC68" s="377"/>
      <c r="AD68" s="377"/>
    </row>
    <row r="69" spans="1:32" s="345" customFormat="1">
      <c r="A69" s="234"/>
      <c r="B69" s="187"/>
      <c r="C69" s="187"/>
      <c r="D69" s="189"/>
      <c r="E69" s="195"/>
      <c r="F69" s="195"/>
      <c r="G69" s="195"/>
      <c r="H69" s="195"/>
      <c r="I69" s="195"/>
      <c r="J69" s="235"/>
      <c r="K69" s="223"/>
      <c r="L69" s="223"/>
      <c r="M69" s="223"/>
      <c r="N69" s="223"/>
      <c r="O69" s="223"/>
      <c r="P69" s="468"/>
      <c r="Q69" s="221"/>
      <c r="R69" s="221"/>
      <c r="S69" s="221"/>
      <c r="T69" s="221"/>
      <c r="U69" s="221"/>
      <c r="V69" s="221"/>
      <c r="W69" s="221"/>
      <c r="X69" s="221"/>
      <c r="Y69" s="221"/>
      <c r="Z69" s="247"/>
      <c r="AA69" s="356"/>
      <c r="AB69" s="375"/>
      <c r="AC69" s="375"/>
      <c r="AD69" s="375"/>
    </row>
    <row r="70" spans="1:32" s="345" customFormat="1">
      <c r="A70" s="234"/>
      <c r="B70" s="187"/>
      <c r="C70" s="719" t="s">
        <v>280</v>
      </c>
      <c r="D70" s="189"/>
      <c r="E70" s="195"/>
      <c r="F70" s="195"/>
      <c r="G70" s="195"/>
      <c r="H70" s="195"/>
      <c r="I70" s="195"/>
      <c r="J70" s="235"/>
      <c r="K70" s="223"/>
      <c r="L70" s="223"/>
      <c r="M70" s="223"/>
      <c r="N70" s="223"/>
      <c r="O70" s="223"/>
      <c r="P70" s="468"/>
      <c r="Q70" s="221"/>
      <c r="R70" s="221"/>
      <c r="S70" s="221"/>
      <c r="T70" s="221"/>
      <c r="U70" s="221"/>
      <c r="V70" s="221"/>
      <c r="W70" s="221"/>
      <c r="X70" s="221"/>
      <c r="Y70" s="221"/>
      <c r="Z70" s="247"/>
      <c r="AA70" s="356"/>
      <c r="AB70" s="375"/>
      <c r="AC70" s="375"/>
      <c r="AD70" s="375"/>
    </row>
    <row r="71" spans="1:32" s="345" customFormat="1">
      <c r="A71" s="234"/>
      <c r="B71" s="187"/>
      <c r="C71" s="187"/>
      <c r="D71" s="189"/>
      <c r="E71" s="195"/>
      <c r="F71" s="195"/>
      <c r="G71" s="195"/>
      <c r="H71" s="195"/>
      <c r="I71" s="195"/>
      <c r="J71" s="235"/>
      <c r="K71" s="223"/>
      <c r="L71" s="223"/>
      <c r="M71" s="223"/>
      <c r="N71" s="223"/>
      <c r="O71" s="223"/>
      <c r="P71" s="468"/>
      <c r="Q71" s="221"/>
      <c r="R71" s="221"/>
      <c r="S71" s="221"/>
      <c r="T71" s="221"/>
      <c r="U71" s="221"/>
      <c r="V71" s="221"/>
      <c r="W71" s="221"/>
      <c r="X71" s="221"/>
      <c r="Y71" s="221"/>
      <c r="Z71" s="247"/>
      <c r="AA71" s="356"/>
      <c r="AB71" s="375"/>
      <c r="AC71" s="375"/>
      <c r="AD71" s="375"/>
    </row>
    <row r="72" spans="1:32" s="345" customFormat="1">
      <c r="A72" s="234"/>
      <c r="B72" s="187"/>
      <c r="C72" s="187" t="s">
        <v>276</v>
      </c>
      <c r="D72" s="189" t="s">
        <v>165</v>
      </c>
      <c r="E72" s="195"/>
      <c r="F72" s="195"/>
      <c r="G72" s="543">
        <v>1.2636000000000001</v>
      </c>
      <c r="H72" s="543">
        <v>1.2899</v>
      </c>
      <c r="I72" s="543">
        <v>1.3252999999999999</v>
      </c>
      <c r="J72" s="543">
        <v>1.3720000000000001</v>
      </c>
      <c r="K72" s="543">
        <v>1.37</v>
      </c>
      <c r="L72" s="647">
        <v>1.3680029154518951</v>
      </c>
      <c r="M72" s="647">
        <v>1.3660087421057552</v>
      </c>
      <c r="N72" s="647">
        <v>1.3640174757178458</v>
      </c>
      <c r="O72" s="647">
        <v>1.3620291120506185</v>
      </c>
      <c r="P72" s="544">
        <v>1.3600436468727022</v>
      </c>
      <c r="Q72" s="543">
        <v>1.3580610759588936</v>
      </c>
      <c r="R72" s="543">
        <v>1.3560813950901487</v>
      </c>
      <c r="S72" s="543">
        <v>1.3541046000535741</v>
      </c>
      <c r="T72" s="543">
        <v>1.3521306866424172</v>
      </c>
      <c r="U72" s="543">
        <f>T72</f>
        <v>1.3521306866424172</v>
      </c>
      <c r="V72" s="543">
        <f>U72</f>
        <v>1.3521306866424172</v>
      </c>
      <c r="W72" s="543">
        <f>V72</f>
        <v>1.3521306866424172</v>
      </c>
      <c r="X72" s="543">
        <f>W72</f>
        <v>1.3521306866424172</v>
      </c>
      <c r="Y72" s="543">
        <f>X72</f>
        <v>1.3521306866424172</v>
      </c>
      <c r="Z72" s="247"/>
      <c r="AA72" s="356"/>
      <c r="AB72" s="375"/>
      <c r="AC72" s="375"/>
      <c r="AD72" s="375"/>
    </row>
    <row r="73" spans="1:32" s="345" customFormat="1">
      <c r="A73" s="234"/>
      <c r="B73" s="187"/>
      <c r="C73" s="202" t="s">
        <v>277</v>
      </c>
      <c r="D73" s="204" t="s">
        <v>226</v>
      </c>
      <c r="E73" s="207"/>
      <c r="F73" s="207"/>
      <c r="G73" s="539">
        <v>1335.9</v>
      </c>
      <c r="H73" s="539">
        <v>1343.2</v>
      </c>
      <c r="I73" s="539">
        <v>1366.4</v>
      </c>
      <c r="J73" s="423">
        <v>1373.4</v>
      </c>
      <c r="K73" s="385">
        <v>1392.2</v>
      </c>
      <c r="L73" s="385">
        <v>1406.4449480546907</v>
      </c>
      <c r="M73" s="385">
        <v>1435.6849792415658</v>
      </c>
      <c r="N73" s="385">
        <v>1470.269677297435</v>
      </c>
      <c r="O73" s="385">
        <v>1502.9684351690578</v>
      </c>
      <c r="P73" s="469">
        <v>1537.4409000467888</v>
      </c>
      <c r="Q73" s="540">
        <v>1561.6977458315885</v>
      </c>
      <c r="R73" s="540">
        <v>1586.625463388352</v>
      </c>
      <c r="S73" s="540">
        <v>1612.1358130898022</v>
      </c>
      <c r="T73" s="540">
        <f>S73*(1+T74)</f>
        <v>1638.0563276076548</v>
      </c>
      <c r="U73" s="540">
        <f t="shared" ref="U73:Y73" si="159">T73*(1+U74)</f>
        <v>1664.3936017231881</v>
      </c>
      <c r="V73" s="540">
        <f t="shared" si="159"/>
        <v>1691.1543362510076</v>
      </c>
      <c r="W73" s="540">
        <f t="shared" si="159"/>
        <v>1718.3453397438886</v>
      </c>
      <c r="X73" s="540">
        <f t="shared" si="159"/>
        <v>1745.9735302250306</v>
      </c>
      <c r="Y73" s="540">
        <f t="shared" si="159"/>
        <v>1774.0459369481628</v>
      </c>
      <c r="Z73" s="247"/>
      <c r="AA73" s="356"/>
      <c r="AB73" s="375"/>
      <c r="AC73" s="375"/>
      <c r="AD73" s="375"/>
    </row>
    <row r="74" spans="1:32" s="345" customFormat="1">
      <c r="A74" s="234"/>
      <c r="B74" s="187"/>
      <c r="C74" s="535" t="s">
        <v>227</v>
      </c>
      <c r="D74" s="384" t="s">
        <v>122</v>
      </c>
      <c r="E74" s="195"/>
      <c r="F74" s="195"/>
      <c r="G74" s="195"/>
      <c r="H74" s="541">
        <f t="shared" ref="H74" si="160">H73/G73-1</f>
        <v>5.464480874316946E-3</v>
      </c>
      <c r="I74" s="541">
        <f t="shared" ref="I74" si="161">I73/H73-1</f>
        <v>1.7272185824895869E-2</v>
      </c>
      <c r="J74" s="542">
        <f t="shared" ref="J74" si="162">J73/I73-1</f>
        <v>5.1229508196721785E-3</v>
      </c>
      <c r="K74" s="431">
        <f t="shared" ref="K74" si="163">K73/J73-1</f>
        <v>1.3688655890490731E-2</v>
      </c>
      <c r="L74" s="648">
        <f>L73/K73-1</f>
        <v>1.0231969583889278E-2</v>
      </c>
      <c r="M74" s="648">
        <f t="shared" ref="M74" si="164">M73/L73-1</f>
        <v>2.0790028950168349E-2</v>
      </c>
      <c r="N74" s="648">
        <f t="shared" ref="N74" si="165">N73/M73-1</f>
        <v>2.408933613983999E-2</v>
      </c>
      <c r="O74" s="648">
        <f t="shared" ref="O74" si="166">O73/N73-1</f>
        <v>2.2239972963142174E-2</v>
      </c>
      <c r="P74" s="537">
        <f t="shared" ref="P74" si="167">P73/O73-1</f>
        <v>2.2936253397666029E-2</v>
      </c>
      <c r="Q74" s="431">
        <f t="shared" ref="Q74" si="168">Q73/P73-1</f>
        <v>1.577741673456301E-2</v>
      </c>
      <c r="R74" s="431">
        <f t="shared" ref="R74" si="169">R73/Q73-1</f>
        <v>1.5961934774702424E-2</v>
      </c>
      <c r="S74" s="431">
        <f t="shared" ref="S74" si="170">S73/R73-1</f>
        <v>1.6078369022876293E-2</v>
      </c>
      <c r="T74" s="551">
        <f>S74</f>
        <v>1.6078369022876293E-2</v>
      </c>
      <c r="U74" s="551">
        <f t="shared" ref="U74:Y74" si="171">T74</f>
        <v>1.6078369022876293E-2</v>
      </c>
      <c r="V74" s="551">
        <f t="shared" si="171"/>
        <v>1.6078369022876293E-2</v>
      </c>
      <c r="W74" s="551">
        <f t="shared" si="171"/>
        <v>1.6078369022876293E-2</v>
      </c>
      <c r="X74" s="551">
        <f t="shared" si="171"/>
        <v>1.6078369022876293E-2</v>
      </c>
      <c r="Y74" s="551">
        <f t="shared" si="171"/>
        <v>1.6078369022876293E-2</v>
      </c>
      <c r="Z74" s="247"/>
      <c r="AA74" s="356"/>
      <c r="AB74" s="375"/>
      <c r="AC74" s="375"/>
      <c r="AD74" s="375"/>
    </row>
    <row r="75" spans="1:32" s="345" customFormat="1">
      <c r="A75" s="234"/>
      <c r="B75" s="187"/>
      <c r="C75" s="545" t="s">
        <v>251</v>
      </c>
      <c r="D75" s="546"/>
      <c r="E75" s="547"/>
      <c r="F75" s="548"/>
      <c r="G75" s="548">
        <f t="shared" ref="G75:V75" si="172">(G73/1000)/G72</f>
        <v>1.0572174738841407</v>
      </c>
      <c r="H75" s="548">
        <f t="shared" si="172"/>
        <v>1.041321032638189</v>
      </c>
      <c r="I75" s="548">
        <f t="shared" si="172"/>
        <v>1.0310118463744058</v>
      </c>
      <c r="J75" s="548">
        <f t="shared" si="172"/>
        <v>1.0010204081632654</v>
      </c>
      <c r="K75" s="548">
        <f t="shared" si="172"/>
        <v>1.0162043795620439</v>
      </c>
      <c r="L75" s="649">
        <f t="shared" si="172"/>
        <v>1.028100841137533</v>
      </c>
      <c r="M75" s="649">
        <f t="shared" si="172"/>
        <v>1.0510071678080199</v>
      </c>
      <c r="N75" s="649">
        <f t="shared" si="172"/>
        <v>1.0778965104707852</v>
      </c>
      <c r="O75" s="649">
        <f t="shared" si="172"/>
        <v>1.1034774674575394</v>
      </c>
      <c r="P75" s="549">
        <f t="shared" si="172"/>
        <v>1.1304349706584753</v>
      </c>
      <c r="Q75" s="548">
        <f t="shared" si="172"/>
        <v>1.149946621310026</v>
      </c>
      <c r="R75" s="548">
        <f t="shared" si="172"/>
        <v>1.1700075446303704</v>
      </c>
      <c r="S75" s="548">
        <f t="shared" si="172"/>
        <v>1.1905548604044469</v>
      </c>
      <c r="T75" s="548">
        <f t="shared" si="172"/>
        <v>1.2114630218734568</v>
      </c>
      <c r="U75" s="548">
        <f t="shared" si="172"/>
        <v>1.230941371396707</v>
      </c>
      <c r="V75" s="548">
        <f t="shared" si="172"/>
        <v>1.2507329010115484</v>
      </c>
      <c r="W75" s="548">
        <f t="shared" ref="W75" si="173">(W73/1000)/W72</f>
        <v>1.2708426461430649</v>
      </c>
      <c r="X75" s="548">
        <f t="shared" ref="X75" si="174">(X73/1000)/X72</f>
        <v>1.2912757231777616</v>
      </c>
      <c r="Y75" s="548">
        <f t="shared" ref="Y75" si="175">(Y73/1000)/Y72</f>
        <v>1.3120373307652951</v>
      </c>
      <c r="Z75" s="247"/>
      <c r="AA75" s="356"/>
      <c r="AB75" s="375"/>
      <c r="AC75" s="375"/>
      <c r="AD75" s="375"/>
      <c r="AE75" s="345" t="s">
        <v>312</v>
      </c>
      <c r="AF75" s="345" t="s">
        <v>311</v>
      </c>
    </row>
    <row r="76" spans="1:32" s="345" customFormat="1">
      <c r="A76" s="234"/>
      <c r="B76" s="187"/>
      <c r="C76" s="545"/>
      <c r="D76" s="546"/>
      <c r="E76" s="547"/>
      <c r="F76" s="548"/>
      <c r="G76" s="548"/>
      <c r="H76" s="548"/>
      <c r="I76" s="548"/>
      <c r="J76" s="548"/>
      <c r="K76" s="548"/>
      <c r="L76" s="649"/>
      <c r="M76" s="649"/>
      <c r="N76" s="649"/>
      <c r="O76" s="649"/>
      <c r="P76" s="549"/>
      <c r="Q76" s="548"/>
      <c r="R76" s="548"/>
      <c r="S76" s="548"/>
      <c r="T76" s="548"/>
      <c r="U76" s="431"/>
      <c r="V76" s="431"/>
      <c r="W76" s="431"/>
      <c r="X76" s="431"/>
      <c r="Y76" s="431"/>
      <c r="Z76" s="247"/>
      <c r="AA76" s="356"/>
      <c r="AB76" s="375"/>
      <c r="AC76" s="375"/>
      <c r="AD76" s="375" t="s">
        <v>121</v>
      </c>
      <c r="AE76" s="827">
        <f>'2. Income'!AO6</f>
        <v>71.572000000000003</v>
      </c>
      <c r="AF76" s="827">
        <f>'2. Income'!AO7</f>
        <v>1.49</v>
      </c>
    </row>
    <row r="77" spans="1:32" s="345" customFormat="1">
      <c r="A77" s="234"/>
      <c r="B77" s="187"/>
      <c r="C77" s="422" t="s">
        <v>249</v>
      </c>
      <c r="D77" s="429" t="s">
        <v>226</v>
      </c>
      <c r="E77" s="195"/>
      <c r="F77" s="195"/>
      <c r="G77" s="195"/>
      <c r="H77" s="195"/>
      <c r="I77" s="195"/>
      <c r="J77" s="235"/>
      <c r="K77" s="533"/>
      <c r="L77" s="650"/>
      <c r="M77" s="682"/>
      <c r="N77" s="650"/>
      <c r="O77" s="650">
        <v>4</v>
      </c>
      <c r="P77" s="536">
        <v>25.591999999999999</v>
      </c>
      <c r="Q77" s="430">
        <f t="shared" ref="Q77:V77" si="176">Q80*Q73</f>
        <v>52.622564305095437</v>
      </c>
      <c r="R77" s="430">
        <f t="shared" si="176"/>
        <v>77.744647706029255</v>
      </c>
      <c r="S77" s="430">
        <f t="shared" si="176"/>
        <v>101.56455622465754</v>
      </c>
      <c r="T77" s="430">
        <f t="shared" si="176"/>
        <v>126.13033722578942</v>
      </c>
      <c r="U77" s="430">
        <f t="shared" si="176"/>
        <v>151.45981775681011</v>
      </c>
      <c r="V77" s="430">
        <f t="shared" si="176"/>
        <v>177.57120530635581</v>
      </c>
      <c r="W77" s="430">
        <f t="shared" ref="W77" si="177">W80*W73</f>
        <v>204.48309542952273</v>
      </c>
      <c r="X77" s="430">
        <f t="shared" ref="X77" si="178">X80*X73</f>
        <v>232.21447951992909</v>
      </c>
      <c r="Y77" s="430">
        <f t="shared" ref="Y77" si="179">Y80*Y73</f>
        <v>260.78475273137997</v>
      </c>
      <c r="Z77" s="247"/>
      <c r="AA77" s="356"/>
      <c r="AB77" s="375"/>
      <c r="AC77" s="375"/>
      <c r="AD77" s="375" t="s">
        <v>330</v>
      </c>
      <c r="AE77" s="345">
        <f>AVERAGE(1053,1160)</f>
        <v>1106.5</v>
      </c>
      <c r="AF77" s="345">
        <f>AVERAGE(14.347,3.287)</f>
        <v>8.8170000000000002</v>
      </c>
    </row>
    <row r="78" spans="1:32" s="345" customFormat="1">
      <c r="A78" s="234"/>
      <c r="B78" s="187"/>
      <c r="C78" s="535" t="s">
        <v>227</v>
      </c>
      <c r="D78" s="384" t="s">
        <v>122</v>
      </c>
      <c r="E78" s="195"/>
      <c r="F78" s="195"/>
      <c r="G78" s="195"/>
      <c r="H78" s="195"/>
      <c r="I78" s="195"/>
      <c r="J78" s="235"/>
      <c r="K78" s="383"/>
      <c r="L78" s="648"/>
      <c r="M78" s="648"/>
      <c r="N78" s="648"/>
      <c r="O78" s="648"/>
      <c r="P78" s="537"/>
      <c r="Q78" s="431">
        <f t="shared" ref="Q78" si="180">Q77/P77-1</f>
        <v>1.0562114842566208</v>
      </c>
      <c r="R78" s="431">
        <f t="shared" ref="R78" si="181">R77/Q77-1</f>
        <v>0.47740135306369424</v>
      </c>
      <c r="S78" s="431">
        <f t="shared" ref="S78" si="182">S77/R77-1</f>
        <v>0.30638647445798384</v>
      </c>
      <c r="T78" s="431">
        <f t="shared" ref="T78" si="183">T77/S77-1</f>
        <v>0.24187356213907107</v>
      </c>
      <c r="U78" s="431">
        <f t="shared" ref="U78" si="184">U77/T77-1</f>
        <v>0.20081989066339911</v>
      </c>
      <c r="V78" s="431">
        <f t="shared" ref="V78:Y78" si="185">V77/U77-1</f>
        <v>0.17239811810331873</v>
      </c>
      <c r="W78" s="431">
        <f t="shared" si="185"/>
        <v>0.15155548489259285</v>
      </c>
      <c r="X78" s="431">
        <f t="shared" si="185"/>
        <v>0.1356170006726265</v>
      </c>
      <c r="Y78" s="431">
        <f t="shared" si="185"/>
        <v>0.12303398681475808</v>
      </c>
      <c r="Z78" s="247"/>
      <c r="AA78" s="356"/>
      <c r="AB78" s="375"/>
      <c r="AC78" s="375"/>
      <c r="AD78" s="375"/>
      <c r="AE78" s="828">
        <f>(AE76*1000)/AE77/6</f>
        <v>10.780539237837024</v>
      </c>
      <c r="AF78" s="828">
        <f>(AF76*1000)/AF77/6</f>
        <v>28.16528675664436</v>
      </c>
    </row>
    <row r="79" spans="1:32" s="345" customFormat="1">
      <c r="A79" s="234"/>
      <c r="B79" s="187"/>
      <c r="C79" s="535" t="s">
        <v>247</v>
      </c>
      <c r="D79" s="384" t="s">
        <v>226</v>
      </c>
      <c r="E79" s="195"/>
      <c r="F79" s="195"/>
      <c r="G79" s="195"/>
      <c r="H79" s="195"/>
      <c r="I79" s="195"/>
      <c r="J79" s="235"/>
      <c r="K79" s="383"/>
      <c r="L79" s="651"/>
      <c r="M79" s="684"/>
      <c r="N79" s="684"/>
      <c r="O79" s="684">
        <f t="shared" ref="O79:Y79" si="186">O77-N77</f>
        <v>4</v>
      </c>
      <c r="P79" s="538">
        <f t="shared" si="186"/>
        <v>21.591999999999999</v>
      </c>
      <c r="Q79" s="602">
        <f t="shared" si="186"/>
        <v>27.030564305095439</v>
      </c>
      <c r="R79" s="602">
        <f t="shared" si="186"/>
        <v>25.122083400933818</v>
      </c>
      <c r="S79" s="602">
        <f t="shared" si="186"/>
        <v>23.819908518628282</v>
      </c>
      <c r="T79" s="602">
        <f t="shared" si="186"/>
        <v>24.565781001131882</v>
      </c>
      <c r="U79" s="602">
        <f t="shared" si="186"/>
        <v>25.329480531020693</v>
      </c>
      <c r="V79" s="602">
        <f t="shared" si="186"/>
        <v>26.111387549545697</v>
      </c>
      <c r="W79" s="602">
        <f t="shared" si="186"/>
        <v>26.911890123166927</v>
      </c>
      <c r="X79" s="602">
        <f t="shared" si="186"/>
        <v>27.731384090406351</v>
      </c>
      <c r="Y79" s="602">
        <f t="shared" si="186"/>
        <v>28.570273211450882</v>
      </c>
      <c r="Z79" s="247"/>
      <c r="AA79" s="356"/>
      <c r="AB79" s="375"/>
      <c r="AC79" s="375"/>
      <c r="AD79" s="375"/>
    </row>
    <row r="80" spans="1:32" s="345" customFormat="1">
      <c r="A80" s="234"/>
      <c r="B80" s="187"/>
      <c r="C80" s="535" t="s">
        <v>248</v>
      </c>
      <c r="D80" s="384" t="s">
        <v>122</v>
      </c>
      <c r="E80" s="195"/>
      <c r="F80" s="195"/>
      <c r="G80" s="195"/>
      <c r="H80" s="195"/>
      <c r="I80" s="195"/>
      <c r="J80" s="235"/>
      <c r="K80" s="596"/>
      <c r="L80" s="596"/>
      <c r="M80" s="596"/>
      <c r="N80" s="596"/>
      <c r="O80" s="596">
        <f>O77/O73</f>
        <v>2.6613998713486417E-3</v>
      </c>
      <c r="P80" s="632">
        <f>L57-2.8%</f>
        <v>1.8542982723803336E-2</v>
      </c>
      <c r="Q80" s="679">
        <f>M57-3.6%</f>
        <v>3.3695741986919783E-2</v>
      </c>
      <c r="R80" s="679">
        <v>4.9000000000000002E-2</v>
      </c>
      <c r="S80" s="679">
        <f>R80+1.4%</f>
        <v>6.3E-2</v>
      </c>
      <c r="T80" s="679">
        <f t="shared" ref="T80:Y80" si="187">S80+1.4%</f>
        <v>7.6999999999999999E-2</v>
      </c>
      <c r="U80" s="679">
        <f t="shared" si="187"/>
        <v>9.0999999999999998E-2</v>
      </c>
      <c r="V80" s="679">
        <f t="shared" si="187"/>
        <v>0.105</v>
      </c>
      <c r="W80" s="679">
        <f t="shared" si="187"/>
        <v>0.11899999999999999</v>
      </c>
      <c r="X80" s="679">
        <f t="shared" si="187"/>
        <v>0.13300000000000001</v>
      </c>
      <c r="Y80" s="679">
        <f t="shared" si="187"/>
        <v>0.14700000000000002</v>
      </c>
      <c r="Z80" s="247"/>
      <c r="AA80" s="356"/>
      <c r="AB80" s="375"/>
      <c r="AC80" s="375"/>
      <c r="AD80" s="375"/>
    </row>
    <row r="81" spans="1:30" s="345" customFormat="1">
      <c r="A81" s="234"/>
      <c r="B81" s="187"/>
      <c r="C81" s="187"/>
      <c r="D81" s="189"/>
      <c r="E81" s="195"/>
      <c r="F81" s="195"/>
      <c r="G81" s="195"/>
      <c r="H81" s="195"/>
      <c r="I81" s="195"/>
      <c r="J81" s="235"/>
      <c r="K81" s="223"/>
      <c r="L81" s="223"/>
      <c r="M81" s="223"/>
      <c r="N81" s="223"/>
      <c r="O81" s="223"/>
      <c r="P81" s="468"/>
      <c r="Q81" s="221"/>
      <c r="R81" s="221"/>
      <c r="S81" s="221"/>
      <c r="T81" s="221"/>
      <c r="U81" s="221"/>
      <c r="V81" s="221"/>
      <c r="W81" s="221"/>
      <c r="X81" s="221"/>
      <c r="Y81" s="221"/>
      <c r="Z81" s="247"/>
      <c r="AA81" s="356"/>
      <c r="AB81" s="375"/>
      <c r="AC81" s="375"/>
      <c r="AD81" s="375"/>
    </row>
    <row r="82" spans="1:30" s="345" customFormat="1">
      <c r="A82" s="234"/>
      <c r="B82" s="187"/>
      <c r="C82" s="422" t="s">
        <v>253</v>
      </c>
      <c r="D82" s="553" t="s">
        <v>254</v>
      </c>
      <c r="E82" s="195"/>
      <c r="F82" s="195"/>
      <c r="G82" s="195"/>
      <c r="H82" s="195"/>
      <c r="I82" s="195"/>
      <c r="J82" s="235"/>
      <c r="K82" s="223"/>
      <c r="L82" s="652"/>
      <c r="M82" s="685"/>
      <c r="N82" s="223"/>
      <c r="O82" s="223">
        <f>O85/(O77/1000)/12</f>
        <v>6.270833333333333</v>
      </c>
      <c r="P82" s="468">
        <f>P85/(P77/1000)/12</f>
        <v>20.777977492966553</v>
      </c>
      <c r="Q82" s="600">
        <v>27</v>
      </c>
      <c r="R82" s="600">
        <v>27.5</v>
      </c>
      <c r="S82" s="550">
        <f t="shared" ref="S82" si="188">R82*(1+S83)</f>
        <v>28.875</v>
      </c>
      <c r="T82" s="550">
        <f t="shared" ref="T82" si="189">S82*(1+T83)</f>
        <v>30.03</v>
      </c>
      <c r="U82" s="550">
        <f t="shared" ref="U82" si="190">T82*(1+U83)</f>
        <v>30.03</v>
      </c>
      <c r="V82" s="550">
        <f t="shared" ref="V82:Y82" si="191">U82*(1+V83)</f>
        <v>30.03</v>
      </c>
      <c r="W82" s="550">
        <f t="shared" si="191"/>
        <v>30.03</v>
      </c>
      <c r="X82" s="550">
        <f t="shared" si="191"/>
        <v>30.03</v>
      </c>
      <c r="Y82" s="550">
        <f t="shared" si="191"/>
        <v>30.03</v>
      </c>
      <c r="Z82" s="247"/>
      <c r="AA82" s="356"/>
      <c r="AB82" s="375"/>
      <c r="AC82" s="375"/>
      <c r="AD82" s="375"/>
    </row>
    <row r="83" spans="1:30" s="345" customFormat="1">
      <c r="A83" s="234"/>
      <c r="B83" s="187"/>
      <c r="C83" s="535" t="s">
        <v>227</v>
      </c>
      <c r="D83" s="384" t="s">
        <v>122</v>
      </c>
      <c r="E83" s="195"/>
      <c r="F83" s="195"/>
      <c r="G83" s="195"/>
      <c r="H83" s="195"/>
      <c r="I83" s="195"/>
      <c r="J83" s="235"/>
      <c r="K83" s="223"/>
      <c r="L83" s="648"/>
      <c r="M83" s="686"/>
      <c r="N83" s="686"/>
      <c r="O83" s="686"/>
      <c r="P83" s="658">
        <f>P82/O82</f>
        <v>3.3134316267853641</v>
      </c>
      <c r="Q83" s="431">
        <f t="shared" ref="Q83:R83" si="192">Q82/P82</f>
        <v>1.2994527503526092</v>
      </c>
      <c r="R83" s="431">
        <f t="shared" si="192"/>
        <v>1.0185185185185186</v>
      </c>
      <c r="S83" s="551">
        <v>0.05</v>
      </c>
      <c r="T83" s="551">
        <v>0.04</v>
      </c>
      <c r="U83" s="551">
        <v>0</v>
      </c>
      <c r="V83" s="551">
        <v>0</v>
      </c>
      <c r="W83" s="551">
        <f t="shared" ref="W83:Y83" si="193">V83</f>
        <v>0</v>
      </c>
      <c r="X83" s="551">
        <f t="shared" si="193"/>
        <v>0</v>
      </c>
      <c r="Y83" s="551">
        <f t="shared" si="193"/>
        <v>0</v>
      </c>
      <c r="Z83" s="247"/>
      <c r="AA83" s="356"/>
      <c r="AB83" s="375"/>
      <c r="AC83" s="375"/>
      <c r="AD83" s="375"/>
    </row>
    <row r="84" spans="1:30" s="345" customFormat="1">
      <c r="A84" s="234"/>
      <c r="B84" s="187"/>
      <c r="C84" s="187"/>
      <c r="D84" s="189"/>
      <c r="E84" s="195"/>
      <c r="F84" s="195"/>
      <c r="G84" s="195"/>
      <c r="H84" s="195"/>
      <c r="I84" s="195"/>
      <c r="J84" s="235"/>
      <c r="K84" s="223"/>
      <c r="L84" s="223"/>
      <c r="M84" s="223"/>
      <c r="N84" s="223"/>
      <c r="O84" s="223"/>
      <c r="P84" s="468"/>
      <c r="Q84" s="221"/>
      <c r="R84" s="221"/>
      <c r="S84" s="221"/>
      <c r="T84" s="221"/>
      <c r="U84" s="221"/>
      <c r="V84" s="221"/>
      <c r="W84" s="221"/>
      <c r="X84" s="221"/>
      <c r="Y84" s="221"/>
      <c r="Z84" s="247"/>
      <c r="AA84" s="356"/>
      <c r="AB84" s="375"/>
      <c r="AC84" s="375"/>
      <c r="AD84" s="375"/>
    </row>
    <row r="85" spans="1:30" s="370" customFormat="1">
      <c r="A85" s="344"/>
      <c r="B85" s="202"/>
      <c r="C85" s="373" t="s">
        <v>279</v>
      </c>
      <c r="D85" s="604" t="s">
        <v>256</v>
      </c>
      <c r="E85" s="374"/>
      <c r="F85" s="374"/>
      <c r="G85" s="374"/>
      <c r="H85" s="374"/>
      <c r="I85" s="374"/>
      <c r="J85" s="426"/>
      <c r="K85" s="427"/>
      <c r="L85" s="427"/>
      <c r="M85" s="427"/>
      <c r="N85" s="427"/>
      <c r="O85" s="427">
        <f>O12</f>
        <v>0.30099999999999999</v>
      </c>
      <c r="P85" s="473">
        <f>P12</f>
        <v>6.3810000000000002</v>
      </c>
      <c r="Q85" s="605">
        <f t="shared" ref="Q85" si="194">AVERAGE(P77:Q77)*Q82*12/1000</f>
        <v>12.670759417425462</v>
      </c>
      <c r="R85" s="605">
        <f t="shared" ref="R85" si="195">AVERAGE(Q77:R77)*R82*12/1000</f>
        <v>21.510589981835576</v>
      </c>
      <c r="S85" s="605">
        <f t="shared" ref="S85" si="196">AVERAGE(R77:S77)*S82*12/1000</f>
        <v>31.065319580991488</v>
      </c>
      <c r="T85" s="605">
        <f t="shared" ref="T85" si="197">AVERAGE(S77:T77)*T82*12/1000</f>
        <v>41.026065901901532</v>
      </c>
      <c r="U85" s="605">
        <f t="shared" ref="U85" si="198">AVERAGE(T77:U77)*U82*12/1000</f>
        <v>50.016194124764795</v>
      </c>
      <c r="V85" s="605">
        <f t="shared" ref="V85:Y85" si="199">AVERAGE(U77:V77)*V82*12/1000</f>
        <v>59.284809735521236</v>
      </c>
      <c r="W85" s="605">
        <f t="shared" si="199"/>
        <v>68.838543906590601</v>
      </c>
      <c r="X85" s="605">
        <f t="shared" si="199"/>
        <v>78.684169054392228</v>
      </c>
      <c r="Y85" s="605">
        <f t="shared" si="199"/>
        <v>88.828601667040871</v>
      </c>
      <c r="Z85" s="606"/>
      <c r="AA85" s="554"/>
      <c r="AB85" s="372"/>
      <c r="AC85" s="372"/>
      <c r="AD85" s="372"/>
    </row>
    <row r="86" spans="1:30" s="345" customFormat="1">
      <c r="A86" s="234"/>
      <c r="B86" s="187"/>
      <c r="C86" s="535" t="s">
        <v>227</v>
      </c>
      <c r="D86" s="384" t="s">
        <v>122</v>
      </c>
      <c r="E86" s="195"/>
      <c r="F86" s="195"/>
      <c r="G86" s="195"/>
      <c r="H86" s="195"/>
      <c r="I86" s="195"/>
      <c r="J86" s="235"/>
      <c r="K86" s="383"/>
      <c r="L86" s="648"/>
      <c r="M86" s="648"/>
      <c r="N86" s="648"/>
      <c r="O86" s="648"/>
      <c r="P86" s="537"/>
      <c r="Q86" s="431">
        <f t="shared" ref="Q86" si="200">Q85/P85-1</f>
        <v>0.98570120943824802</v>
      </c>
      <c r="R86" s="431">
        <f t="shared" ref="R86" si="201">R85/Q85-1</f>
        <v>0.6976559394106352</v>
      </c>
      <c r="S86" s="431">
        <f t="shared" ref="S86" si="202">S85/R85-1</f>
        <v>0.44418724020235234</v>
      </c>
      <c r="T86" s="431">
        <f t="shared" ref="T86" si="203">T85/S85-1</f>
        <v>0.32063878483339048</v>
      </c>
      <c r="U86" s="431">
        <f t="shared" ref="U86" si="204">U85/T85-1</f>
        <v>0.21913210602156652</v>
      </c>
      <c r="V86" s="431">
        <f t="shared" ref="V86:Y86" si="205">V85/U85-1</f>
        <v>0.18531229280732542</v>
      </c>
      <c r="W86" s="431">
        <f t="shared" si="205"/>
        <v>0.16114978210590647</v>
      </c>
      <c r="X86" s="431">
        <f t="shared" si="205"/>
        <v>0.14302488967752569</v>
      </c>
      <c r="Y86" s="431">
        <f t="shared" si="205"/>
        <v>0.12892596737770812</v>
      </c>
      <c r="Z86" s="247"/>
      <c r="AA86" s="356"/>
      <c r="AB86" s="375"/>
      <c r="AC86" s="375"/>
      <c r="AD86" s="375"/>
    </row>
    <row r="87" spans="1:30" s="345" customFormat="1">
      <c r="A87" s="234"/>
      <c r="B87" s="187"/>
      <c r="C87" s="535"/>
      <c r="D87" s="384"/>
      <c r="E87" s="195"/>
      <c r="F87" s="195"/>
      <c r="G87" s="195"/>
      <c r="H87" s="195"/>
      <c r="I87" s="195"/>
      <c r="J87" s="235"/>
      <c r="K87" s="383"/>
      <c r="L87" s="648"/>
      <c r="M87" s="648"/>
      <c r="N87" s="648"/>
      <c r="O87" s="648"/>
      <c r="P87" s="537"/>
      <c r="Q87" s="431"/>
      <c r="R87" s="431"/>
      <c r="S87" s="431"/>
      <c r="T87" s="431"/>
      <c r="U87" s="431"/>
      <c r="V87" s="431"/>
      <c r="W87" s="431"/>
      <c r="X87" s="431"/>
      <c r="Y87" s="431"/>
      <c r="Z87" s="247"/>
      <c r="AA87" s="356"/>
      <c r="AB87" s="375"/>
      <c r="AC87" s="375"/>
      <c r="AD87" s="375"/>
    </row>
    <row r="88" spans="1:30" s="345" customFormat="1">
      <c r="A88" s="234"/>
      <c r="B88" s="187"/>
      <c r="C88" s="719" t="s">
        <v>281</v>
      </c>
      <c r="D88" s="384"/>
      <c r="E88" s="195"/>
      <c r="F88" s="195"/>
      <c r="G88" s="195"/>
      <c r="H88" s="195"/>
      <c r="I88" s="195"/>
      <c r="J88" s="235"/>
      <c r="K88" s="383"/>
      <c r="L88" s="648"/>
      <c r="M88" s="648"/>
      <c r="N88" s="648"/>
      <c r="O88" s="648"/>
      <c r="P88" s="537"/>
      <c r="Q88" s="431"/>
      <c r="R88" s="431"/>
      <c r="S88" s="431"/>
      <c r="T88" s="431"/>
      <c r="U88" s="431"/>
      <c r="V88" s="431"/>
      <c r="W88" s="431"/>
      <c r="X88" s="431"/>
      <c r="Y88" s="431"/>
      <c r="Z88" s="247"/>
      <c r="AA88" s="356"/>
      <c r="AB88" s="375"/>
      <c r="AC88" s="375"/>
      <c r="AD88" s="375"/>
    </row>
    <row r="89" spans="1:30" s="345" customFormat="1">
      <c r="A89" s="234"/>
      <c r="B89" s="187"/>
      <c r="C89" s="603"/>
      <c r="D89" s="384"/>
      <c r="E89" s="195"/>
      <c r="F89" s="195"/>
      <c r="G89" s="195"/>
      <c r="H89" s="195"/>
      <c r="I89" s="195"/>
      <c r="J89" s="235"/>
      <c r="K89" s="383"/>
      <c r="L89" s="648"/>
      <c r="M89" s="648"/>
      <c r="N89" s="648"/>
      <c r="O89" s="648"/>
      <c r="P89" s="537"/>
      <c r="Q89" s="431"/>
      <c r="R89" s="431"/>
      <c r="S89" s="431"/>
      <c r="T89" s="431"/>
      <c r="U89" s="431"/>
      <c r="V89" s="431"/>
      <c r="W89" s="431"/>
      <c r="X89" s="431"/>
      <c r="Y89" s="431"/>
      <c r="Z89" s="247"/>
      <c r="AA89" s="356"/>
      <c r="AB89" s="375"/>
      <c r="AC89" s="375"/>
      <c r="AD89" s="375"/>
    </row>
    <row r="90" spans="1:30" s="345" customFormat="1">
      <c r="A90" s="187"/>
      <c r="B90" s="187"/>
      <c r="C90" s="183" t="s">
        <v>246</v>
      </c>
      <c r="D90" s="29" t="s">
        <v>256</v>
      </c>
      <c r="E90" s="209"/>
      <c r="F90" s="209"/>
      <c r="G90" s="209"/>
      <c r="H90" s="209">
        <v>0</v>
      </c>
      <c r="I90" s="209">
        <v>0</v>
      </c>
      <c r="J90" s="357">
        <v>0</v>
      </c>
      <c r="K90" s="527">
        <f>(298/1005)*K$14</f>
        <v>0.59599999999999997</v>
      </c>
      <c r="L90" s="527">
        <f>(18527/34307)*L$14</f>
        <v>17.443148628559769</v>
      </c>
      <c r="M90" s="527">
        <v>22.283000000000001</v>
      </c>
      <c r="N90" s="527">
        <v>29.219000000000001</v>
      </c>
      <c r="O90" s="527">
        <f>35.751-O108</f>
        <v>35.750999999999998</v>
      </c>
      <c r="P90" s="528">
        <v>48.337000000000003</v>
      </c>
      <c r="Q90" s="215">
        <f>(Q14)-Q91</f>
        <v>65.637167753809976</v>
      </c>
      <c r="R90" s="215">
        <f t="shared" ref="R90:Y90" si="206">(R14)-R91</f>
        <v>81.194063045803091</v>
      </c>
      <c r="S90" s="215">
        <f t="shared" si="206"/>
        <v>96.937475623849735</v>
      </c>
      <c r="T90" s="215">
        <f t="shared" si="206"/>
        <v>112.56931582110005</v>
      </c>
      <c r="U90" s="215">
        <f t="shared" si="206"/>
        <v>126.74792620508603</v>
      </c>
      <c r="V90" s="215">
        <f t="shared" si="206"/>
        <v>140.74273833000515</v>
      </c>
      <c r="W90" s="215">
        <f t="shared" si="206"/>
        <v>154.5798008721593</v>
      </c>
      <c r="X90" s="215">
        <f t="shared" si="206"/>
        <v>168.27945995012982</v>
      </c>
      <c r="Y90" s="215">
        <f t="shared" si="206"/>
        <v>181.8608918691742</v>
      </c>
      <c r="Z90" s="248">
        <f>(R90/O90)^(1/3)-1</f>
        <v>0.31445390258805683</v>
      </c>
      <c r="AA90" s="356"/>
      <c r="AB90" s="375"/>
      <c r="AC90" s="375"/>
      <c r="AD90" s="375"/>
    </row>
    <row r="91" spans="1:30" s="370" customFormat="1">
      <c r="A91" s="202"/>
      <c r="B91" s="202"/>
      <c r="C91" s="379" t="s">
        <v>44</v>
      </c>
      <c r="D91" s="204" t="s">
        <v>256</v>
      </c>
      <c r="E91" s="277"/>
      <c r="F91" s="277"/>
      <c r="G91" s="277"/>
      <c r="H91" s="530">
        <f>(H13+H65)-H90</f>
        <v>0</v>
      </c>
      <c r="I91" s="225">
        <f t="shared" ref="I91:L91" si="207">(I13+I65)-I90</f>
        <v>0</v>
      </c>
      <c r="J91" s="321">
        <f t="shared" si="207"/>
        <v>1.6E-2</v>
      </c>
      <c r="K91" s="226">
        <f t="shared" si="207"/>
        <v>1.4139999999999997</v>
      </c>
      <c r="L91" s="226">
        <f t="shared" si="207"/>
        <v>14.856851371440229</v>
      </c>
      <c r="M91" s="226">
        <f t="shared" ref="M91:N91" si="208">(M13+M65)-M90</f>
        <v>35.149000000000001</v>
      </c>
      <c r="N91" s="226">
        <f t="shared" si="208"/>
        <v>56.880999999999993</v>
      </c>
      <c r="O91" s="226">
        <f t="shared" ref="O91" si="209">(O13+O65)-O90</f>
        <v>81.013000000000005</v>
      </c>
      <c r="P91" s="829">
        <f>(P14)-P90</f>
        <v>102.95299999999999</v>
      </c>
      <c r="Q91" s="225">
        <f t="shared" ref="Q91:V91" si="210">(Q13+Q65)*Q93</f>
        <v>115.44879319473715</v>
      </c>
      <c r="R91" s="225">
        <f t="shared" si="210"/>
        <v>133.15552736204481</v>
      </c>
      <c r="S91" s="225">
        <f t="shared" si="210"/>
        <v>150.45749150208979</v>
      </c>
      <c r="T91" s="225">
        <f t="shared" si="210"/>
        <v>167.33319299724471</v>
      </c>
      <c r="U91" s="225">
        <f t="shared" si="210"/>
        <v>183.81834948071989</v>
      </c>
      <c r="V91" s="225">
        <f t="shared" si="210"/>
        <v>199.91760463533254</v>
      </c>
      <c r="W91" s="225">
        <f t="shared" ref="W91" si="211">(W13+W65)*W93</f>
        <v>215.63507249798573</v>
      </c>
      <c r="X91" s="225">
        <f t="shared" ref="X91" si="212">(X13+X65)*X93</f>
        <v>230.96148661177426</v>
      </c>
      <c r="Y91" s="225">
        <f t="shared" ref="Y91" si="213">(Y13+Y65)*Y93</f>
        <v>245.88442174653753</v>
      </c>
      <c r="Z91" s="249"/>
      <c r="AA91" s="25"/>
      <c r="AB91" s="372"/>
      <c r="AC91" s="372"/>
      <c r="AD91" s="372"/>
    </row>
    <row r="92" spans="1:30" s="345" customFormat="1">
      <c r="A92" s="187"/>
      <c r="B92" s="187"/>
      <c r="C92" s="212" t="s">
        <v>17</v>
      </c>
      <c r="D92" s="189" t="s">
        <v>122</v>
      </c>
      <c r="E92" s="363"/>
      <c r="F92" s="380"/>
      <c r="G92" s="380"/>
      <c r="H92" s="529" t="str">
        <f>IFERROR(H91/G91-1,"NA")</f>
        <v>NA</v>
      </c>
      <c r="I92" s="227" t="str">
        <f t="shared" ref="I92:Y92" si="214">IFERROR(I91/H91-1,"NA")</f>
        <v>NA</v>
      </c>
      <c r="J92" s="358" t="str">
        <f t="shared" si="214"/>
        <v>NA</v>
      </c>
      <c r="K92" s="460">
        <f t="shared" si="214"/>
        <v>87.374999999999986</v>
      </c>
      <c r="L92" s="358">
        <f t="shared" si="214"/>
        <v>9.506967023649386</v>
      </c>
      <c r="M92" s="358">
        <f t="shared" si="214"/>
        <v>1.3658444929702922</v>
      </c>
      <c r="N92" s="358">
        <f t="shared" si="214"/>
        <v>0.61828217018976339</v>
      </c>
      <c r="O92" s="358">
        <f t="shared" si="214"/>
        <v>0.42425414461771083</v>
      </c>
      <c r="P92" s="393">
        <f t="shared" si="214"/>
        <v>0.27082073247503469</v>
      </c>
      <c r="Q92" s="227">
        <f t="shared" si="214"/>
        <v>0.1213737646764752</v>
      </c>
      <c r="R92" s="227">
        <f t="shared" si="214"/>
        <v>0.15337305551076863</v>
      </c>
      <c r="S92" s="227">
        <f t="shared" si="214"/>
        <v>0.12993800920484211</v>
      </c>
      <c r="T92" s="227">
        <f t="shared" si="214"/>
        <v>0.11216258709803428</v>
      </c>
      <c r="U92" s="227">
        <f t="shared" si="214"/>
        <v>9.8516954037604521E-2</v>
      </c>
      <c r="V92" s="227">
        <f t="shared" si="214"/>
        <v>8.7582416010656416E-2</v>
      </c>
      <c r="W92" s="227">
        <f t="shared" si="214"/>
        <v>7.8619728819396606E-2</v>
      </c>
      <c r="X92" s="227">
        <f t="shared" si="214"/>
        <v>7.1075701815305203E-2</v>
      </c>
      <c r="Y92" s="227">
        <f t="shared" si="214"/>
        <v>6.4612223248490697E-2</v>
      </c>
      <c r="Z92" s="247"/>
      <c r="AA92" s="356"/>
      <c r="AB92" s="375"/>
      <c r="AC92" s="375"/>
      <c r="AD92" s="375"/>
    </row>
    <row r="93" spans="1:30" s="345" customFormat="1">
      <c r="A93" s="187"/>
      <c r="B93" s="187"/>
      <c r="C93" s="212" t="s">
        <v>168</v>
      </c>
      <c r="D93" s="189" t="s">
        <v>122</v>
      </c>
      <c r="E93" s="380"/>
      <c r="F93" s="380"/>
      <c r="G93" s="380"/>
      <c r="H93" s="529" t="str">
        <f t="shared" ref="H93:K93" si="215">IFERROR(H91/H$65,"NA")</f>
        <v>NA</v>
      </c>
      <c r="I93" s="227" t="str">
        <f t="shared" si="215"/>
        <v>NA</v>
      </c>
      <c r="J93" s="358" t="str">
        <f t="shared" si="215"/>
        <v>NA</v>
      </c>
      <c r="K93" s="358" t="str">
        <f t="shared" si="215"/>
        <v>NA</v>
      </c>
      <c r="L93" s="358">
        <f>IFERROR(L91/L$65,"NA")</f>
        <v>0.50545542719151604</v>
      </c>
      <c r="M93" s="358">
        <f>IFERROR(M91/M$65,"NA")</f>
        <v>0.62114973403785323</v>
      </c>
      <c r="N93" s="358">
        <f>IFERROR(N91/N$65,"NA")</f>
        <v>0.66444332823250429</v>
      </c>
      <c r="O93" s="358">
        <f>IFERROR(O91/O$65,"NA")</f>
        <v>0.69536071413244072</v>
      </c>
      <c r="P93" s="393">
        <f>IFERROR(P91/P$14,"NA")</f>
        <v>0.68050102452244032</v>
      </c>
      <c r="Q93" s="244">
        <f>P93+0.5%</f>
        <v>0.68550102452244033</v>
      </c>
      <c r="R93" s="244">
        <f>Q93+0.5%</f>
        <v>0.69050102452244033</v>
      </c>
      <c r="S93" s="244">
        <f t="shared" ref="S93:Y93" si="216">R93+0.5%</f>
        <v>0.69550102452244034</v>
      </c>
      <c r="T93" s="244">
        <f t="shared" si="216"/>
        <v>0.70050102452244034</v>
      </c>
      <c r="U93" s="244">
        <f t="shared" si="216"/>
        <v>0.70550102452244035</v>
      </c>
      <c r="V93" s="244">
        <f t="shared" si="216"/>
        <v>0.71050102452244035</v>
      </c>
      <c r="W93" s="244">
        <f t="shared" si="216"/>
        <v>0.71550102452244035</v>
      </c>
      <c r="X93" s="244">
        <f t="shared" si="216"/>
        <v>0.72050102452244036</v>
      </c>
      <c r="Y93" s="244">
        <f t="shared" si="216"/>
        <v>0.72550102452244036</v>
      </c>
      <c r="Z93" s="247"/>
      <c r="AA93" s="25"/>
      <c r="AB93" s="375"/>
      <c r="AC93" s="375"/>
      <c r="AD93" s="375"/>
    </row>
    <row r="94" spans="1:30" s="345" customFormat="1">
      <c r="A94" s="187"/>
      <c r="B94" s="187"/>
      <c r="C94" s="212"/>
      <c r="D94" s="189"/>
      <c r="E94" s="380"/>
      <c r="F94" s="380"/>
      <c r="G94" s="380"/>
      <c r="H94" s="529"/>
      <c r="I94" s="227"/>
      <c r="J94" s="358"/>
      <c r="K94" s="358"/>
      <c r="L94" s="358"/>
      <c r="M94" s="358"/>
      <c r="N94" s="358"/>
      <c r="O94" s="358"/>
      <c r="P94" s="393"/>
      <c r="Q94" s="244"/>
      <c r="R94" s="244"/>
      <c r="S94" s="244"/>
      <c r="T94" s="244"/>
      <c r="U94" s="244"/>
      <c r="V94" s="244"/>
      <c r="W94" s="244"/>
      <c r="X94" s="244"/>
      <c r="Y94" s="244"/>
      <c r="Z94" s="247"/>
      <c r="AA94" s="25"/>
      <c r="AB94" s="375"/>
      <c r="AC94" s="375"/>
      <c r="AD94" s="375"/>
    </row>
    <row r="95" spans="1:30">
      <c r="C95" s="67" t="s">
        <v>212</v>
      </c>
      <c r="D95" s="21" t="s">
        <v>256</v>
      </c>
      <c r="E95" s="351"/>
      <c r="F95" s="351"/>
      <c r="G95" s="351"/>
      <c r="H95" s="351">
        <v>0.108</v>
      </c>
      <c r="I95" s="351">
        <v>0.38500000000000001</v>
      </c>
      <c r="J95" s="366">
        <v>1.165</v>
      </c>
      <c r="K95" s="507">
        <f>(969/1005)*K$14</f>
        <v>1.9379999999999997</v>
      </c>
      <c r="L95" s="507">
        <f>(9008/34307)*L$14</f>
        <v>8.4810213659020022</v>
      </c>
      <c r="M95" s="507">
        <v>9.125</v>
      </c>
      <c r="N95" s="507">
        <v>9.7840000000000007</v>
      </c>
      <c r="O95" s="507">
        <f>12.451-O108</f>
        <v>12.451000000000001</v>
      </c>
      <c r="P95" s="514">
        <v>13.382</v>
      </c>
      <c r="Q95" s="49"/>
      <c r="R95" s="49"/>
      <c r="S95" s="49"/>
      <c r="T95" s="49"/>
      <c r="U95" s="49"/>
      <c r="V95" s="49"/>
      <c r="W95" s="49"/>
      <c r="X95" s="49"/>
      <c r="Y95" s="49"/>
      <c r="Z95" s="247"/>
      <c r="AB95" s="390"/>
      <c r="AD95" s="523"/>
    </row>
    <row r="96" spans="1:30">
      <c r="C96" s="183" t="s">
        <v>213</v>
      </c>
      <c r="D96" s="29" t="s">
        <v>256</v>
      </c>
      <c r="E96" s="357"/>
      <c r="F96" s="357"/>
      <c r="G96" s="357"/>
      <c r="H96" s="357">
        <v>0.20300000000000001</v>
      </c>
      <c r="I96" s="357">
        <v>1.042</v>
      </c>
      <c r="J96" s="357">
        <v>1.4410000000000001</v>
      </c>
      <c r="K96" s="451">
        <f>(1070/1005)*K$14</f>
        <v>2.1399999999999997</v>
      </c>
      <c r="L96" s="339">
        <f>L97-L95</f>
        <v>6.8758300055382264</v>
      </c>
      <c r="M96" s="339">
        <f>M97-M95</f>
        <v>10.524000000000001</v>
      </c>
      <c r="N96" s="339">
        <f>N97-N95</f>
        <v>15.996999999999991</v>
      </c>
      <c r="O96" s="339">
        <f>O97-O95</f>
        <v>18.822000000000003</v>
      </c>
      <c r="P96" s="503">
        <f>P97-P95</f>
        <v>21.170999999999985</v>
      </c>
      <c r="Q96" s="215"/>
      <c r="R96" s="215"/>
      <c r="S96" s="215"/>
      <c r="T96" s="215"/>
      <c r="U96" s="215"/>
      <c r="V96" s="215"/>
      <c r="W96" s="215"/>
      <c r="X96" s="215"/>
      <c r="Y96" s="215"/>
      <c r="Z96" s="248"/>
      <c r="AB96" s="390"/>
    </row>
    <row r="97" spans="1:30" s="370" customFormat="1">
      <c r="A97" s="202"/>
      <c r="B97" s="202"/>
      <c r="C97" s="379" t="s">
        <v>228</v>
      </c>
      <c r="D97" s="204" t="s">
        <v>256</v>
      </c>
      <c r="E97" s="277"/>
      <c r="F97" s="277"/>
      <c r="G97" s="277"/>
      <c r="H97" s="530">
        <f>SUM(H95:H96)</f>
        <v>0.311</v>
      </c>
      <c r="I97" s="530">
        <f t="shared" ref="I97:K97" si="217">SUM(I95:I96)</f>
        <v>1.427</v>
      </c>
      <c r="J97" s="530">
        <f t="shared" si="217"/>
        <v>2.6059999999999999</v>
      </c>
      <c r="K97" s="530">
        <f t="shared" si="217"/>
        <v>4.0779999999999994</v>
      </c>
      <c r="L97" s="226">
        <f t="shared" ref="L97:Q97" si="218">L91-L101</f>
        <v>15.356851371440229</v>
      </c>
      <c r="M97" s="226">
        <f t="shared" si="218"/>
        <v>19.649000000000001</v>
      </c>
      <c r="N97" s="226">
        <f t="shared" si="218"/>
        <v>25.780999999999992</v>
      </c>
      <c r="O97" s="226">
        <f t="shared" si="218"/>
        <v>31.273000000000003</v>
      </c>
      <c r="P97" s="270">
        <f t="shared" si="218"/>
        <v>34.552999999999983</v>
      </c>
      <c r="Q97" s="225">
        <f t="shared" si="218"/>
        <v>34.153063956098762</v>
      </c>
      <c r="R97" s="225">
        <f t="shared" ref="R97:T97" si="219">R91-R101</f>
        <v>36.712258793424738</v>
      </c>
      <c r="S97" s="225">
        <f t="shared" si="219"/>
        <v>35.435044488188908</v>
      </c>
      <c r="T97" s="225">
        <f t="shared" si="219"/>
        <v>32.998331802547682</v>
      </c>
      <c r="U97" s="225">
        <f>U91-U101</f>
        <v>30.10839556347446</v>
      </c>
      <c r="V97" s="225">
        <f>V91-V101</f>
        <v>26.203154444855187</v>
      </c>
      <c r="W97" s="225">
        <f>W91-W101</f>
        <v>21.296525517290348</v>
      </c>
      <c r="X97" s="225">
        <f>X91-X101</f>
        <v>15.397539192023089</v>
      </c>
      <c r="Y97" s="225">
        <f>Y91-Y101</f>
        <v>8.5138044092239795</v>
      </c>
      <c r="Z97" s="247">
        <f>(R97/O97)^(1/3)-1</f>
        <v>5.4906221737877958E-2</v>
      </c>
      <c r="AA97" s="25"/>
      <c r="AB97" s="372"/>
      <c r="AC97" s="372"/>
      <c r="AD97" s="372"/>
    </row>
    <row r="98" spans="1:30" s="345" customFormat="1">
      <c r="A98" s="187"/>
      <c r="B98" s="187"/>
      <c r="C98" s="212" t="s">
        <v>17</v>
      </c>
      <c r="D98" s="189" t="s">
        <v>122</v>
      </c>
      <c r="E98" s="363"/>
      <c r="F98" s="380"/>
      <c r="G98" s="380"/>
      <c r="H98" s="529" t="str">
        <f>IFERROR(H97/G97-1,"NA")</f>
        <v>NA</v>
      </c>
      <c r="I98" s="227">
        <f t="shared" ref="I98" si="220">IFERROR(I97/H97-1,"NA")</f>
        <v>3.5884244372990359</v>
      </c>
      <c r="J98" s="358">
        <f t="shared" ref="J98" si="221">IFERROR(J97/I97-1,"NA")</f>
        <v>0.82620882971268372</v>
      </c>
      <c r="K98" s="358">
        <f t="shared" ref="K98" si="222">IFERROR(K97/J97-1,"NA")</f>
        <v>0.56485034535686851</v>
      </c>
      <c r="L98" s="358">
        <f t="shared" ref="L98:O98" si="223">IFERROR(L97/K97-1,"NA")</f>
        <v>2.7657801303188405</v>
      </c>
      <c r="M98" s="358">
        <f t="shared" si="223"/>
        <v>0.27949405283312556</v>
      </c>
      <c r="N98" s="358">
        <f t="shared" si="223"/>
        <v>0.31207695048093997</v>
      </c>
      <c r="O98" s="358">
        <f t="shared" si="223"/>
        <v>0.21302509600093145</v>
      </c>
      <c r="P98" s="393">
        <f t="shared" ref="P98" si="224">IFERROR(P97/O97-1,"NA")</f>
        <v>0.1048828062545959</v>
      </c>
      <c r="Q98" s="227">
        <f t="shared" ref="Q98" si="225">IFERROR(Q97/P97-1,"NA")</f>
        <v>-1.1574567878367192E-2</v>
      </c>
      <c r="R98" s="227">
        <f t="shared" ref="R98" si="226">IFERROR(R97/Q97-1,"NA")</f>
        <v>7.4933096503893015E-2</v>
      </c>
      <c r="S98" s="227">
        <f t="shared" ref="S98" si="227">IFERROR(S97/R97-1,"NA")</f>
        <v>-3.4789858952088859E-2</v>
      </c>
      <c r="T98" s="227">
        <f t="shared" ref="T98" si="228">IFERROR(T97/S97-1,"NA")</f>
        <v>-6.8765616661026652E-2</v>
      </c>
      <c r="U98" s="227">
        <f t="shared" ref="U98" si="229">IFERROR(U97/T97-1,"NA")</f>
        <v>-8.7578252633064957E-2</v>
      </c>
      <c r="V98" s="227">
        <f t="shared" ref="V98:Y98" si="230">IFERROR(V97/U97-1,"NA")</f>
        <v>-0.12970605193445961</v>
      </c>
      <c r="W98" s="227">
        <f t="shared" si="230"/>
        <v>-0.18725336821148353</v>
      </c>
      <c r="X98" s="227">
        <f t="shared" si="230"/>
        <v>-0.27699289823018103</v>
      </c>
      <c r="Y98" s="227">
        <f t="shared" si="230"/>
        <v>-0.44706720320382909</v>
      </c>
      <c r="Z98" s="247"/>
      <c r="AA98" s="356"/>
      <c r="AB98" s="375"/>
      <c r="AC98" s="375"/>
      <c r="AD98" s="375"/>
    </row>
    <row r="99" spans="1:30" s="345" customFormat="1">
      <c r="A99" s="187"/>
      <c r="B99" s="187"/>
      <c r="C99" s="212" t="s">
        <v>168</v>
      </c>
      <c r="D99" s="189" t="s">
        <v>122</v>
      </c>
      <c r="E99" s="380"/>
      <c r="F99" s="380"/>
      <c r="G99" s="380"/>
      <c r="H99" s="529" t="str">
        <f t="shared" ref="H99:K99" si="231">IFERROR(H97/H$65,"NA")</f>
        <v>NA</v>
      </c>
      <c r="I99" s="227" t="str">
        <f t="shared" si="231"/>
        <v>NA</v>
      </c>
      <c r="J99" s="460" t="str">
        <f t="shared" si="231"/>
        <v>NA</v>
      </c>
      <c r="K99" s="358" t="str">
        <f t="shared" si="231"/>
        <v>NA</v>
      </c>
      <c r="L99" s="358">
        <f>IFERROR(L97/L$65,"NA")</f>
        <v>0.52246628011568164</v>
      </c>
      <c r="M99" s="358">
        <f>IFERROR(M97/M$65,"NA")</f>
        <v>0.34723523070669943</v>
      </c>
      <c r="N99" s="358">
        <f>IFERROR(N97/N$65,"NA")</f>
        <v>0.30115527935799635</v>
      </c>
      <c r="O99" s="358">
        <f>IFERROR(O97/O$65,"NA")</f>
        <v>0.2684262478005236</v>
      </c>
      <c r="P99" s="393">
        <f t="shared" ref="P99:V99" si="232">IFERROR(P97/P$65,"NA")</f>
        <v>0.23891278193409193</v>
      </c>
      <c r="Q99" s="227">
        <f t="shared" si="232"/>
        <v>0.20307589659949063</v>
      </c>
      <c r="R99" s="227">
        <f t="shared" si="232"/>
        <v>0.19059989838468869</v>
      </c>
      <c r="S99" s="227">
        <f t="shared" si="232"/>
        <v>0.16398115971812485</v>
      </c>
      <c r="T99" s="227">
        <f t="shared" si="232"/>
        <v>0.13827754303151038</v>
      </c>
      <c r="U99" s="227">
        <f t="shared" si="232"/>
        <v>0.1156657526262151</v>
      </c>
      <c r="V99" s="227">
        <f t="shared" si="232"/>
        <v>9.3207593148309426E-2</v>
      </c>
      <c r="W99" s="227">
        <f t="shared" ref="W99" si="233">IFERROR(W97/W$65,"NA")</f>
        <v>7.072388199559379E-2</v>
      </c>
      <c r="X99" s="227">
        <f t="shared" ref="X99" si="234">IFERROR(X97/X$65,"NA")</f>
        <v>4.8072576181669803E-2</v>
      </c>
      <c r="Y99" s="227">
        <f t="shared" ref="Y99" si="235">IFERROR(Y97/Y$65,"NA")</f>
        <v>2.5140244597807521E-2</v>
      </c>
      <c r="Z99" s="247"/>
      <c r="AA99" s="25"/>
      <c r="AB99" s="375"/>
      <c r="AC99" s="375"/>
      <c r="AD99" s="375"/>
    </row>
    <row r="100" spans="1:30" s="345" customFormat="1">
      <c r="A100" s="187"/>
      <c r="B100" s="187"/>
      <c r="C100" s="369"/>
      <c r="D100" s="189"/>
      <c r="E100" s="363"/>
      <c r="F100" s="363"/>
      <c r="G100" s="363"/>
      <c r="H100" s="531"/>
      <c r="I100" s="221"/>
      <c r="J100" s="532"/>
      <c r="K100" s="223"/>
      <c r="L100" s="223"/>
      <c r="M100" s="223"/>
      <c r="N100" s="223"/>
      <c r="O100" s="223"/>
      <c r="P100" s="468"/>
      <c r="Q100" s="221"/>
      <c r="R100" s="221"/>
      <c r="S100" s="221"/>
      <c r="T100" s="221"/>
      <c r="U100" s="221"/>
      <c r="V100" s="221"/>
      <c r="W100" s="221"/>
      <c r="X100" s="221"/>
      <c r="Y100" s="221"/>
      <c r="Z100" s="247"/>
      <c r="AA100" s="356"/>
      <c r="AB100" s="375"/>
      <c r="AC100" s="375"/>
      <c r="AD100" s="375"/>
    </row>
    <row r="101" spans="1:30" s="370" customFormat="1">
      <c r="A101" s="202"/>
      <c r="B101" s="202"/>
      <c r="C101" s="607" t="s">
        <v>49</v>
      </c>
      <c r="D101" s="608" t="s">
        <v>256</v>
      </c>
      <c r="E101" s="374"/>
      <c r="F101" s="374"/>
      <c r="G101" s="374"/>
      <c r="H101" s="605">
        <f>H91-H97</f>
        <v>-0.311</v>
      </c>
      <c r="I101" s="605">
        <f t="shared" ref="I101:K101" si="236">I91-I97</f>
        <v>-1.427</v>
      </c>
      <c r="J101" s="427">
        <f t="shared" si="236"/>
        <v>-2.59</v>
      </c>
      <c r="K101" s="427">
        <f t="shared" si="236"/>
        <v>-2.6639999999999997</v>
      </c>
      <c r="L101" s="653">
        <v>-0.5</v>
      </c>
      <c r="M101" s="653">
        <v>15.5</v>
      </c>
      <c r="N101" s="653">
        <v>31.1</v>
      </c>
      <c r="O101" s="653">
        <f>49.74-O117</f>
        <v>49.74</v>
      </c>
      <c r="P101" s="609">
        <v>68.400000000000006</v>
      </c>
      <c r="Q101" s="605">
        <f>Q103*(Q14)</f>
        <v>81.295729238638387</v>
      </c>
      <c r="R101" s="605">
        <f t="shared" ref="R101:Y101" si="237">R103*(R14)</f>
        <v>96.44326856862007</v>
      </c>
      <c r="S101" s="605">
        <f t="shared" si="237"/>
        <v>115.02244701390089</v>
      </c>
      <c r="T101" s="605">
        <f t="shared" si="237"/>
        <v>134.33486119469703</v>
      </c>
      <c r="U101" s="605">
        <f t="shared" si="237"/>
        <v>153.70995391724543</v>
      </c>
      <c r="V101" s="605">
        <f t="shared" si="237"/>
        <v>173.71445019047735</v>
      </c>
      <c r="W101" s="605">
        <f t="shared" si="237"/>
        <v>194.33854698069538</v>
      </c>
      <c r="X101" s="605">
        <f t="shared" si="237"/>
        <v>215.56394741975117</v>
      </c>
      <c r="Y101" s="605">
        <f t="shared" si="237"/>
        <v>237.37061733731355</v>
      </c>
      <c r="Z101" s="247">
        <f>(R101/O101)^(1/3)-1</f>
        <v>0.24696820461550328</v>
      </c>
      <c r="AA101" s="25"/>
      <c r="AB101" s="372"/>
      <c r="AC101" s="372"/>
      <c r="AD101" s="372"/>
    </row>
    <row r="102" spans="1:30" s="345" customFormat="1">
      <c r="A102" s="187"/>
      <c r="B102" s="187"/>
      <c r="C102" s="212" t="s">
        <v>17</v>
      </c>
      <c r="D102" s="189" t="s">
        <v>122</v>
      </c>
      <c r="E102" s="363"/>
      <c r="F102" s="380"/>
      <c r="G102" s="380"/>
      <c r="H102" s="529" t="str">
        <f>IFERROR(H101/G101-1,"NA")</f>
        <v>NA</v>
      </c>
      <c r="I102" s="227">
        <f t="shared" ref="I102" si="238">IFERROR(I101/H101-1,"NA")</f>
        <v>3.5884244372990359</v>
      </c>
      <c r="J102" s="358">
        <f t="shared" ref="J102" si="239">IFERROR(J101/I101-1,"NA")</f>
        <v>0.81499649614576009</v>
      </c>
      <c r="K102" s="358">
        <f t="shared" ref="K102" si="240">IFERROR(K101/J101-1,"NA")</f>
        <v>2.857142857142847E-2</v>
      </c>
      <c r="L102" s="358">
        <f t="shared" ref="L102:O102" si="241">IFERROR(L101/K101-1,"NA")</f>
        <v>-0.81231231231231227</v>
      </c>
      <c r="M102" s="358">
        <f t="shared" si="241"/>
        <v>-32</v>
      </c>
      <c r="N102" s="358">
        <f t="shared" si="241"/>
        <v>1.0064516129032257</v>
      </c>
      <c r="O102" s="358">
        <f t="shared" si="241"/>
        <v>0.59935691318327966</v>
      </c>
      <c r="P102" s="393">
        <f t="shared" ref="P102" si="242">IFERROR(P101/O101-1,"NA")</f>
        <v>0.37515078407720148</v>
      </c>
      <c r="Q102" s="227">
        <f t="shared" ref="Q102" si="243">IFERROR(Q101/P101-1,"NA")</f>
        <v>0.18853405319646765</v>
      </c>
      <c r="R102" s="227">
        <f t="shared" ref="R102" si="244">IFERROR(R101/Q101-1,"NA")</f>
        <v>0.18632638481557939</v>
      </c>
      <c r="S102" s="227">
        <f t="shared" ref="S102" si="245">IFERROR(S101/R101-1,"NA")</f>
        <v>0.19264359992176749</v>
      </c>
      <c r="T102" s="227">
        <f t="shared" ref="T102" si="246">IFERROR(T101/S101-1,"NA")</f>
        <v>0.16790126346783563</v>
      </c>
      <c r="U102" s="227">
        <f t="shared" ref="U102" si="247">IFERROR(U101/T101-1,"NA")</f>
        <v>0.14422981905245935</v>
      </c>
      <c r="V102" s="227">
        <f t="shared" ref="V102:Y102" si="248">IFERROR(V101/U101-1,"NA")</f>
        <v>0.13014444259089397</v>
      </c>
      <c r="W102" s="227">
        <f t="shared" si="248"/>
        <v>0.11872412898065643</v>
      </c>
      <c r="X102" s="227">
        <f t="shared" si="248"/>
        <v>0.10921868444948402</v>
      </c>
      <c r="Y102" s="227">
        <f t="shared" si="248"/>
        <v>0.10116102520195502</v>
      </c>
      <c r="Z102" s="247"/>
      <c r="AA102" s="356"/>
      <c r="AB102" s="375"/>
      <c r="AC102" s="375"/>
      <c r="AD102" s="375"/>
    </row>
    <row r="103" spans="1:30" s="345" customFormat="1">
      <c r="A103" s="187"/>
      <c r="B103" s="187"/>
      <c r="C103" s="212" t="s">
        <v>168</v>
      </c>
      <c r="D103" s="189" t="s">
        <v>122</v>
      </c>
      <c r="E103" s="380"/>
      <c r="F103" s="380"/>
      <c r="G103" s="380"/>
      <c r="H103" s="529"/>
      <c r="I103" s="227"/>
      <c r="J103" s="460"/>
      <c r="K103" s="358"/>
      <c r="L103" s="358">
        <f>IFERROR(L101/L$65,"NA")</f>
        <v>-1.7010852924165619E-2</v>
      </c>
      <c r="M103" s="358">
        <f>IFERROR(M101/M$65,"NA")</f>
        <v>0.2739145033311538</v>
      </c>
      <c r="N103" s="358">
        <f>IFERROR(N101/N$65,"NA")</f>
        <v>0.36328804887450794</v>
      </c>
      <c r="O103" s="358">
        <f>IFERROR(O101/O$65,"NA")</f>
        <v>0.42693446633191712</v>
      </c>
      <c r="P103" s="393">
        <f>O103+2.5%</f>
        <v>0.45193446633191714</v>
      </c>
      <c r="Q103" s="556">
        <f>P103-0.3%</f>
        <v>0.44893446633191714</v>
      </c>
      <c r="R103" s="556">
        <f>Q103+0.1%</f>
        <v>0.44993446633191714</v>
      </c>
      <c r="S103" s="556">
        <f>R103+1.5%</f>
        <v>0.46493446633191715</v>
      </c>
      <c r="T103" s="556">
        <f t="shared" ref="T103:Y103" si="249">S103+1.5%</f>
        <v>0.47993446633191716</v>
      </c>
      <c r="U103" s="556">
        <f t="shared" si="249"/>
        <v>0.49493446633191718</v>
      </c>
      <c r="V103" s="556">
        <f t="shared" si="249"/>
        <v>0.50993446633191719</v>
      </c>
      <c r="W103" s="556">
        <f t="shared" si="249"/>
        <v>0.5249344663319172</v>
      </c>
      <c r="X103" s="556">
        <f t="shared" si="249"/>
        <v>0.53993446633191722</v>
      </c>
      <c r="Y103" s="556">
        <f t="shared" si="249"/>
        <v>0.55493446633191723</v>
      </c>
      <c r="Z103" s="247"/>
      <c r="AA103" s="25"/>
      <c r="AB103" s="375"/>
      <c r="AC103" s="375"/>
      <c r="AD103" s="375"/>
    </row>
    <row r="104" spans="1:30" s="345" customFormat="1">
      <c r="A104" s="234"/>
      <c r="B104" s="187"/>
      <c r="C104" s="535"/>
      <c r="D104" s="384"/>
      <c r="E104" s="195"/>
      <c r="F104" s="195"/>
      <c r="G104" s="195"/>
      <c r="H104" s="195"/>
      <c r="I104" s="195"/>
      <c r="J104" s="235"/>
      <c r="K104" s="383"/>
      <c r="L104" s="648"/>
      <c r="M104" s="648"/>
      <c r="N104" s="648"/>
      <c r="O104" s="648"/>
      <c r="P104" s="537"/>
      <c r="Q104" s="431"/>
      <c r="R104" s="431"/>
      <c r="S104" s="431"/>
      <c r="T104" s="431"/>
      <c r="U104" s="431"/>
      <c r="V104" s="431"/>
      <c r="W104" s="431"/>
      <c r="X104" s="431"/>
      <c r="Y104" s="431"/>
      <c r="Z104" s="247"/>
      <c r="AA104" s="356"/>
      <c r="AB104" s="375"/>
      <c r="AC104" s="375"/>
      <c r="AD104" s="375"/>
    </row>
    <row r="105" spans="1:30" s="345" customFormat="1">
      <c r="A105" s="234"/>
      <c r="B105" s="187"/>
      <c r="C105" s="187"/>
      <c r="D105" s="189"/>
      <c r="E105" s="195"/>
      <c r="F105" s="195"/>
      <c r="G105" s="195"/>
      <c r="H105" s="195"/>
      <c r="I105" s="195"/>
      <c r="J105" s="235"/>
      <c r="K105" s="223"/>
      <c r="L105" s="223"/>
      <c r="M105" s="223"/>
      <c r="N105" s="223"/>
      <c r="O105" s="223"/>
      <c r="P105" s="468"/>
      <c r="Q105" s="221"/>
      <c r="R105" s="221"/>
      <c r="S105" s="221"/>
      <c r="T105" s="221"/>
      <c r="U105" s="221"/>
      <c r="V105" s="221"/>
      <c r="W105" s="221"/>
      <c r="X105" s="221"/>
      <c r="Y105" s="221"/>
      <c r="Z105" s="247"/>
      <c r="AA105" s="356"/>
      <c r="AB105" s="375"/>
      <c r="AC105" s="375"/>
      <c r="AD105" s="375"/>
    </row>
    <row r="106" spans="1:30" s="345" customFormat="1" hidden="1">
      <c r="A106" s="234"/>
      <c r="B106" s="187"/>
      <c r="C106" s="719" t="s">
        <v>281</v>
      </c>
      <c r="D106" s="384"/>
      <c r="E106" s="195"/>
      <c r="F106" s="195"/>
      <c r="G106" s="195"/>
      <c r="H106" s="195"/>
      <c r="I106" s="195"/>
      <c r="J106" s="235"/>
      <c r="K106" s="383"/>
      <c r="L106" s="648"/>
      <c r="M106" s="648"/>
      <c r="N106" s="648"/>
      <c r="O106" s="648"/>
      <c r="P106" s="537"/>
      <c r="Q106" s="431"/>
      <c r="R106" s="431"/>
      <c r="S106" s="431"/>
      <c r="T106" s="431"/>
      <c r="U106" s="431"/>
      <c r="V106" s="431"/>
      <c r="W106" s="431"/>
      <c r="X106" s="431"/>
      <c r="Y106" s="431"/>
      <c r="Z106" s="247"/>
      <c r="AA106" s="356"/>
      <c r="AB106" s="375"/>
      <c r="AC106" s="375"/>
      <c r="AD106" s="375"/>
    </row>
    <row r="107" spans="1:30" s="345" customFormat="1" hidden="1">
      <c r="A107" s="234"/>
      <c r="B107" s="187"/>
      <c r="C107" s="603"/>
      <c r="D107" s="384"/>
      <c r="E107" s="195"/>
      <c r="F107" s="195"/>
      <c r="G107" s="195"/>
      <c r="H107" s="195"/>
      <c r="I107" s="195"/>
      <c r="J107" s="235"/>
      <c r="K107" s="383"/>
      <c r="L107" s="648"/>
      <c r="M107" s="648"/>
      <c r="N107" s="648"/>
      <c r="O107" s="648"/>
      <c r="P107" s="537"/>
      <c r="Q107" s="431"/>
      <c r="R107" s="431"/>
      <c r="S107" s="431"/>
      <c r="T107" s="431"/>
      <c r="U107" s="431"/>
      <c r="V107" s="431"/>
      <c r="W107" s="431"/>
      <c r="X107" s="431"/>
      <c r="Y107" s="431"/>
      <c r="Z107" s="247"/>
      <c r="AA107" s="356"/>
      <c r="AB107" s="375"/>
      <c r="AC107" s="375"/>
      <c r="AD107" s="375"/>
    </row>
    <row r="108" spans="1:30" s="345" customFormat="1" hidden="1">
      <c r="A108" s="234"/>
      <c r="B108" s="187"/>
      <c r="C108" s="183" t="s">
        <v>246</v>
      </c>
      <c r="D108" s="29" t="s">
        <v>256</v>
      </c>
      <c r="E108" s="209"/>
      <c r="F108" s="209"/>
      <c r="G108" s="209"/>
      <c r="H108" s="209"/>
      <c r="I108" s="209"/>
      <c r="J108" s="357"/>
      <c r="K108" s="527"/>
      <c r="L108" s="527"/>
      <c r="M108" s="215"/>
      <c r="N108" s="215"/>
      <c r="O108" s="215">
        <v>0</v>
      </c>
      <c r="P108" s="520">
        <f t="shared" ref="P108:Y108" si="250">P85-P109</f>
        <v>6.3810000000000002</v>
      </c>
      <c r="Q108" s="215">
        <f t="shared" si="250"/>
        <v>12.670759417425462</v>
      </c>
      <c r="R108" s="215">
        <f t="shared" si="250"/>
        <v>21.510589981835576</v>
      </c>
      <c r="S108" s="215">
        <f t="shared" si="250"/>
        <v>31.065319580991488</v>
      </c>
      <c r="T108" s="215">
        <f t="shared" si="250"/>
        <v>41.026065901901532</v>
      </c>
      <c r="U108" s="215">
        <f t="shared" si="250"/>
        <v>50.016194124764795</v>
      </c>
      <c r="V108" s="215">
        <f t="shared" si="250"/>
        <v>59.284809735521236</v>
      </c>
      <c r="W108" s="215">
        <f t="shared" si="250"/>
        <v>68.838543906590601</v>
      </c>
      <c r="X108" s="215">
        <f t="shared" si="250"/>
        <v>78.684169054392228</v>
      </c>
      <c r="Y108" s="215">
        <f t="shared" si="250"/>
        <v>88.828601667040871</v>
      </c>
      <c r="Z108" s="248"/>
      <c r="AA108" s="356"/>
      <c r="AB108" s="375"/>
      <c r="AC108" s="375"/>
      <c r="AD108" s="375"/>
    </row>
    <row r="109" spans="1:30" s="345" customFormat="1" hidden="1">
      <c r="A109" s="234"/>
      <c r="B109" s="187"/>
      <c r="C109" s="379" t="s">
        <v>44</v>
      </c>
      <c r="D109" s="204" t="s">
        <v>256</v>
      </c>
      <c r="E109" s="277"/>
      <c r="F109" s="277"/>
      <c r="G109" s="277"/>
      <c r="H109" s="530"/>
      <c r="I109" s="225"/>
      <c r="J109" s="321"/>
      <c r="K109" s="226"/>
      <c r="L109" s="226"/>
      <c r="M109" s="226"/>
      <c r="N109" s="226"/>
      <c r="O109" s="226">
        <f>O85-O108</f>
        <v>0.30099999999999999</v>
      </c>
      <c r="P109" s="585">
        <v>0</v>
      </c>
      <c r="Q109" s="225">
        <v>0</v>
      </c>
      <c r="R109" s="225">
        <v>0</v>
      </c>
      <c r="S109" s="225">
        <v>0</v>
      </c>
      <c r="T109" s="225">
        <v>0</v>
      </c>
      <c r="U109" s="225">
        <v>0</v>
      </c>
      <c r="V109" s="225">
        <v>0</v>
      </c>
      <c r="W109" s="225">
        <v>0</v>
      </c>
      <c r="X109" s="225">
        <v>0</v>
      </c>
      <c r="Y109" s="225">
        <v>0</v>
      </c>
      <c r="Z109" s="249"/>
      <c r="AA109" s="356"/>
      <c r="AB109" s="375"/>
      <c r="AC109" s="375"/>
      <c r="AD109" s="375"/>
    </row>
    <row r="110" spans="1:30" s="345" customFormat="1" hidden="1">
      <c r="A110" s="234"/>
      <c r="B110" s="187"/>
      <c r="C110" s="212" t="s">
        <v>17</v>
      </c>
      <c r="D110" s="189" t="s">
        <v>122</v>
      </c>
      <c r="E110" s="363"/>
      <c r="F110" s="380"/>
      <c r="G110" s="380"/>
      <c r="H110" s="529"/>
      <c r="I110" s="227"/>
      <c r="J110" s="358"/>
      <c r="K110" s="460"/>
      <c r="L110" s="358"/>
      <c r="M110" s="358"/>
      <c r="N110" s="358"/>
      <c r="O110" s="358" t="str">
        <f t="shared" ref="O110:P110" si="251">IFERROR(O109/N109-1,"NA")</f>
        <v>NA</v>
      </c>
      <c r="P110" s="587">
        <f t="shared" si="251"/>
        <v>-1</v>
      </c>
      <c r="Q110" s="227" t="str">
        <f t="shared" ref="Q110" si="252">IFERROR(Q109/P109-1,"NA")</f>
        <v>NA</v>
      </c>
      <c r="R110" s="227" t="str">
        <f t="shared" ref="R110" si="253">IFERROR(R109/Q109-1,"NA")</f>
        <v>NA</v>
      </c>
      <c r="S110" s="227" t="str">
        <f t="shared" ref="S110" si="254">IFERROR(S109/R109-1,"NA")</f>
        <v>NA</v>
      </c>
      <c r="T110" s="227" t="str">
        <f t="shared" ref="T110" si="255">IFERROR(T109/S109-1,"NA")</f>
        <v>NA</v>
      </c>
      <c r="U110" s="227" t="str">
        <f t="shared" ref="U110" si="256">IFERROR(U109/T109-1,"NA")</f>
        <v>NA</v>
      </c>
      <c r="V110" s="227" t="str">
        <f t="shared" ref="V110:Y110" si="257">IFERROR(V109/U109-1,"NA")</f>
        <v>NA</v>
      </c>
      <c r="W110" s="227" t="str">
        <f t="shared" si="257"/>
        <v>NA</v>
      </c>
      <c r="X110" s="227" t="str">
        <f t="shared" si="257"/>
        <v>NA</v>
      </c>
      <c r="Y110" s="227" t="str">
        <f t="shared" si="257"/>
        <v>NA</v>
      </c>
      <c r="Z110" s="247"/>
      <c r="AA110" s="356"/>
      <c r="AB110" s="375"/>
      <c r="AC110" s="375"/>
      <c r="AD110" s="375"/>
    </row>
    <row r="111" spans="1:30" s="345" customFormat="1" hidden="1">
      <c r="A111" s="234"/>
      <c r="B111" s="187"/>
      <c r="C111" s="212" t="s">
        <v>168</v>
      </c>
      <c r="D111" s="189" t="s">
        <v>122</v>
      </c>
      <c r="E111" s="380"/>
      <c r="F111" s="380"/>
      <c r="G111" s="380"/>
      <c r="H111" s="529"/>
      <c r="I111" s="227"/>
      <c r="J111" s="358"/>
      <c r="K111" s="358"/>
      <c r="L111" s="358"/>
      <c r="M111" s="683"/>
      <c r="N111" s="683"/>
      <c r="O111" s="683"/>
      <c r="P111" s="799">
        <f t="shared" ref="P111:Y111" si="258">(P82-13.5)/P82</f>
        <v>0.3502736248236954</v>
      </c>
      <c r="Q111" s="801">
        <f t="shared" si="258"/>
        <v>0.5</v>
      </c>
      <c r="R111" s="801">
        <f t="shared" si="258"/>
        <v>0.50909090909090904</v>
      </c>
      <c r="S111" s="801">
        <f t="shared" si="258"/>
        <v>0.53246753246753242</v>
      </c>
      <c r="T111" s="801">
        <f t="shared" si="258"/>
        <v>0.55044955044955046</v>
      </c>
      <c r="U111" s="801">
        <f t="shared" si="258"/>
        <v>0.55044955044955046</v>
      </c>
      <c r="V111" s="801">
        <f t="shared" si="258"/>
        <v>0.55044955044955046</v>
      </c>
      <c r="W111" s="801">
        <f t="shared" si="258"/>
        <v>0.55044955044955046</v>
      </c>
      <c r="X111" s="801">
        <f t="shared" si="258"/>
        <v>0.55044955044955046</v>
      </c>
      <c r="Y111" s="801">
        <f t="shared" si="258"/>
        <v>0.55044955044955046</v>
      </c>
      <c r="Z111" s="247"/>
      <c r="AA111" s="356"/>
      <c r="AB111" s="375"/>
      <c r="AC111" s="375"/>
      <c r="AD111" s="375"/>
    </row>
    <row r="112" spans="1:30" s="345" customFormat="1" hidden="1">
      <c r="A112" s="234"/>
      <c r="B112" s="187"/>
      <c r="C112" s="212"/>
      <c r="D112" s="189"/>
      <c r="E112" s="380"/>
      <c r="F112" s="380"/>
      <c r="G112" s="380"/>
      <c r="H112" s="529"/>
      <c r="I112" s="227"/>
      <c r="J112" s="358"/>
      <c r="K112" s="358"/>
      <c r="L112" s="358"/>
      <c r="M112" s="683"/>
      <c r="N112" s="683"/>
      <c r="O112" s="683"/>
      <c r="P112" s="799"/>
      <c r="Q112" s="244"/>
      <c r="R112" s="244"/>
      <c r="S112" s="244"/>
      <c r="T112" s="244"/>
      <c r="U112" s="244"/>
      <c r="V112" s="244"/>
      <c r="W112" s="244"/>
      <c r="X112" s="244"/>
      <c r="Y112" s="244"/>
      <c r="Z112" s="247"/>
      <c r="AA112" s="356"/>
      <c r="AB112" s="375"/>
      <c r="AC112" s="375"/>
      <c r="AD112" s="375"/>
    </row>
    <row r="113" spans="1:30" s="345" customFormat="1" hidden="1">
      <c r="A113" s="234"/>
      <c r="B113" s="187"/>
      <c r="C113" s="379" t="s">
        <v>228</v>
      </c>
      <c r="D113" s="204" t="s">
        <v>256</v>
      </c>
      <c r="E113" s="277"/>
      <c r="F113" s="277"/>
      <c r="G113" s="277"/>
      <c r="H113" s="530"/>
      <c r="I113" s="530"/>
      <c r="J113" s="530"/>
      <c r="K113" s="530"/>
      <c r="L113" s="226"/>
      <c r="M113" s="226"/>
      <c r="N113" s="226"/>
      <c r="O113" s="226">
        <f>O109-O117</f>
        <v>0.30099999999999999</v>
      </c>
      <c r="P113" s="585">
        <f t="shared" ref="P113:V113" si="259">P109-P117</f>
        <v>0</v>
      </c>
      <c r="Q113" s="225">
        <f t="shared" si="259"/>
        <v>0</v>
      </c>
      <c r="R113" s="225">
        <f t="shared" si="259"/>
        <v>0</v>
      </c>
      <c r="S113" s="225">
        <f t="shared" si="259"/>
        <v>0</v>
      </c>
      <c r="T113" s="225">
        <f t="shared" si="259"/>
        <v>0</v>
      </c>
      <c r="U113" s="225">
        <f t="shared" si="259"/>
        <v>0</v>
      </c>
      <c r="V113" s="225">
        <f t="shared" si="259"/>
        <v>0</v>
      </c>
      <c r="W113" s="225">
        <f t="shared" ref="W113" si="260">W109-W117</f>
        <v>0</v>
      </c>
      <c r="X113" s="225">
        <f t="shared" ref="X113" si="261">X109-X117</f>
        <v>0</v>
      </c>
      <c r="Y113" s="225">
        <f t="shared" ref="Y113" si="262">Y109-Y117</f>
        <v>0</v>
      </c>
      <c r="Z113" s="247"/>
      <c r="AA113" s="356"/>
      <c r="AB113" s="375"/>
      <c r="AC113" s="375"/>
      <c r="AD113" s="375"/>
    </row>
    <row r="114" spans="1:30" s="345" customFormat="1" hidden="1">
      <c r="A114" s="234"/>
      <c r="B114" s="187"/>
      <c r="C114" s="212" t="s">
        <v>17</v>
      </c>
      <c r="D114" s="189" t="s">
        <v>122</v>
      </c>
      <c r="E114" s="363"/>
      <c r="F114" s="380"/>
      <c r="G114" s="380"/>
      <c r="H114" s="529"/>
      <c r="I114" s="227"/>
      <c r="J114" s="358"/>
      <c r="K114" s="358"/>
      <c r="L114" s="358"/>
      <c r="M114" s="358"/>
      <c r="N114" s="358"/>
      <c r="O114" s="358" t="str">
        <f t="shared" ref="O114:P114" si="263">IFERROR(O113/N113-1,"NA")</f>
        <v>NA</v>
      </c>
      <c r="P114" s="587">
        <f t="shared" si="263"/>
        <v>-1</v>
      </c>
      <c r="Q114" s="227" t="str">
        <f t="shared" ref="Q114" si="264">IFERROR(Q113/P113-1,"NA")</f>
        <v>NA</v>
      </c>
      <c r="R114" s="227" t="str">
        <f t="shared" ref="R114" si="265">IFERROR(R113/Q113-1,"NA")</f>
        <v>NA</v>
      </c>
      <c r="S114" s="227" t="str">
        <f t="shared" ref="S114" si="266">IFERROR(S113/R113-1,"NA")</f>
        <v>NA</v>
      </c>
      <c r="T114" s="227" t="str">
        <f t="shared" ref="T114" si="267">IFERROR(T113/S113-1,"NA")</f>
        <v>NA</v>
      </c>
      <c r="U114" s="227" t="str">
        <f t="shared" ref="U114" si="268">IFERROR(U113/T113-1,"NA")</f>
        <v>NA</v>
      </c>
      <c r="V114" s="227" t="str">
        <f t="shared" ref="V114:Y114" si="269">IFERROR(V113/U113-1,"NA")</f>
        <v>NA</v>
      </c>
      <c r="W114" s="227" t="str">
        <f t="shared" si="269"/>
        <v>NA</v>
      </c>
      <c r="X114" s="227" t="str">
        <f t="shared" si="269"/>
        <v>NA</v>
      </c>
      <c r="Y114" s="227" t="str">
        <f t="shared" si="269"/>
        <v>NA</v>
      </c>
      <c r="Z114" s="247"/>
      <c r="AA114" s="356"/>
      <c r="AB114" s="375"/>
      <c r="AC114" s="375"/>
      <c r="AD114" s="375"/>
    </row>
    <row r="115" spans="1:30" s="345" customFormat="1" hidden="1">
      <c r="A115" s="234"/>
      <c r="B115" s="187"/>
      <c r="C115" s="212" t="s">
        <v>168</v>
      </c>
      <c r="D115" s="189" t="s">
        <v>122</v>
      </c>
      <c r="E115" s="380"/>
      <c r="F115" s="380"/>
      <c r="G115" s="380"/>
      <c r="H115" s="529"/>
      <c r="I115" s="227"/>
      <c r="J115" s="460"/>
      <c r="K115" s="358"/>
      <c r="L115" s="358"/>
      <c r="M115" s="358"/>
      <c r="N115" s="358"/>
      <c r="O115" s="358">
        <f t="shared" ref="O115" si="270">IFERROR(O113/O$65,"NA")</f>
        <v>2.5835801038582035E-3</v>
      </c>
      <c r="P115" s="587">
        <f t="shared" ref="P115:V115" si="271">IFERROR(P113/P$65,"NA")</f>
        <v>0</v>
      </c>
      <c r="Q115" s="227">
        <f t="shared" si="271"/>
        <v>0</v>
      </c>
      <c r="R115" s="227">
        <f t="shared" si="271"/>
        <v>0</v>
      </c>
      <c r="S115" s="227">
        <f t="shared" si="271"/>
        <v>0</v>
      </c>
      <c r="T115" s="227">
        <f t="shared" si="271"/>
        <v>0</v>
      </c>
      <c r="U115" s="227">
        <f t="shared" si="271"/>
        <v>0</v>
      </c>
      <c r="V115" s="227">
        <f t="shared" si="271"/>
        <v>0</v>
      </c>
      <c r="W115" s="227">
        <f t="shared" ref="W115" si="272">IFERROR(W113/W$65,"NA")</f>
        <v>0</v>
      </c>
      <c r="X115" s="227">
        <f t="shared" ref="X115" si="273">IFERROR(X113/X$65,"NA")</f>
        <v>0</v>
      </c>
      <c r="Y115" s="227">
        <f t="shared" ref="Y115" si="274">IFERROR(Y113/Y$65,"NA")</f>
        <v>0</v>
      </c>
      <c r="Z115" s="247"/>
      <c r="AA115" s="356"/>
      <c r="AB115" s="375"/>
      <c r="AC115" s="375"/>
      <c r="AD115" s="375"/>
    </row>
    <row r="116" spans="1:30" s="345" customFormat="1" hidden="1">
      <c r="A116" s="234"/>
      <c r="B116" s="187"/>
      <c r="C116" s="369"/>
      <c r="D116" s="189"/>
      <c r="E116" s="363"/>
      <c r="F116" s="363"/>
      <c r="G116" s="363"/>
      <c r="H116" s="531"/>
      <c r="I116" s="221"/>
      <c r="J116" s="532"/>
      <c r="K116" s="223"/>
      <c r="L116" s="223"/>
      <c r="M116" s="223"/>
      <c r="N116" s="223"/>
      <c r="O116" s="223"/>
      <c r="P116" s="625"/>
      <c r="Q116" s="221"/>
      <c r="R116" s="221"/>
      <c r="S116" s="221"/>
      <c r="T116" s="221"/>
      <c r="U116" s="221"/>
      <c r="V116" s="221"/>
      <c r="W116" s="221"/>
      <c r="X116" s="221"/>
      <c r="Y116" s="221"/>
      <c r="Z116" s="247"/>
      <c r="AA116" s="356"/>
      <c r="AB116" s="375"/>
      <c r="AC116" s="375"/>
      <c r="AD116" s="375"/>
    </row>
    <row r="117" spans="1:30" s="345" customFormat="1" hidden="1">
      <c r="A117" s="234"/>
      <c r="B117" s="187"/>
      <c r="C117" s="607" t="s">
        <v>49</v>
      </c>
      <c r="D117" s="608" t="s">
        <v>256</v>
      </c>
      <c r="E117" s="374"/>
      <c r="F117" s="374"/>
      <c r="G117" s="374"/>
      <c r="H117" s="605"/>
      <c r="I117" s="605"/>
      <c r="J117" s="427"/>
      <c r="K117" s="427"/>
      <c r="L117" s="653"/>
      <c r="M117" s="427"/>
      <c r="N117" s="427"/>
      <c r="O117" s="427">
        <v>0</v>
      </c>
      <c r="P117" s="609">
        <v>0</v>
      </c>
      <c r="Q117" s="605">
        <v>0</v>
      </c>
      <c r="R117" s="605">
        <v>0</v>
      </c>
      <c r="S117" s="605">
        <v>0</v>
      </c>
      <c r="T117" s="605">
        <v>0</v>
      </c>
      <c r="U117" s="605">
        <v>0</v>
      </c>
      <c r="V117" s="605">
        <v>0</v>
      </c>
      <c r="W117" s="605">
        <v>0</v>
      </c>
      <c r="X117" s="605">
        <v>0</v>
      </c>
      <c r="Y117" s="605">
        <v>0</v>
      </c>
      <c r="Z117" s="606"/>
      <c r="AA117" s="356"/>
      <c r="AB117" s="375"/>
      <c r="AC117" s="375"/>
      <c r="AD117" s="375"/>
    </row>
    <row r="118" spans="1:30" hidden="1">
      <c r="C118" s="212" t="s">
        <v>17</v>
      </c>
      <c r="D118" s="189" t="s">
        <v>122</v>
      </c>
      <c r="E118" s="363"/>
      <c r="F118" s="380"/>
      <c r="G118" s="380"/>
      <c r="H118" s="529"/>
      <c r="I118" s="227"/>
      <c r="J118" s="358"/>
      <c r="K118" s="358"/>
      <c r="L118" s="358"/>
      <c r="M118" s="460"/>
      <c r="N118" s="358"/>
      <c r="O118" s="358"/>
      <c r="P118" s="587" t="str">
        <f t="shared" ref="P118:Q118" si="275">IFERROR(P117/O117-1,"NA")</f>
        <v>NA</v>
      </c>
      <c r="Q118" s="227" t="str">
        <f t="shared" si="275"/>
        <v>NA</v>
      </c>
      <c r="R118" s="227" t="str">
        <f t="shared" ref="R118" si="276">IFERROR(R117/Q117-1,"NA")</f>
        <v>NA</v>
      </c>
      <c r="S118" s="227" t="str">
        <f t="shared" ref="S118" si="277">IFERROR(S117/R117-1,"NA")</f>
        <v>NA</v>
      </c>
      <c r="T118" s="227" t="str">
        <f t="shared" ref="T118" si="278">IFERROR(T117/S117-1,"NA")</f>
        <v>NA</v>
      </c>
      <c r="U118" s="227" t="str">
        <f t="shared" ref="U118" si="279">IFERROR(U117/T117-1,"NA")</f>
        <v>NA</v>
      </c>
      <c r="V118" s="227" t="str">
        <f t="shared" ref="V118:Y118" si="280">IFERROR(V117/U117-1,"NA")</f>
        <v>NA</v>
      </c>
      <c r="W118" s="227" t="str">
        <f t="shared" si="280"/>
        <v>NA</v>
      </c>
      <c r="X118" s="227" t="str">
        <f t="shared" si="280"/>
        <v>NA</v>
      </c>
      <c r="Y118" s="227" t="str">
        <f t="shared" si="280"/>
        <v>NA</v>
      </c>
      <c r="Z118" s="247"/>
    </row>
    <row r="119" spans="1:30" s="376" customFormat="1" hidden="1">
      <c r="A119" s="355"/>
      <c r="B119" s="355"/>
      <c r="C119" s="212" t="s">
        <v>168</v>
      </c>
      <c r="D119" s="189" t="s">
        <v>122</v>
      </c>
      <c r="E119" s="380"/>
      <c r="F119" s="380"/>
      <c r="G119" s="380"/>
      <c r="H119" s="529"/>
      <c r="I119" s="227"/>
      <c r="J119" s="460"/>
      <c r="K119" s="358"/>
      <c r="L119" s="358"/>
      <c r="M119" s="687"/>
      <c r="N119" s="687"/>
      <c r="O119" s="687"/>
      <c r="P119" s="800">
        <v>0.2</v>
      </c>
      <c r="Q119" s="556">
        <f>P119+5%</f>
        <v>0.25</v>
      </c>
      <c r="R119" s="556">
        <f>Q119+5%</f>
        <v>0.3</v>
      </c>
      <c r="S119" s="556">
        <f t="shared" ref="S119:T119" si="281">R119+5%</f>
        <v>0.35</v>
      </c>
      <c r="T119" s="556">
        <f t="shared" si="281"/>
        <v>0.39999999999999997</v>
      </c>
      <c r="U119" s="556">
        <f>T119</f>
        <v>0.39999999999999997</v>
      </c>
      <c r="V119" s="556">
        <f t="shared" ref="V119:Y119" si="282">U119</f>
        <v>0.39999999999999997</v>
      </c>
      <c r="W119" s="556">
        <f t="shared" si="282"/>
        <v>0.39999999999999997</v>
      </c>
      <c r="X119" s="556">
        <f t="shared" si="282"/>
        <v>0.39999999999999997</v>
      </c>
      <c r="Y119" s="556">
        <f t="shared" si="282"/>
        <v>0.39999999999999997</v>
      </c>
      <c r="Z119" s="247"/>
      <c r="AA119" s="356"/>
      <c r="AB119" s="377"/>
      <c r="AC119" s="377"/>
      <c r="AD119" s="377"/>
    </row>
    <row r="120" spans="1:30" s="376" customFormat="1">
      <c r="A120" s="355"/>
      <c r="B120" s="355"/>
      <c r="C120" s="212"/>
      <c r="D120" s="189"/>
      <c r="E120" s="380"/>
      <c r="F120" s="380"/>
      <c r="G120" s="380"/>
      <c r="H120" s="529"/>
      <c r="I120" s="227"/>
      <c r="J120" s="460"/>
      <c r="K120" s="358"/>
      <c r="L120" s="358"/>
      <c r="M120" s="687"/>
      <c r="N120" s="687"/>
      <c r="O120" s="687"/>
      <c r="P120" s="659"/>
      <c r="Q120" s="556"/>
      <c r="R120" s="556"/>
      <c r="S120" s="556"/>
      <c r="T120" s="556"/>
      <c r="U120" s="556"/>
      <c r="V120" s="556"/>
      <c r="W120" s="556"/>
      <c r="X120" s="556"/>
      <c r="Y120" s="556"/>
      <c r="Z120" s="247"/>
      <c r="AA120" s="356"/>
      <c r="AB120" s="377"/>
      <c r="AC120" s="377"/>
      <c r="AD120" s="377"/>
    </row>
    <row r="121" spans="1:30" s="376" customFormat="1" ht="18">
      <c r="A121" s="355"/>
      <c r="B121" s="355"/>
      <c r="C121" s="711" t="s">
        <v>282</v>
      </c>
      <c r="D121" s="712"/>
      <c r="E121" s="713"/>
      <c r="F121" s="713"/>
      <c r="G121" s="713"/>
      <c r="H121" s="713"/>
      <c r="I121" s="713"/>
      <c r="J121" s="714"/>
      <c r="K121" s="715"/>
      <c r="L121" s="715"/>
      <c r="M121" s="715"/>
      <c r="N121" s="715"/>
      <c r="O121" s="715"/>
      <c r="P121" s="716"/>
      <c r="Q121" s="717"/>
      <c r="R121" s="717"/>
      <c r="S121" s="717"/>
      <c r="T121" s="717"/>
      <c r="U121" s="717"/>
      <c r="V121" s="717"/>
      <c r="W121" s="717"/>
      <c r="X121" s="717"/>
      <c r="Y121" s="717"/>
      <c r="Z121" s="718"/>
      <c r="AA121" s="356"/>
      <c r="AB121" s="377"/>
      <c r="AC121" s="377"/>
      <c r="AD121" s="377"/>
    </row>
    <row r="122" spans="1:30" s="376" customFormat="1">
      <c r="A122" s="355"/>
      <c r="B122" s="355"/>
      <c r="C122" s="212"/>
      <c r="D122" s="189"/>
      <c r="E122" s="380"/>
      <c r="F122" s="380"/>
      <c r="G122" s="380"/>
      <c r="H122" s="529"/>
      <c r="I122" s="227"/>
      <c r="J122" s="460"/>
      <c r="K122" s="358"/>
      <c r="L122" s="358"/>
      <c r="M122" s="687"/>
      <c r="N122" s="687"/>
      <c r="O122" s="687"/>
      <c r="P122" s="659"/>
      <c r="Q122" s="556"/>
      <c r="R122" s="556"/>
      <c r="S122" s="556"/>
      <c r="T122" s="556"/>
      <c r="U122" s="556"/>
      <c r="V122" s="556"/>
      <c r="W122" s="556"/>
      <c r="X122" s="556"/>
      <c r="Y122" s="556"/>
      <c r="Z122" s="247"/>
      <c r="AA122" s="356"/>
      <c r="AB122" s="377"/>
      <c r="AC122" s="377"/>
      <c r="AD122" s="377"/>
    </row>
    <row r="123" spans="1:30">
      <c r="C123" s="191" t="s">
        <v>215</v>
      </c>
      <c r="D123" s="565" t="s">
        <v>256</v>
      </c>
      <c r="E123" s="566"/>
      <c r="F123" s="566"/>
      <c r="G123" s="566"/>
      <c r="H123" s="566">
        <f t="shared" ref="H123:Y123" si="283">G127</f>
        <v>0</v>
      </c>
      <c r="I123" s="566">
        <f t="shared" si="283"/>
        <v>0</v>
      </c>
      <c r="J123" s="567">
        <f t="shared" si="283"/>
        <v>0</v>
      </c>
      <c r="K123" s="567">
        <f t="shared" si="283"/>
        <v>0</v>
      </c>
      <c r="L123" s="567">
        <f t="shared" si="283"/>
        <v>235.33699999999999</v>
      </c>
      <c r="M123" s="567">
        <f t="shared" si="283"/>
        <v>254.72399999999999</v>
      </c>
      <c r="N123" s="567">
        <f t="shared" si="283"/>
        <v>261.88400000000001</v>
      </c>
      <c r="O123" s="567">
        <f t="shared" si="283"/>
        <v>272.75</v>
      </c>
      <c r="P123" s="795">
        <f t="shared" si="283"/>
        <v>280.48099999999999</v>
      </c>
      <c r="Q123" s="361">
        <f t="shared" si="283"/>
        <v>291.89499999999998</v>
      </c>
      <c r="R123" s="361">
        <f t="shared" si="283"/>
        <v>296.85030022298417</v>
      </c>
      <c r="S123" s="361">
        <f t="shared" si="283"/>
        <v>297.74396924124414</v>
      </c>
      <c r="T123" s="361">
        <f t="shared" si="283"/>
        <v>291.87323961370623</v>
      </c>
      <c r="U123" s="361">
        <f t="shared" si="283"/>
        <v>277.08295201558713</v>
      </c>
      <c r="V123" s="361">
        <f t="shared" si="283"/>
        <v>264.11915701944338</v>
      </c>
      <c r="W123" s="361">
        <f t="shared" si="283"/>
        <v>252.06168083607542</v>
      </c>
      <c r="X123" s="361">
        <f t="shared" si="283"/>
        <v>240.1762741166155</v>
      </c>
      <c r="Y123" s="361">
        <f t="shared" si="283"/>
        <v>227.89546245416946</v>
      </c>
      <c r="Z123" s="247"/>
      <c r="AA123" s="1"/>
      <c r="AB123" s="378"/>
      <c r="AC123" s="378"/>
      <c r="AD123" s="378"/>
    </row>
    <row r="124" spans="1:30">
      <c r="C124" s="191" t="s">
        <v>123</v>
      </c>
      <c r="D124" s="565" t="s">
        <v>256</v>
      </c>
      <c r="E124" s="566"/>
      <c r="F124" s="566"/>
      <c r="G124" s="566"/>
      <c r="H124" s="566">
        <f t="shared" ref="H124:T124" si="284">-H129</f>
        <v>-8.0000000000000002E-3</v>
      </c>
      <c r="I124" s="566">
        <f t="shared" si="284"/>
        <v>-8.5999999999999993E-2</v>
      </c>
      <c r="J124" s="567">
        <f t="shared" si="284"/>
        <v>-0.187</v>
      </c>
      <c r="K124" s="567">
        <f t="shared" ref="K124:P124" si="285">-K129</f>
        <v>-0.90200000000000002</v>
      </c>
      <c r="L124" s="567">
        <f t="shared" si="285"/>
        <v>-22.44258298277397</v>
      </c>
      <c r="M124" s="567">
        <f t="shared" si="285"/>
        <v>-31.067</v>
      </c>
      <c r="N124" s="567">
        <f t="shared" si="285"/>
        <v>-33.707999999999998</v>
      </c>
      <c r="O124" s="567">
        <f t="shared" si="285"/>
        <v>-39.692999999999998</v>
      </c>
      <c r="P124" s="795">
        <f t="shared" si="285"/>
        <v>-44.195</v>
      </c>
      <c r="Q124" s="361">
        <f t="shared" si="284"/>
        <v>-48.493488061579924</v>
      </c>
      <c r="R124" s="361">
        <f t="shared" si="284"/>
        <v>-51.816728583702016</v>
      </c>
      <c r="S124" s="361">
        <f t="shared" si="284"/>
        <v>-54.472723052725819</v>
      </c>
      <c r="T124" s="361">
        <f t="shared" si="284"/>
        <v>-55.898663920870838</v>
      </c>
      <c r="U124" s="361">
        <f>-U129</f>
        <v>-55.566073592156577</v>
      </c>
      <c r="V124" s="361">
        <f>-V129</f>
        <v>-55.46632076886187</v>
      </c>
      <c r="W124" s="361">
        <f>-W129</f>
        <v>-55.434191523877324</v>
      </c>
      <c r="X124" s="361">
        <f>-X129</f>
        <v>-55.320315784255492</v>
      </c>
      <c r="Y124" s="361">
        <f>-Y129</f>
        <v>-54.991650122952009</v>
      </c>
      <c r="Z124" s="247"/>
      <c r="AA124" s="1"/>
      <c r="AB124" s="378"/>
      <c r="AC124" s="378"/>
      <c r="AD124" s="378"/>
    </row>
    <row r="125" spans="1:30">
      <c r="C125" s="191" t="s">
        <v>124</v>
      </c>
      <c r="D125" s="565" t="s">
        <v>256</v>
      </c>
      <c r="E125" s="566"/>
      <c r="F125" s="566"/>
      <c r="G125" s="566"/>
      <c r="H125" s="566">
        <f>-'3. Cashflow'!H23</f>
        <v>1.1639999999999999</v>
      </c>
      <c r="I125" s="566">
        <f>-'3. Cashflow'!I23</f>
        <v>63.26</v>
      </c>
      <c r="J125" s="567">
        <f>-'3. Cashflow'!J23</f>
        <v>80.632000000000005</v>
      </c>
      <c r="K125" s="567">
        <f>-'3. Cashflow'!K23</f>
        <v>126.604</v>
      </c>
      <c r="L125" s="567">
        <f>-'3. Cashflow'!L23</f>
        <v>32.589388560157794</v>
      </c>
      <c r="M125" s="567">
        <f>-'3. Cashflow'!M23</f>
        <v>35.079000000000001</v>
      </c>
      <c r="N125" s="567">
        <f>-'3. Cashflow'!N23</f>
        <v>43.392000000000003</v>
      </c>
      <c r="O125" s="567">
        <f>-'3. Cashflow'!O23</f>
        <v>45.811999999999998</v>
      </c>
      <c r="P125" s="795">
        <f>-'3. Cashflow'!P23</f>
        <v>54.124000000000002</v>
      </c>
      <c r="Q125" s="361">
        <f t="shared" ref="Q125:V125" si="286">Q133</f>
        <v>53.448788284564131</v>
      </c>
      <c r="R125" s="361">
        <f t="shared" si="286"/>
        <v>52.710397601961972</v>
      </c>
      <c r="S125" s="361">
        <f t="shared" si="286"/>
        <v>48.601993425187906</v>
      </c>
      <c r="T125" s="361">
        <f t="shared" si="286"/>
        <v>41.10837632275171</v>
      </c>
      <c r="U125" s="361">
        <f t="shared" si="286"/>
        <v>42.60227859601283</v>
      </c>
      <c r="V125" s="361">
        <f t="shared" si="286"/>
        <v>43.408844585493895</v>
      </c>
      <c r="W125" s="361">
        <f t="shared" ref="W125" si="287">W133</f>
        <v>43.548784804417402</v>
      </c>
      <c r="X125" s="361">
        <f t="shared" ref="X125" si="288">X133</f>
        <v>43.039504121809443</v>
      </c>
      <c r="Y125" s="361">
        <f t="shared" ref="Y125" si="289">Y133</f>
        <v>41.897531361571176</v>
      </c>
      <c r="Z125" s="247"/>
      <c r="AA125" s="1"/>
      <c r="AB125" s="378"/>
      <c r="AC125" s="378"/>
      <c r="AD125" s="378"/>
    </row>
    <row r="126" spans="1:30">
      <c r="C126" s="389" t="s">
        <v>152</v>
      </c>
      <c r="D126" s="568" t="s">
        <v>256</v>
      </c>
      <c r="E126" s="569"/>
      <c r="F126" s="569"/>
      <c r="G126" s="569"/>
      <c r="H126" s="569">
        <f t="shared" ref="H126:L126" si="290">H127-H125-H124-H123</f>
        <v>-1.1559999999999999</v>
      </c>
      <c r="I126" s="569">
        <f t="shared" si="290"/>
        <v>-63.173999999999999</v>
      </c>
      <c r="J126" s="569">
        <f t="shared" si="290"/>
        <v>-80.445000000000007</v>
      </c>
      <c r="K126" s="569">
        <f t="shared" si="290"/>
        <v>109.63499999999999</v>
      </c>
      <c r="L126" s="569">
        <f t="shared" si="290"/>
        <v>9.2401944226161845</v>
      </c>
      <c r="M126" s="569">
        <f t="shared" ref="M126:N126" si="291">M127-M125-M124-M123</f>
        <v>3.1480000000000246</v>
      </c>
      <c r="N126" s="569">
        <f t="shared" si="291"/>
        <v>1.1820000000000164</v>
      </c>
      <c r="O126" s="569">
        <f t="shared" ref="O126:P126" si="292">O127-O125-O124-O123</f>
        <v>1.6119999999999663</v>
      </c>
      <c r="P126" s="570">
        <f t="shared" si="292"/>
        <v>1.4850000000000136</v>
      </c>
      <c r="Q126" s="368"/>
      <c r="R126" s="368"/>
      <c r="S126" s="368"/>
      <c r="T126" s="368"/>
      <c r="U126" s="368"/>
      <c r="V126" s="368"/>
      <c r="W126" s="368"/>
      <c r="X126" s="368"/>
      <c r="Y126" s="368"/>
      <c r="Z126" s="247"/>
      <c r="AA126" s="1"/>
      <c r="AB126" s="378"/>
      <c r="AC126" s="378"/>
      <c r="AD126" s="378"/>
    </row>
    <row r="127" spans="1:30" s="370" customFormat="1">
      <c r="A127" s="202"/>
      <c r="B127" s="202"/>
      <c r="C127" s="372" t="s">
        <v>216</v>
      </c>
      <c r="D127" s="571" t="s">
        <v>256</v>
      </c>
      <c r="E127" s="277"/>
      <c r="F127" s="277"/>
      <c r="G127" s="277"/>
      <c r="H127" s="277">
        <f>'4. Balance Sheet'!G14</f>
        <v>0</v>
      </c>
      <c r="I127" s="277">
        <f>'4. Balance Sheet'!H14</f>
        <v>0</v>
      </c>
      <c r="J127" s="288">
        <f>'4. Balance Sheet'!I14</f>
        <v>0</v>
      </c>
      <c r="K127" s="288">
        <f>'4. Balance Sheet'!J14</f>
        <v>235.33699999999999</v>
      </c>
      <c r="L127" s="288">
        <f>'4. Balance Sheet'!K14</f>
        <v>254.72399999999999</v>
      </c>
      <c r="M127" s="288">
        <f>'4. Balance Sheet'!L14</f>
        <v>261.88400000000001</v>
      </c>
      <c r="N127" s="288">
        <f>'4. Balance Sheet'!M14</f>
        <v>272.75</v>
      </c>
      <c r="O127" s="288">
        <f>'4. Balance Sheet'!N14</f>
        <v>280.48099999999999</v>
      </c>
      <c r="P127" s="278">
        <f>'4. Balance Sheet'!O14</f>
        <v>291.89499999999998</v>
      </c>
      <c r="Q127" s="530">
        <f t="shared" ref="Q127:T127" si="293">Q123+Q124+Q125</f>
        <v>296.85030022298417</v>
      </c>
      <c r="R127" s="530">
        <f t="shared" si="293"/>
        <v>297.74396924124414</v>
      </c>
      <c r="S127" s="530">
        <f t="shared" si="293"/>
        <v>291.87323961370623</v>
      </c>
      <c r="T127" s="530">
        <f t="shared" si="293"/>
        <v>277.08295201558713</v>
      </c>
      <c r="U127" s="530">
        <f>U123+U124+U125</f>
        <v>264.11915701944338</v>
      </c>
      <c r="V127" s="530">
        <f>V123+V124+V125</f>
        <v>252.06168083607542</v>
      </c>
      <c r="W127" s="530">
        <f>W123+W124+W125</f>
        <v>240.1762741166155</v>
      </c>
      <c r="X127" s="530">
        <f>X123+X124+X125</f>
        <v>227.89546245416946</v>
      </c>
      <c r="Y127" s="530">
        <f>Y123+Y124+Y125</f>
        <v>214.80134369278863</v>
      </c>
      <c r="Z127" s="249"/>
      <c r="AA127" s="202"/>
    </row>
    <row r="128" spans="1:30">
      <c r="C128" s="40"/>
      <c r="D128" s="164"/>
      <c r="E128" s="6"/>
      <c r="F128" s="6"/>
      <c r="G128" s="6"/>
      <c r="H128" s="6"/>
      <c r="I128" s="6"/>
      <c r="J128" s="180"/>
      <c r="K128" s="180"/>
      <c r="L128" s="24"/>
      <c r="M128" s="24"/>
      <c r="N128" s="24"/>
      <c r="O128" s="24"/>
      <c r="P128" s="218"/>
      <c r="Q128" s="49"/>
      <c r="R128" s="49"/>
      <c r="S128" s="49"/>
      <c r="T128" s="49"/>
      <c r="U128" s="49"/>
      <c r="V128" s="49"/>
      <c r="W128" s="49"/>
      <c r="X128" s="49"/>
      <c r="Y128" s="49"/>
      <c r="Z128" s="247"/>
      <c r="AA128" s="1"/>
      <c r="AB128" s="378"/>
      <c r="AC128" s="378"/>
      <c r="AD128" s="378"/>
    </row>
    <row r="129" spans="1:30">
      <c r="C129" s="200" t="s">
        <v>123</v>
      </c>
      <c r="D129" s="165" t="s">
        <v>256</v>
      </c>
      <c r="E129" s="286"/>
      <c r="F129" s="286"/>
      <c r="G129" s="286"/>
      <c r="H129" s="286">
        <v>8.0000000000000002E-3</v>
      </c>
      <c r="I129" s="286">
        <v>8.5999999999999993E-2</v>
      </c>
      <c r="J129" s="308">
        <v>0.187</v>
      </c>
      <c r="K129" s="308">
        <f>0.451*2</f>
        <v>0.90200000000000002</v>
      </c>
      <c r="L129" s="308">
        <f>(28.2/32.567)*25.918</f>
        <v>22.44258298277397</v>
      </c>
      <c r="M129" s="308">
        <v>31.067</v>
      </c>
      <c r="N129" s="308">
        <v>33.707999999999998</v>
      </c>
      <c r="O129" s="308">
        <v>39.692999999999998</v>
      </c>
      <c r="P129" s="516">
        <v>44.195</v>
      </c>
      <c r="Q129" s="225">
        <f>(P129/O127)*P127+2.5</f>
        <v>48.493488061579924</v>
      </c>
      <c r="R129" s="225">
        <f>(Q129/P127)*Q127+2.5</f>
        <v>51.816728583702016</v>
      </c>
      <c r="S129" s="225">
        <f t="shared" ref="S129:Y129" si="294">(R129/Q127)*R127+2.5</f>
        <v>54.472723052725819</v>
      </c>
      <c r="T129" s="225">
        <f t="shared" si="294"/>
        <v>55.898663920870838</v>
      </c>
      <c r="U129" s="225">
        <f t="shared" si="294"/>
        <v>55.566073592156577</v>
      </c>
      <c r="V129" s="225">
        <f t="shared" si="294"/>
        <v>55.46632076886187</v>
      </c>
      <c r="W129" s="225">
        <f t="shared" si="294"/>
        <v>55.434191523877324</v>
      </c>
      <c r="X129" s="225">
        <f t="shared" si="294"/>
        <v>55.320315784255492</v>
      </c>
      <c r="Y129" s="225">
        <f t="shared" si="294"/>
        <v>54.991650122952009</v>
      </c>
      <c r="Z129" s="247"/>
      <c r="AA129" s="1"/>
      <c r="AB129" s="378"/>
      <c r="AC129" s="378"/>
      <c r="AD129" s="378"/>
    </row>
    <row r="130" spans="1:30">
      <c r="C130" s="535" t="s">
        <v>227</v>
      </c>
      <c r="D130" s="384" t="s">
        <v>122</v>
      </c>
      <c r="E130" s="195"/>
      <c r="F130" s="195"/>
      <c r="G130" s="195"/>
      <c r="H130" s="541"/>
      <c r="I130" s="431">
        <f t="shared" ref="I130" si="295">I129/H129-1</f>
        <v>9.7499999999999982</v>
      </c>
      <c r="J130" s="431">
        <f t="shared" ref="J130" si="296">J129/I129-1</f>
        <v>1.1744186046511631</v>
      </c>
      <c r="K130" s="431">
        <f t="shared" ref="K130" si="297">K129/J129-1</f>
        <v>3.8235294117647056</v>
      </c>
      <c r="L130" s="648">
        <f t="shared" ref="L130:O130" si="298">L129/K129-1</f>
        <v>23.880912397753846</v>
      </c>
      <c r="M130" s="648">
        <f t="shared" si="298"/>
        <v>0.38428807521156494</v>
      </c>
      <c r="N130" s="648">
        <f t="shared" si="298"/>
        <v>8.5009817491228601E-2</v>
      </c>
      <c r="O130" s="648">
        <f t="shared" si="298"/>
        <v>0.17755428978284082</v>
      </c>
      <c r="P130" s="537">
        <f t="shared" ref="P130" si="299">P129/O129-1</f>
        <v>0.11342050235557921</v>
      </c>
      <c r="Q130" s="431">
        <f t="shared" ref="Q130" si="300">Q129/P129-1</f>
        <v>9.7261863594975129E-2</v>
      </c>
      <c r="R130" s="431">
        <f t="shared" ref="R130" si="301">R129/Q129-1</f>
        <v>6.8529624387959842E-2</v>
      </c>
      <c r="S130" s="431">
        <f t="shared" ref="S130" si="302">S129/R129-1</f>
        <v>5.125747112215806E-2</v>
      </c>
      <c r="T130" s="431">
        <f t="shared" ref="T130" si="303">T129/S129-1</f>
        <v>2.6177154146760806E-2</v>
      </c>
      <c r="U130" s="431">
        <f t="shared" ref="U130" si="304">U129/T129-1</f>
        <v>-5.9498797535674219E-3</v>
      </c>
      <c r="V130" s="431">
        <f t="shared" ref="V130:Y130" si="305">V129/U129-1</f>
        <v>-1.7952109416057294E-3</v>
      </c>
      <c r="W130" s="431">
        <f t="shared" si="305"/>
        <v>-5.792568271912879E-4</v>
      </c>
      <c r="X130" s="431">
        <f t="shared" si="305"/>
        <v>-2.0542509323471236E-3</v>
      </c>
      <c r="Y130" s="431">
        <f t="shared" si="305"/>
        <v>-5.9411385608363343E-3</v>
      </c>
      <c r="Z130" s="247"/>
      <c r="AA130" s="1"/>
      <c r="AB130" s="378"/>
      <c r="AC130" s="378"/>
      <c r="AD130" s="378"/>
    </row>
    <row r="131" spans="1:30" s="345" customFormat="1">
      <c r="A131" s="187"/>
      <c r="B131" s="187"/>
      <c r="C131" s="287" t="s">
        <v>232</v>
      </c>
      <c r="D131" s="164" t="s">
        <v>122</v>
      </c>
      <c r="E131" s="285"/>
      <c r="F131" s="380"/>
      <c r="G131" s="380"/>
      <c r="H131" s="562"/>
      <c r="I131" s="562"/>
      <c r="J131" s="562"/>
      <c r="K131" s="562"/>
      <c r="L131" s="542">
        <f t="shared" ref="L131:Y131" si="306">L129/L14</f>
        <v>0.69481681061219724</v>
      </c>
      <c r="M131" s="542">
        <f t="shared" si="306"/>
        <v>0.54093536704276357</v>
      </c>
      <c r="N131" s="542">
        <f t="shared" si="306"/>
        <v>0.39149825783972125</v>
      </c>
      <c r="O131" s="542">
        <f t="shared" si="306"/>
        <v>0.33906803912356381</v>
      </c>
      <c r="P131" s="563">
        <f t="shared" si="306"/>
        <v>0.29212109194262675</v>
      </c>
      <c r="Q131" s="246">
        <f t="shared" si="306"/>
        <v>0.26779264282866538</v>
      </c>
      <c r="R131" s="246">
        <f t="shared" si="306"/>
        <v>0.24173934032301686</v>
      </c>
      <c r="S131" s="246">
        <f t="shared" si="306"/>
        <v>0.22018525148490911</v>
      </c>
      <c r="T131" s="246">
        <f t="shared" si="306"/>
        <v>0.19970762018838772</v>
      </c>
      <c r="U131" s="246">
        <f t="shared" si="306"/>
        <v>0.17891856889307495</v>
      </c>
      <c r="V131" s="246">
        <f t="shared" si="306"/>
        <v>0.1628200109412371</v>
      </c>
      <c r="W131" s="246">
        <f t="shared" si="306"/>
        <v>0.14973518221795912</v>
      </c>
      <c r="X131" s="246">
        <f t="shared" si="306"/>
        <v>0.13856373265480632</v>
      </c>
      <c r="Y131" s="246">
        <f t="shared" si="306"/>
        <v>0.12856166595516871</v>
      </c>
      <c r="Z131" s="247"/>
      <c r="AA131" s="187"/>
    </row>
    <row r="132" spans="1:30" s="345" customFormat="1">
      <c r="A132" s="187"/>
      <c r="B132" s="187"/>
      <c r="C132" s="287"/>
      <c r="D132" s="164"/>
      <c r="E132" s="285"/>
      <c r="F132" s="380"/>
      <c r="G132" s="380"/>
      <c r="H132" s="562"/>
      <c r="I132" s="562"/>
      <c r="J132" s="562"/>
      <c r="K132" s="562"/>
      <c r="L132" s="542"/>
      <c r="M132" s="542"/>
      <c r="N132" s="542"/>
      <c r="O132" s="542"/>
      <c r="P132" s="563"/>
      <c r="Q132" s="564"/>
      <c r="R132" s="564"/>
      <c r="S132" s="564"/>
      <c r="T132" s="564"/>
      <c r="U132" s="564"/>
      <c r="V132" s="564"/>
      <c r="W132" s="564"/>
      <c r="X132" s="564"/>
      <c r="Y132" s="564"/>
      <c r="Z132" s="247"/>
      <c r="AA132" s="187"/>
    </row>
    <row r="133" spans="1:30" s="345" customFormat="1">
      <c r="A133" s="187"/>
      <c r="B133" s="187"/>
      <c r="C133" s="200" t="s">
        <v>124</v>
      </c>
      <c r="D133" s="165" t="s">
        <v>256</v>
      </c>
      <c r="E133" s="286"/>
      <c r="F133" s="286"/>
      <c r="G133" s="286"/>
      <c r="H133" s="277">
        <f>H125</f>
        <v>1.1639999999999999</v>
      </c>
      <c r="I133" s="277">
        <f t="shared" ref="I133:L133" si="307">I125</f>
        <v>63.26</v>
      </c>
      <c r="J133" s="288">
        <f t="shared" si="307"/>
        <v>80.632000000000005</v>
      </c>
      <c r="K133" s="288">
        <f t="shared" si="307"/>
        <v>126.604</v>
      </c>
      <c r="L133" s="288">
        <f t="shared" si="307"/>
        <v>32.589388560157794</v>
      </c>
      <c r="M133" s="288">
        <f t="shared" ref="M133:N133" si="308">M125</f>
        <v>35.079000000000001</v>
      </c>
      <c r="N133" s="288">
        <f t="shared" si="308"/>
        <v>43.392000000000003</v>
      </c>
      <c r="O133" s="288">
        <f t="shared" ref="O133:P133" si="309">O125</f>
        <v>45.811999999999998</v>
      </c>
      <c r="P133" s="278">
        <f t="shared" si="309"/>
        <v>54.124000000000002</v>
      </c>
      <c r="Q133" s="225">
        <f t="shared" ref="Q133:Y133" si="310">(Q135*Q14)-Q150</f>
        <v>53.448788284564131</v>
      </c>
      <c r="R133" s="225">
        <f t="shared" si="310"/>
        <v>52.710397601961972</v>
      </c>
      <c r="S133" s="225">
        <f t="shared" si="310"/>
        <v>48.601993425187906</v>
      </c>
      <c r="T133" s="225">
        <f t="shared" si="310"/>
        <v>41.10837632275171</v>
      </c>
      <c r="U133" s="225">
        <f t="shared" si="310"/>
        <v>42.60227859601283</v>
      </c>
      <c r="V133" s="225">
        <f t="shared" si="310"/>
        <v>43.408844585493895</v>
      </c>
      <c r="W133" s="225">
        <f t="shared" si="310"/>
        <v>43.548784804417402</v>
      </c>
      <c r="X133" s="225">
        <f t="shared" si="310"/>
        <v>43.039504121809443</v>
      </c>
      <c r="Y133" s="225">
        <f t="shared" si="310"/>
        <v>41.897531361571176</v>
      </c>
      <c r="Z133" s="247"/>
      <c r="AA133" s="187"/>
    </row>
    <row r="134" spans="1:30" s="345" customFormat="1">
      <c r="A134" s="187"/>
      <c r="B134" s="187"/>
      <c r="C134" s="535" t="s">
        <v>227</v>
      </c>
      <c r="D134" s="384" t="s">
        <v>122</v>
      </c>
      <c r="E134" s="195"/>
      <c r="F134" s="195"/>
      <c r="G134" s="195"/>
      <c r="H134" s="541"/>
      <c r="I134" s="431">
        <f t="shared" ref="I134" si="311">I133/H133-1</f>
        <v>53.34707903780069</v>
      </c>
      <c r="J134" s="431">
        <f t="shared" ref="J134" si="312">J133/I133-1</f>
        <v>0.27461270945305105</v>
      </c>
      <c r="K134" s="431">
        <f t="shared" ref="K134" si="313">K133/J133-1</f>
        <v>0.57014584780236133</v>
      </c>
      <c r="L134" s="648">
        <f t="shared" ref="L134:O134" si="314">L133/K133-1</f>
        <v>-0.74258800227356336</v>
      </c>
      <c r="M134" s="648">
        <f t="shared" si="314"/>
        <v>7.6393315426785513E-2</v>
      </c>
      <c r="N134" s="648">
        <f t="shared" si="314"/>
        <v>0.23697938937826057</v>
      </c>
      <c r="O134" s="648">
        <f t="shared" si="314"/>
        <v>5.5770648967551573E-2</v>
      </c>
      <c r="P134" s="537">
        <f t="shared" ref="P134" si="315">P133/O133-1</f>
        <v>0.1814371780319568</v>
      </c>
      <c r="Q134" s="431">
        <f t="shared" ref="Q134:R134" si="316">Q133/P133-1</f>
        <v>-1.2475273731355263E-2</v>
      </c>
      <c r="R134" s="431">
        <f t="shared" si="316"/>
        <v>-1.3814919033728668E-2</v>
      </c>
      <c r="S134" s="431">
        <f t="shared" ref="S134" si="317">S133/R133-1</f>
        <v>-7.7942955539784142E-2</v>
      </c>
      <c r="T134" s="431">
        <f t="shared" ref="T134" si="318">T133/S133-1</f>
        <v>-0.15418332817914093</v>
      </c>
      <c r="U134" s="431">
        <f t="shared" ref="U134" si="319">U133/T133-1</f>
        <v>3.6340580847371351E-2</v>
      </c>
      <c r="V134" s="431">
        <f t="shared" ref="V134:Y134" si="320">V133/U133-1</f>
        <v>1.8932461268786449E-2</v>
      </c>
      <c r="W134" s="431">
        <f t="shared" si="320"/>
        <v>3.2237720275620774E-3</v>
      </c>
      <c r="X134" s="431">
        <f t="shared" si="320"/>
        <v>-1.169448665204309E-2</v>
      </c>
      <c r="Y134" s="431">
        <f t="shared" si="320"/>
        <v>-2.6533130052016407E-2</v>
      </c>
      <c r="Z134" s="247"/>
      <c r="AA134" s="187"/>
    </row>
    <row r="135" spans="1:30" s="345" customFormat="1">
      <c r="A135" s="187"/>
      <c r="B135" s="187"/>
      <c r="C135" s="287" t="s">
        <v>232</v>
      </c>
      <c r="D135" s="164" t="s">
        <v>122</v>
      </c>
      <c r="E135" s="285"/>
      <c r="F135" s="380"/>
      <c r="G135" s="380"/>
      <c r="H135" s="562"/>
      <c r="I135" s="562"/>
      <c r="J135" s="562"/>
      <c r="K135" s="562"/>
      <c r="L135" s="542">
        <f>L133/L14</f>
        <v>1.0089593981473002</v>
      </c>
      <c r="M135" s="542">
        <f>M133/M14</f>
        <v>0.61079189302131209</v>
      </c>
      <c r="N135" s="542">
        <f>N133/N14</f>
        <v>0.50397212543554015</v>
      </c>
      <c r="O135" s="542">
        <f>O133/O14</f>
        <v>0.39133814547473622</v>
      </c>
      <c r="P135" s="563">
        <f>P133/P14</f>
        <v>0.35775001652455551</v>
      </c>
      <c r="Q135" s="599">
        <v>0.3</v>
      </c>
      <c r="R135" s="599">
        <v>0.25</v>
      </c>
      <c r="S135" s="599">
        <v>0.2</v>
      </c>
      <c r="T135" s="599">
        <v>0.15</v>
      </c>
      <c r="U135" s="599">
        <v>0.14000000000000001</v>
      </c>
      <c r="V135" s="599">
        <v>0.13</v>
      </c>
      <c r="W135" s="599">
        <v>0.12</v>
      </c>
      <c r="X135" s="599">
        <v>0.11</v>
      </c>
      <c r="Y135" s="599">
        <v>0.1</v>
      </c>
      <c r="Z135" s="247"/>
      <c r="AA135" s="187"/>
    </row>
    <row r="136" spans="1:30" s="345" customFormat="1">
      <c r="A136" s="187"/>
      <c r="B136" s="187"/>
      <c r="C136" s="287"/>
      <c r="D136" s="164"/>
      <c r="E136" s="285"/>
      <c r="F136" s="380"/>
      <c r="G136" s="380"/>
      <c r="H136" s="562"/>
      <c r="I136" s="562"/>
      <c r="J136" s="562"/>
      <c r="K136" s="562"/>
      <c r="L136" s="542"/>
      <c r="M136" s="542"/>
      <c r="N136" s="542"/>
      <c r="O136" s="542"/>
      <c r="P136" s="563"/>
      <c r="Q136" s="564"/>
      <c r="R136" s="564"/>
      <c r="S136" s="564"/>
      <c r="T136" s="564"/>
      <c r="U136" s="564"/>
      <c r="V136" s="564"/>
      <c r="W136" s="564"/>
      <c r="X136" s="564"/>
      <c r="Y136" s="564"/>
      <c r="Z136" s="247"/>
      <c r="AA136" s="187"/>
    </row>
    <row r="137" spans="1:30" s="376" customFormat="1" ht="18">
      <c r="A137" s="355"/>
      <c r="B137" s="355"/>
      <c r="C137" s="711" t="s">
        <v>155</v>
      </c>
      <c r="D137" s="712"/>
      <c r="E137" s="713"/>
      <c r="F137" s="713"/>
      <c r="G137" s="713"/>
      <c r="H137" s="713"/>
      <c r="I137" s="713"/>
      <c r="J137" s="714"/>
      <c r="K137" s="715"/>
      <c r="L137" s="715"/>
      <c r="M137" s="715"/>
      <c r="N137" s="715"/>
      <c r="O137" s="715"/>
      <c r="P137" s="716"/>
      <c r="Q137" s="717"/>
      <c r="R137" s="717"/>
      <c r="S137" s="717"/>
      <c r="T137" s="717"/>
      <c r="U137" s="717"/>
      <c r="V137" s="717"/>
      <c r="W137" s="717"/>
      <c r="X137" s="717"/>
      <c r="Y137" s="717"/>
      <c r="Z137" s="718"/>
      <c r="AA137" s="356"/>
      <c r="AB137" s="377"/>
      <c r="AC137" s="377"/>
      <c r="AD137" s="377"/>
    </row>
    <row r="138" spans="1:30">
      <c r="C138" s="40"/>
      <c r="D138" s="27"/>
      <c r="E138" s="6"/>
      <c r="F138" s="6"/>
      <c r="G138" s="6"/>
      <c r="H138" s="6"/>
      <c r="I138" s="6"/>
      <c r="J138" s="180"/>
      <c r="K138" s="180"/>
      <c r="L138" s="180"/>
      <c r="M138" s="36"/>
      <c r="N138" s="36"/>
      <c r="O138" s="36"/>
      <c r="P138" s="510"/>
      <c r="AA138" s="1"/>
      <c r="AB138" s="378"/>
      <c r="AC138" s="378"/>
      <c r="AD138" s="378"/>
    </row>
    <row r="139" spans="1:30">
      <c r="C139" s="191" t="s">
        <v>264</v>
      </c>
      <c r="D139" s="565" t="s">
        <v>256</v>
      </c>
      <c r="E139" s="566"/>
      <c r="F139" s="566"/>
      <c r="G139" s="566"/>
      <c r="H139" s="566">
        <f t="shared" ref="H139:Y139" si="321">G144</f>
        <v>0</v>
      </c>
      <c r="I139" s="566">
        <f t="shared" si="321"/>
        <v>0</v>
      </c>
      <c r="J139" s="567">
        <f t="shared" si="321"/>
        <v>0</v>
      </c>
      <c r="K139" s="567">
        <f t="shared" si="321"/>
        <v>0</v>
      </c>
      <c r="L139" s="567">
        <f t="shared" si="321"/>
        <v>132.16399999999999</v>
      </c>
      <c r="M139" s="567">
        <f t="shared" si="321"/>
        <v>121.51400000000001</v>
      </c>
      <c r="N139" s="367">
        <f t="shared" si="321"/>
        <v>142.40299999999999</v>
      </c>
      <c r="O139" s="367">
        <f t="shared" si="321"/>
        <v>132.29999999999998</v>
      </c>
      <c r="P139" s="258">
        <f t="shared" si="321"/>
        <v>120.93299999999999</v>
      </c>
      <c r="Q139" s="361">
        <f t="shared" si="321"/>
        <v>108.92693612244896</v>
      </c>
      <c r="R139" s="361">
        <f t="shared" si="321"/>
        <v>97.799163957912569</v>
      </c>
      <c r="S139" s="361">
        <f t="shared" si="321"/>
        <v>87.602093136963163</v>
      </c>
      <c r="T139" s="361">
        <f t="shared" si="321"/>
        <v>78.872461209070551</v>
      </c>
      <c r="U139" s="361">
        <f t="shared" si="321"/>
        <v>71.399092147053295</v>
      </c>
      <c r="V139" s="361">
        <f t="shared" si="321"/>
        <v>65.001199819123343</v>
      </c>
      <c r="W139" s="361">
        <f t="shared" si="321"/>
        <v>59.524014643320427</v>
      </c>
      <c r="X139" s="361">
        <f t="shared" si="321"/>
        <v>54.835039600856462</v>
      </c>
      <c r="Y139" s="361">
        <f t="shared" si="321"/>
        <v>50.820845038660217</v>
      </c>
      <c r="Z139" s="247"/>
      <c r="AA139" s="1"/>
      <c r="AB139" s="378"/>
      <c r="AC139" s="378"/>
      <c r="AD139" s="378"/>
    </row>
    <row r="140" spans="1:30">
      <c r="C140" s="191" t="s">
        <v>192</v>
      </c>
      <c r="D140" s="565" t="s">
        <v>256</v>
      </c>
      <c r="E140" s="566"/>
      <c r="F140" s="566"/>
      <c r="G140" s="566"/>
      <c r="H140" s="566">
        <f t="shared" ref="H140:V140" si="322">-H146</f>
        <v>0</v>
      </c>
      <c r="I140" s="566">
        <f t="shared" si="322"/>
        <v>0</v>
      </c>
      <c r="J140" s="567">
        <f t="shared" si="322"/>
        <v>-1.0999999999999999E-2</v>
      </c>
      <c r="K140" s="567">
        <f t="shared" si="322"/>
        <v>-1.4E-2</v>
      </c>
      <c r="L140" s="567">
        <f t="shared" si="322"/>
        <v>-10.278318543310712</v>
      </c>
      <c r="M140" s="567">
        <f t="shared" ref="M140" si="323">-M146</f>
        <v>-10.988</v>
      </c>
      <c r="N140" s="367">
        <f t="shared" si="322"/>
        <v>-11.292999999999999</v>
      </c>
      <c r="O140" s="367">
        <f t="shared" ref="O140:P140" si="324">-O146</f>
        <v>-13.547000000000001</v>
      </c>
      <c r="P140" s="258">
        <f t="shared" si="324"/>
        <v>-13.883063877551022</v>
      </c>
      <c r="Q140" s="361">
        <f t="shared" si="322"/>
        <v>-14.004772164536387</v>
      </c>
      <c r="R140" s="361">
        <f t="shared" si="322"/>
        <v>-14.074070820949396</v>
      </c>
      <c r="S140" s="361">
        <f t="shared" si="322"/>
        <v>-12.606631927892607</v>
      </c>
      <c r="T140" s="361">
        <f t="shared" si="322"/>
        <v>-11.350369062017247</v>
      </c>
      <c r="U140" s="361">
        <f t="shared" si="322"/>
        <v>-10.274892327929958</v>
      </c>
      <c r="V140" s="361">
        <f t="shared" si="322"/>
        <v>-9.35418517580292</v>
      </c>
      <c r="W140" s="361">
        <f t="shared" ref="W140" si="325">-W146</f>
        <v>-8.5659750424639665</v>
      </c>
      <c r="X140" s="361">
        <f t="shared" ref="X140" si="326">-X146</f>
        <v>-7.8911945621962438</v>
      </c>
      <c r="Y140" s="361">
        <f t="shared" ref="Y140" si="327">-Y146</f>
        <v>-7.3135203135520248</v>
      </c>
      <c r="Z140" s="247"/>
      <c r="AA140" s="1"/>
      <c r="AB140" s="378"/>
      <c r="AC140" s="378"/>
      <c r="AD140" s="378"/>
    </row>
    <row r="141" spans="1:30">
      <c r="C141" s="191" t="s">
        <v>124</v>
      </c>
      <c r="D141" s="565" t="s">
        <v>256</v>
      </c>
      <c r="E141" s="566"/>
      <c r="F141" s="566"/>
      <c r="G141" s="566"/>
      <c r="H141" s="566">
        <f t="shared" ref="H141:T141" si="328">H150</f>
        <v>130.18299999999999</v>
      </c>
      <c r="I141" s="566">
        <f t="shared" si="328"/>
        <v>0.224</v>
      </c>
      <c r="J141" s="567">
        <f t="shared" si="328"/>
        <v>2.4849999999999999</v>
      </c>
      <c r="K141" s="567">
        <f>K150</f>
        <v>1.8340000000000001</v>
      </c>
      <c r="L141" s="567">
        <f>L150</f>
        <v>6.407297830374753E-2</v>
      </c>
      <c r="M141" s="567">
        <f>M150</f>
        <v>31.991</v>
      </c>
      <c r="N141" s="367">
        <f t="shared" si="328"/>
        <v>1.19</v>
      </c>
      <c r="O141" s="367">
        <f t="shared" ref="O141:P141" si="329">O150</f>
        <v>2.1800000000000002</v>
      </c>
      <c r="P141" s="258">
        <f t="shared" si="329"/>
        <v>0.877</v>
      </c>
      <c r="Q141" s="361">
        <f t="shared" si="328"/>
        <v>0.877</v>
      </c>
      <c r="R141" s="361">
        <f t="shared" si="328"/>
        <v>0.877</v>
      </c>
      <c r="S141" s="361">
        <f t="shared" si="328"/>
        <v>0.877</v>
      </c>
      <c r="T141" s="361">
        <f t="shared" si="328"/>
        <v>0.877</v>
      </c>
      <c r="U141" s="361">
        <f>U150</f>
        <v>0.877</v>
      </c>
      <c r="V141" s="361">
        <f>V150</f>
        <v>0.877</v>
      </c>
      <c r="W141" s="361">
        <f>W150</f>
        <v>0.877</v>
      </c>
      <c r="X141" s="361">
        <f>X150</f>
        <v>0.877</v>
      </c>
      <c r="Y141" s="361">
        <f>Y150</f>
        <v>0.877</v>
      </c>
      <c r="Z141" s="247"/>
      <c r="AA141" s="1"/>
      <c r="AB141" s="378"/>
      <c r="AC141" s="378"/>
      <c r="AD141" s="378"/>
    </row>
    <row r="142" spans="1:30" s="191" customFormat="1">
      <c r="A142" s="25"/>
      <c r="B142" s="25"/>
      <c r="C142" s="191" t="s">
        <v>128</v>
      </c>
      <c r="D142" s="575" t="s">
        <v>256</v>
      </c>
      <c r="E142" s="567"/>
      <c r="F142" s="567"/>
      <c r="G142" s="567"/>
      <c r="H142" s="567">
        <f>-'3. Cashflow'!H24</f>
        <v>0</v>
      </c>
      <c r="I142" s="567">
        <f>-'3. Cashflow'!I24</f>
        <v>0</v>
      </c>
      <c r="J142" s="567">
        <f>-'3. Cashflow'!J24</f>
        <v>0</v>
      </c>
      <c r="K142" s="567">
        <f>-'3. Cashflow'!K24</f>
        <v>0</v>
      </c>
      <c r="L142" s="567">
        <f>-'3. Cashflow'!L24</f>
        <v>0</v>
      </c>
      <c r="M142" s="567">
        <f>-'3. Cashflow'!M24</f>
        <v>0</v>
      </c>
      <c r="N142" s="367">
        <v>0</v>
      </c>
      <c r="O142" s="367">
        <v>0</v>
      </c>
      <c r="P142" s="258">
        <v>1</v>
      </c>
      <c r="Q142" s="367">
        <v>2</v>
      </c>
      <c r="R142" s="367">
        <v>3</v>
      </c>
      <c r="S142" s="367">
        <v>3</v>
      </c>
      <c r="T142" s="367">
        <v>3</v>
      </c>
      <c r="U142" s="367">
        <v>3</v>
      </c>
      <c r="V142" s="367">
        <v>3</v>
      </c>
      <c r="W142" s="367">
        <v>3</v>
      </c>
      <c r="X142" s="367">
        <v>3</v>
      </c>
      <c r="Y142" s="367">
        <v>3</v>
      </c>
      <c r="Z142" s="245"/>
      <c r="AA142" s="25"/>
    </row>
    <row r="143" spans="1:30">
      <c r="C143" s="389" t="s">
        <v>152</v>
      </c>
      <c r="D143" s="568" t="s">
        <v>256</v>
      </c>
      <c r="E143" s="569"/>
      <c r="F143" s="569"/>
      <c r="G143" s="569"/>
      <c r="H143" s="569">
        <f t="shared" ref="H143:L143" si="330">H144-H142-H141-H140-H139</f>
        <v>-130.18299999999999</v>
      </c>
      <c r="I143" s="569">
        <f t="shared" si="330"/>
        <v>-0.224</v>
      </c>
      <c r="J143" s="569">
        <f t="shared" si="330"/>
        <v>-2.4739999999999998</v>
      </c>
      <c r="K143" s="569">
        <f t="shared" si="330"/>
        <v>130.34399999999999</v>
      </c>
      <c r="L143" s="569">
        <f t="shared" si="330"/>
        <v>-0.43575443499301514</v>
      </c>
      <c r="M143" s="569">
        <f t="shared" ref="M143" si="331">M144-M142-M141-M140-M139</f>
        <v>-0.11400000000001853</v>
      </c>
      <c r="N143" s="368"/>
      <c r="O143" s="368"/>
      <c r="P143" s="520"/>
      <c r="Q143" s="368"/>
      <c r="R143" s="368"/>
      <c r="S143" s="368"/>
      <c r="T143" s="368"/>
      <c r="U143" s="368"/>
      <c r="V143" s="368"/>
      <c r="W143" s="368"/>
      <c r="X143" s="368"/>
      <c r="Y143" s="368"/>
      <c r="Z143" s="247"/>
      <c r="AA143" s="1"/>
      <c r="AB143" s="378"/>
      <c r="AC143" s="378"/>
      <c r="AD143" s="378"/>
    </row>
    <row r="144" spans="1:30">
      <c r="C144" s="193" t="s">
        <v>217</v>
      </c>
      <c r="D144" s="571" t="s">
        <v>256</v>
      </c>
      <c r="E144" s="277"/>
      <c r="F144" s="277"/>
      <c r="G144" s="277"/>
      <c r="H144" s="277">
        <f>'4. Balance Sheet'!G17</f>
        <v>0</v>
      </c>
      <c r="I144" s="277">
        <f>'4. Balance Sheet'!H17</f>
        <v>0</v>
      </c>
      <c r="J144" s="288">
        <f>'4. Balance Sheet'!I17</f>
        <v>0</v>
      </c>
      <c r="K144" s="288">
        <f>'4. Balance Sheet'!J17+'4. Balance Sheet'!J16</f>
        <v>132.16399999999999</v>
      </c>
      <c r="L144" s="288">
        <f>'4. Balance Sheet'!K17+'4. Balance Sheet'!K16</f>
        <v>121.51400000000001</v>
      </c>
      <c r="M144" s="288">
        <f>'4. Balance Sheet'!L17+'4. Balance Sheet'!L16</f>
        <v>142.40299999999999</v>
      </c>
      <c r="N144" s="453">
        <f t="shared" ref="N144:V144" si="332">SUM(N139:N143)</f>
        <v>132.29999999999998</v>
      </c>
      <c r="O144" s="453">
        <f t="shared" ref="O144:P144" si="333">SUM(O139:O143)</f>
        <v>120.93299999999999</v>
      </c>
      <c r="P144" s="688">
        <f t="shared" si="333"/>
        <v>108.92693612244896</v>
      </c>
      <c r="Q144" s="338">
        <f t="shared" si="332"/>
        <v>97.799163957912569</v>
      </c>
      <c r="R144" s="338">
        <f t="shared" si="332"/>
        <v>87.602093136963163</v>
      </c>
      <c r="S144" s="338">
        <f t="shared" si="332"/>
        <v>78.872461209070551</v>
      </c>
      <c r="T144" s="338">
        <f t="shared" si="332"/>
        <v>71.399092147053295</v>
      </c>
      <c r="U144" s="338">
        <f t="shared" si="332"/>
        <v>65.001199819123343</v>
      </c>
      <c r="V144" s="338">
        <f t="shared" si="332"/>
        <v>59.524014643320427</v>
      </c>
      <c r="W144" s="338">
        <f t="shared" ref="W144" si="334">SUM(W139:W143)</f>
        <v>54.835039600856462</v>
      </c>
      <c r="X144" s="338">
        <f t="shared" ref="X144" si="335">SUM(X139:X143)</f>
        <v>50.820845038660217</v>
      </c>
      <c r="Y144" s="338">
        <f t="shared" ref="Y144" si="336">SUM(Y139:Y143)</f>
        <v>47.384324725108193</v>
      </c>
      <c r="Z144" s="249"/>
      <c r="AA144" s="1"/>
      <c r="AB144" s="378"/>
      <c r="AC144" s="378"/>
      <c r="AD144" s="378"/>
    </row>
    <row r="145" spans="1:30">
      <c r="C145" s="193"/>
      <c r="D145" s="381"/>
      <c r="E145" s="378"/>
      <c r="F145" s="378"/>
      <c r="G145" s="378"/>
      <c r="H145" s="378"/>
      <c r="I145" s="378"/>
      <c r="J145" s="191"/>
      <c r="K145" s="191"/>
      <c r="L145" s="191"/>
      <c r="M145" s="191"/>
      <c r="N145" s="720"/>
      <c r="O145" s="720"/>
      <c r="P145" s="689"/>
      <c r="Q145" s="576"/>
      <c r="R145" s="576"/>
      <c r="S145" s="576"/>
      <c r="T145" s="576"/>
      <c r="U145" s="576"/>
      <c r="V145" s="576"/>
      <c r="W145" s="576"/>
      <c r="X145" s="576"/>
      <c r="Y145" s="576"/>
      <c r="Z145" s="247"/>
      <c r="AA145" s="1"/>
      <c r="AB145" s="378"/>
      <c r="AC145" s="378"/>
      <c r="AD145" s="378"/>
    </row>
    <row r="146" spans="1:30" s="370" customFormat="1">
      <c r="A146" s="202"/>
      <c r="B146" s="202"/>
      <c r="C146" s="372" t="s">
        <v>125</v>
      </c>
      <c r="D146" s="571" t="s">
        <v>256</v>
      </c>
      <c r="E146" s="346"/>
      <c r="F146" s="346"/>
      <c r="G146" s="346"/>
      <c r="H146" s="346">
        <v>0</v>
      </c>
      <c r="I146" s="346">
        <v>0</v>
      </c>
      <c r="J146" s="309">
        <v>1.0999999999999999E-2</v>
      </c>
      <c r="K146" s="309">
        <f>0.007*2</f>
        <v>1.4E-2</v>
      </c>
      <c r="L146" s="308">
        <f>(28.2/32.567)*11.87</f>
        <v>10.278318543310712</v>
      </c>
      <c r="M146" s="308">
        <v>10.988</v>
      </c>
      <c r="N146" s="308">
        <v>11.292999999999999</v>
      </c>
      <c r="O146" s="308">
        <v>13.547000000000001</v>
      </c>
      <c r="P146" s="516">
        <f>(O146/N144)*O144+1.5</f>
        <v>13.883063877551022</v>
      </c>
      <c r="Q146" s="321">
        <f>(P146/O144)*P144+1.5</f>
        <v>14.004772164536387</v>
      </c>
      <c r="R146" s="321">
        <f>(Q146/P144)*Q144+1.5</f>
        <v>14.074070820949396</v>
      </c>
      <c r="S146" s="321">
        <f t="shared" ref="S146:Y146" si="337">(R146/Q144)*R144</f>
        <v>12.606631927892607</v>
      </c>
      <c r="T146" s="321">
        <f t="shared" si="337"/>
        <v>11.350369062017247</v>
      </c>
      <c r="U146" s="321">
        <f t="shared" si="337"/>
        <v>10.274892327929958</v>
      </c>
      <c r="V146" s="321">
        <f t="shared" si="337"/>
        <v>9.35418517580292</v>
      </c>
      <c r="W146" s="321">
        <f t="shared" si="337"/>
        <v>8.5659750424639665</v>
      </c>
      <c r="X146" s="321">
        <f t="shared" si="337"/>
        <v>7.8911945621962438</v>
      </c>
      <c r="Y146" s="321">
        <f t="shared" si="337"/>
        <v>7.3135203135520248</v>
      </c>
      <c r="Z146" s="273"/>
      <c r="AA146" s="202"/>
    </row>
    <row r="147" spans="1:30">
      <c r="C147" s="577" t="s">
        <v>227</v>
      </c>
      <c r="D147" s="578" t="s">
        <v>122</v>
      </c>
      <c r="E147" s="363"/>
      <c r="F147" s="363"/>
      <c r="G147" s="363"/>
      <c r="H147" s="285"/>
      <c r="I147" s="579"/>
      <c r="J147" s="579"/>
      <c r="K147" s="579"/>
      <c r="L147" s="654"/>
      <c r="M147" s="654"/>
      <c r="N147" s="654"/>
      <c r="O147" s="654"/>
      <c r="P147" s="580">
        <f t="shared" ref="P147" si="338">P146/O146-1</f>
        <v>2.4807254561971082E-2</v>
      </c>
      <c r="Q147" s="579">
        <f t="shared" ref="Q147" si="339">Q146/P146-1</f>
        <v>8.7666734129321355E-3</v>
      </c>
      <c r="R147" s="579">
        <f t="shared" ref="R147" si="340">R146/Q146-1</f>
        <v>4.9482173361228288E-3</v>
      </c>
      <c r="S147" s="579">
        <f t="shared" ref="S147" si="341">S146/R146-1</f>
        <v>-0.10426541913321141</v>
      </c>
      <c r="T147" s="579">
        <f t="shared" ref="T147" si="342">T146/S146-1</f>
        <v>-9.9650951424689049E-2</v>
      </c>
      <c r="U147" s="579">
        <f t="shared" ref="U147" si="343">U146/T146-1</f>
        <v>-9.4752578370887797E-2</v>
      </c>
      <c r="V147" s="579">
        <f t="shared" ref="V147:Y147" si="344">V146/U146-1</f>
        <v>-8.9607474486550598E-2</v>
      </c>
      <c r="W147" s="579">
        <f t="shared" si="344"/>
        <v>-8.4262831933011983E-2</v>
      </c>
      <c r="X147" s="579">
        <f t="shared" si="344"/>
        <v>-7.8774509255822522E-2</v>
      </c>
      <c r="Y147" s="579">
        <f t="shared" si="344"/>
        <v>-7.3204917720776974E-2</v>
      </c>
      <c r="Z147" s="247"/>
      <c r="AA147" s="1"/>
      <c r="AB147" s="378"/>
      <c r="AC147" s="378"/>
      <c r="AD147" s="378"/>
    </row>
    <row r="148" spans="1:30">
      <c r="C148" s="349" t="s">
        <v>232</v>
      </c>
      <c r="D148" s="565" t="s">
        <v>122</v>
      </c>
      <c r="E148" s="285"/>
      <c r="F148" s="380"/>
      <c r="G148" s="380"/>
      <c r="H148" s="562"/>
      <c r="I148" s="562"/>
      <c r="J148" s="562"/>
      <c r="K148" s="562"/>
      <c r="L148" s="542">
        <f t="shared" ref="L148:Y148" si="345">L146/L92</f>
        <v>1.0811353944683435</v>
      </c>
      <c r="M148" s="542">
        <f t="shared" si="345"/>
        <v>8.0448396992138349</v>
      </c>
      <c r="N148" s="542">
        <f t="shared" si="345"/>
        <v>18.265123182403833</v>
      </c>
      <c r="O148" s="542">
        <f t="shared" si="345"/>
        <v>31.931332131609469</v>
      </c>
      <c r="P148" s="563">
        <f t="shared" si="345"/>
        <v>51.262928619509651</v>
      </c>
      <c r="Q148" s="562">
        <f t="shared" si="345"/>
        <v>115.38549703773676</v>
      </c>
      <c r="R148" s="562">
        <f t="shared" si="345"/>
        <v>91.763646320270567</v>
      </c>
      <c r="S148" s="562">
        <f t="shared" si="345"/>
        <v>97.02035613012012</v>
      </c>
      <c r="T148" s="562">
        <f t="shared" si="345"/>
        <v>101.1956781283638</v>
      </c>
      <c r="U148" s="562">
        <f t="shared" si="345"/>
        <v>104.2956760925431</v>
      </c>
      <c r="V148" s="562">
        <f t="shared" si="345"/>
        <v>106.80437468937563</v>
      </c>
      <c r="W148" s="562">
        <f t="shared" si="345"/>
        <v>108.95452287989346</v>
      </c>
      <c r="X148" s="562">
        <f t="shared" si="345"/>
        <v>111.02520778060021</v>
      </c>
      <c r="Y148" s="562">
        <f t="shared" si="345"/>
        <v>113.1909713960023</v>
      </c>
      <c r="Z148" s="247"/>
      <c r="AA148" s="1"/>
      <c r="AB148" s="378"/>
      <c r="AC148" s="378"/>
      <c r="AD148" s="378"/>
    </row>
    <row r="149" spans="1:30">
      <c r="C149" s="349"/>
      <c r="D149" s="565"/>
      <c r="E149" s="285"/>
      <c r="F149" s="380"/>
      <c r="G149" s="380"/>
      <c r="H149" s="562"/>
      <c r="I149" s="562"/>
      <c r="J149" s="562"/>
      <c r="K149" s="562"/>
      <c r="L149" s="542"/>
      <c r="M149" s="542"/>
      <c r="N149" s="542"/>
      <c r="O149" s="542"/>
      <c r="P149" s="563"/>
      <c r="Q149" s="562"/>
      <c r="R149" s="562"/>
      <c r="S149" s="562"/>
      <c r="T149" s="562"/>
      <c r="U149" s="562"/>
      <c r="V149" s="562"/>
      <c r="W149" s="562"/>
      <c r="X149" s="562"/>
      <c r="Y149" s="562"/>
      <c r="Z149" s="247"/>
      <c r="AA149" s="1"/>
      <c r="AB149" s="378"/>
      <c r="AC149" s="378"/>
      <c r="AD149" s="378"/>
    </row>
    <row r="150" spans="1:30" s="370" customFormat="1">
      <c r="A150" s="202"/>
      <c r="B150" s="202"/>
      <c r="C150" s="372" t="s">
        <v>124</v>
      </c>
      <c r="D150" s="571" t="s">
        <v>256</v>
      </c>
      <c r="E150" s="277"/>
      <c r="F150" s="277"/>
      <c r="G150" s="277"/>
      <c r="H150" s="277">
        <f>-'3. Cashflow'!H25</f>
        <v>130.18299999999999</v>
      </c>
      <c r="I150" s="277">
        <f>-'3. Cashflow'!I25</f>
        <v>0.224</v>
      </c>
      <c r="J150" s="288">
        <f>-'3. Cashflow'!J25</f>
        <v>2.4849999999999999</v>
      </c>
      <c r="K150" s="288">
        <f>-'3. Cashflow'!K25</f>
        <v>1.8340000000000001</v>
      </c>
      <c r="L150" s="288">
        <f>-'3. Cashflow'!L25</f>
        <v>6.407297830374753E-2</v>
      </c>
      <c r="M150" s="288">
        <f>-'3. Cashflow'!M25</f>
        <v>31.991</v>
      </c>
      <c r="N150" s="288">
        <f>-'3. Cashflow'!N25</f>
        <v>1.19</v>
      </c>
      <c r="O150" s="288">
        <f>-'3. Cashflow'!O25</f>
        <v>2.1800000000000002</v>
      </c>
      <c r="P150" s="278">
        <f>-'3. Cashflow'!P25</f>
        <v>0.877</v>
      </c>
      <c r="Q150" s="574">
        <f t="shared" ref="Q150:Y150" si="346">P150</f>
        <v>0.877</v>
      </c>
      <c r="R150" s="574">
        <f t="shared" si="346"/>
        <v>0.877</v>
      </c>
      <c r="S150" s="574">
        <f t="shared" si="346"/>
        <v>0.877</v>
      </c>
      <c r="T150" s="574">
        <f t="shared" si="346"/>
        <v>0.877</v>
      </c>
      <c r="U150" s="574">
        <f t="shared" si="346"/>
        <v>0.877</v>
      </c>
      <c r="V150" s="574">
        <f t="shared" si="346"/>
        <v>0.877</v>
      </c>
      <c r="W150" s="574">
        <f t="shared" si="346"/>
        <v>0.877</v>
      </c>
      <c r="X150" s="574">
        <f t="shared" si="346"/>
        <v>0.877</v>
      </c>
      <c r="Y150" s="574">
        <f t="shared" si="346"/>
        <v>0.877</v>
      </c>
      <c r="Z150" s="386"/>
      <c r="AA150" s="202"/>
    </row>
    <row r="151" spans="1:30" s="370" customFormat="1">
      <c r="A151" s="202"/>
      <c r="B151" s="202"/>
      <c r="C151" s="577" t="s">
        <v>227</v>
      </c>
      <c r="D151" s="578" t="s">
        <v>122</v>
      </c>
      <c r="E151" s="363"/>
      <c r="F151" s="363"/>
      <c r="G151" s="363"/>
      <c r="H151" s="285"/>
      <c r="I151" s="579"/>
      <c r="J151" s="579"/>
      <c r="K151" s="579"/>
      <c r="L151" s="654">
        <f>IFERROR(L150/K150-1,"NA")</f>
        <v>-0.96506380681366</v>
      </c>
      <c r="M151" s="654">
        <f>IFERROR(M150/L150-1,"NA")</f>
        <v>498.29004155764204</v>
      </c>
      <c r="N151" s="654">
        <f>IFERROR(N150/M150-1,"NA")</f>
        <v>-0.96280203807320808</v>
      </c>
      <c r="O151" s="654">
        <f>IFERROR(O150/N150-1,"NA")</f>
        <v>0.83193277310924385</v>
      </c>
      <c r="P151" s="580">
        <f t="shared" ref="P151:Y151" si="347">IFERROR(P150/O150-1,"NA")</f>
        <v>-0.59770642201834867</v>
      </c>
      <c r="Q151" s="579">
        <f t="shared" si="347"/>
        <v>0</v>
      </c>
      <c r="R151" s="579">
        <f t="shared" si="347"/>
        <v>0</v>
      </c>
      <c r="S151" s="579">
        <f t="shared" si="347"/>
        <v>0</v>
      </c>
      <c r="T151" s="579">
        <f t="shared" si="347"/>
        <v>0</v>
      </c>
      <c r="U151" s="579">
        <f t="shared" si="347"/>
        <v>0</v>
      </c>
      <c r="V151" s="579">
        <f t="shared" si="347"/>
        <v>0</v>
      </c>
      <c r="W151" s="579">
        <f t="shared" si="347"/>
        <v>0</v>
      </c>
      <c r="X151" s="579">
        <f t="shared" si="347"/>
        <v>0</v>
      </c>
      <c r="Y151" s="579">
        <f t="shared" si="347"/>
        <v>0</v>
      </c>
      <c r="Z151" s="273"/>
      <c r="AA151" s="202"/>
    </row>
    <row r="152" spans="1:30">
      <c r="C152" s="349" t="s">
        <v>232</v>
      </c>
      <c r="D152" s="565" t="s">
        <v>122</v>
      </c>
      <c r="E152" s="390"/>
      <c r="F152" s="390"/>
      <c r="G152" s="390"/>
      <c r="H152" s="390"/>
      <c r="I152" s="390"/>
      <c r="J152" s="390"/>
      <c r="K152" s="390"/>
      <c r="L152" s="390">
        <f t="shared" ref="L152:Y152" si="348">L150/L14</f>
        <v>1.9836835388157134E-3</v>
      </c>
      <c r="M152" s="390">
        <f t="shared" si="348"/>
        <v>0.55702395876863076</v>
      </c>
      <c r="N152" s="390">
        <f t="shared" si="348"/>
        <v>1.3821138211382113E-2</v>
      </c>
      <c r="O152" s="390">
        <f t="shared" si="348"/>
        <v>1.8622133003032504E-2</v>
      </c>
      <c r="P152" s="691">
        <f t="shared" si="348"/>
        <v>5.7968140657016333E-3</v>
      </c>
      <c r="Q152" s="573">
        <f t="shared" si="348"/>
        <v>4.8430038165641481E-3</v>
      </c>
      <c r="R152" s="573">
        <f t="shared" si="348"/>
        <v>4.0914470530655639E-3</v>
      </c>
      <c r="S152" s="573">
        <f t="shared" si="348"/>
        <v>3.544938727688636E-3</v>
      </c>
      <c r="T152" s="573">
        <f t="shared" si="348"/>
        <v>3.1332337952324979E-3</v>
      </c>
      <c r="U152" s="573">
        <f t="shared" si="348"/>
        <v>2.8238738995834964E-3</v>
      </c>
      <c r="V152" s="573">
        <f t="shared" si="348"/>
        <v>2.5744117802676994E-3</v>
      </c>
      <c r="W152" s="573">
        <f t="shared" si="348"/>
        <v>2.3688945611949129E-3</v>
      </c>
      <c r="X152" s="573">
        <f t="shared" si="348"/>
        <v>2.1966684718898624E-3</v>
      </c>
      <c r="Y152" s="573">
        <f t="shared" si="348"/>
        <v>2.0502854668044373E-3</v>
      </c>
      <c r="Z152" s="275"/>
      <c r="AA152" s="1"/>
      <c r="AB152" s="378"/>
      <c r="AC152" s="378"/>
      <c r="AD152" s="378"/>
    </row>
    <row r="153" spans="1:30">
      <c r="C153" s="191"/>
      <c r="D153" s="381"/>
      <c r="E153" s="581"/>
      <c r="F153" s="581"/>
      <c r="G153" s="581"/>
      <c r="H153" s="581"/>
      <c r="I153" s="581"/>
      <c r="J153" s="582"/>
      <c r="K153" s="582"/>
      <c r="L153" s="584"/>
      <c r="M153" s="584"/>
      <c r="N153" s="584"/>
      <c r="O153" s="584"/>
      <c r="P153" s="583"/>
      <c r="Q153" s="584"/>
      <c r="R153" s="584"/>
      <c r="S153" s="584"/>
      <c r="T153" s="584"/>
      <c r="U153" s="584"/>
      <c r="V153" s="584"/>
      <c r="W153" s="584"/>
      <c r="X153" s="584"/>
      <c r="Y153" s="584"/>
      <c r="AA153" s="1"/>
      <c r="AB153" s="378"/>
      <c r="AC153" s="378"/>
      <c r="AD153" s="378"/>
    </row>
    <row r="154" spans="1:30">
      <c r="C154" s="372" t="s">
        <v>126</v>
      </c>
      <c r="D154" s="388" t="s">
        <v>256</v>
      </c>
      <c r="E154" s="277"/>
      <c r="F154" s="277"/>
      <c r="G154" s="277"/>
      <c r="H154" s="277">
        <f>H133+H150</f>
        <v>131.34699999999998</v>
      </c>
      <c r="I154" s="277">
        <f t="shared" ref="I154:V154" si="349">I133+I150</f>
        <v>63.483999999999995</v>
      </c>
      <c r="J154" s="288">
        <f t="shared" si="349"/>
        <v>83.117000000000004</v>
      </c>
      <c r="K154" s="288">
        <f t="shared" si="349"/>
        <v>128.43799999999999</v>
      </c>
      <c r="L154" s="321">
        <f t="shared" si="349"/>
        <v>32.653461538461542</v>
      </c>
      <c r="M154" s="321">
        <f t="shared" ref="M154:N154" si="350">M133+M150</f>
        <v>67.069999999999993</v>
      </c>
      <c r="N154" s="321">
        <f t="shared" si="350"/>
        <v>44.582000000000001</v>
      </c>
      <c r="O154" s="321">
        <f t="shared" ref="O154" si="351">O133+O150</f>
        <v>47.991999999999997</v>
      </c>
      <c r="P154" s="585">
        <f t="shared" si="349"/>
        <v>55.001000000000005</v>
      </c>
      <c r="Q154" s="530">
        <f t="shared" si="349"/>
        <v>54.325788284564133</v>
      </c>
      <c r="R154" s="530">
        <f t="shared" si="349"/>
        <v>53.587397601961975</v>
      </c>
      <c r="S154" s="530">
        <f t="shared" si="349"/>
        <v>49.478993425187909</v>
      </c>
      <c r="T154" s="530">
        <f t="shared" si="349"/>
        <v>41.985376322751712</v>
      </c>
      <c r="U154" s="530">
        <f t="shared" si="349"/>
        <v>43.479278596012833</v>
      </c>
      <c r="V154" s="530">
        <f t="shared" si="349"/>
        <v>44.285844585493898</v>
      </c>
      <c r="W154" s="530">
        <f t="shared" ref="W154" si="352">W133+W150</f>
        <v>44.425784804417404</v>
      </c>
      <c r="X154" s="530">
        <f t="shared" ref="X154" si="353">X133+X150</f>
        <v>43.916504121809446</v>
      </c>
      <c r="Y154" s="530">
        <f t="shared" ref="Y154" si="354">Y133+Y150</f>
        <v>42.774531361571178</v>
      </c>
      <c r="Z154" s="247"/>
      <c r="AA154" s="1"/>
      <c r="AB154" s="378"/>
      <c r="AC154" s="378"/>
      <c r="AD154" s="378"/>
    </row>
    <row r="155" spans="1:30" s="345" customFormat="1">
      <c r="A155" s="187"/>
      <c r="B155" s="187"/>
      <c r="C155" s="349" t="s">
        <v>127</v>
      </c>
      <c r="D155" s="586"/>
      <c r="E155" s="380"/>
      <c r="F155" s="380"/>
      <c r="G155" s="380"/>
      <c r="H155" s="380"/>
      <c r="I155" s="380"/>
      <c r="J155" s="461"/>
      <c r="K155" s="461"/>
      <c r="L155" s="573">
        <f t="shared" ref="L155:Y155" si="355">L154/L14</f>
        <v>1.010943081686116</v>
      </c>
      <c r="M155" s="573">
        <f t="shared" si="355"/>
        <v>1.1678158517899426</v>
      </c>
      <c r="N155" s="573">
        <f t="shared" si="355"/>
        <v>0.51779326364692224</v>
      </c>
      <c r="O155" s="573">
        <f t="shared" si="355"/>
        <v>0.40996027847776872</v>
      </c>
      <c r="P155" s="587">
        <f t="shared" si="355"/>
        <v>0.36354683059025716</v>
      </c>
      <c r="Q155" s="529">
        <f t="shared" si="355"/>
        <v>0.3</v>
      </c>
      <c r="R155" s="529">
        <f t="shared" si="355"/>
        <v>0.25</v>
      </c>
      <c r="S155" s="529">
        <f t="shared" si="355"/>
        <v>0.2</v>
      </c>
      <c r="T155" s="529">
        <f t="shared" si="355"/>
        <v>0.15</v>
      </c>
      <c r="U155" s="529">
        <f t="shared" si="355"/>
        <v>0.14000000000000001</v>
      </c>
      <c r="V155" s="529">
        <f t="shared" si="355"/>
        <v>0.13</v>
      </c>
      <c r="W155" s="529">
        <f t="shared" si="355"/>
        <v>0.12</v>
      </c>
      <c r="X155" s="529">
        <f t="shared" si="355"/>
        <v>0.10999999999999999</v>
      </c>
      <c r="Y155" s="529">
        <f t="shared" si="355"/>
        <v>0.10000000000000002</v>
      </c>
      <c r="Z155" s="247"/>
      <c r="AA155" s="187"/>
    </row>
    <row r="156" spans="1:30">
      <c r="Q156" s="71"/>
      <c r="R156" s="71"/>
      <c r="S156" s="71"/>
      <c r="T156" s="71"/>
      <c r="U156" s="71"/>
      <c r="V156" s="71"/>
      <c r="W156" s="71"/>
      <c r="X156" s="71"/>
      <c r="Y156" s="71"/>
      <c r="Z156" s="247"/>
      <c r="AA156" s="1"/>
      <c r="AB156" s="378"/>
      <c r="AC156" s="378"/>
      <c r="AD156" s="378"/>
    </row>
    <row r="157" spans="1:30" s="376" customFormat="1" ht="18">
      <c r="A157" s="355"/>
      <c r="B157" s="355"/>
      <c r="C157" s="711" t="s">
        <v>129</v>
      </c>
      <c r="D157" s="712"/>
      <c r="E157" s="713"/>
      <c r="F157" s="713"/>
      <c r="G157" s="713"/>
      <c r="H157" s="713"/>
      <c r="I157" s="713"/>
      <c r="J157" s="714"/>
      <c r="K157" s="715"/>
      <c r="L157" s="715"/>
      <c r="M157" s="715"/>
      <c r="N157" s="715"/>
      <c r="O157" s="715"/>
      <c r="P157" s="716"/>
      <c r="Q157" s="717"/>
      <c r="R157" s="717"/>
      <c r="S157" s="717"/>
      <c r="T157" s="717"/>
      <c r="U157" s="717"/>
      <c r="V157" s="717"/>
      <c r="W157" s="717"/>
      <c r="X157" s="717"/>
      <c r="Y157" s="717"/>
      <c r="Z157" s="718"/>
      <c r="AA157" s="356"/>
      <c r="AB157" s="377"/>
      <c r="AC157" s="377"/>
      <c r="AD157" s="377"/>
    </row>
    <row r="158" spans="1:30">
      <c r="C158" s="40"/>
      <c r="D158" s="27"/>
      <c r="Q158" s="71"/>
      <c r="R158" s="71"/>
      <c r="S158" s="71"/>
      <c r="T158" s="71"/>
      <c r="U158" s="71"/>
      <c r="V158" s="71"/>
      <c r="W158" s="71"/>
      <c r="X158" s="71"/>
      <c r="Y158" s="71"/>
      <c r="Z158" s="247"/>
      <c r="AA158" s="1"/>
      <c r="AB158" s="378"/>
      <c r="AC158" s="378"/>
      <c r="AD158" s="378"/>
    </row>
    <row r="159" spans="1:30" s="370" customFormat="1">
      <c r="A159" s="202"/>
      <c r="B159" s="202"/>
      <c r="C159" s="307" t="s">
        <v>132</v>
      </c>
      <c r="D159" s="165" t="s">
        <v>256</v>
      </c>
      <c r="E159" s="308"/>
      <c r="F159" s="308"/>
      <c r="G159" s="308"/>
      <c r="H159" s="308">
        <v>0</v>
      </c>
      <c r="I159" s="308">
        <v>0</v>
      </c>
      <c r="J159" s="308">
        <v>0</v>
      </c>
      <c r="K159" s="489">
        <v>0</v>
      </c>
      <c r="L159" s="489">
        <f>0.51*(365/507)</f>
        <v>0.3671597633136095</v>
      </c>
      <c r="M159" s="489">
        <v>5.2999999999999999E-2</v>
      </c>
      <c r="N159" s="489">
        <v>0.81200000000000006</v>
      </c>
      <c r="O159" s="489">
        <v>1.575</v>
      </c>
      <c r="P159" s="504">
        <v>1.4730000000000001</v>
      </c>
      <c r="Q159" s="321">
        <f t="shared" ref="Q159:T159" si="356">Q163*Q162</f>
        <v>2.1007486551289096</v>
      </c>
      <c r="R159" s="321">
        <f t="shared" si="356"/>
        <v>2.9933325342527555</v>
      </c>
      <c r="S159" s="321">
        <f t="shared" si="356"/>
        <v>4.3264480250103388</v>
      </c>
      <c r="T159" s="321">
        <f t="shared" si="356"/>
        <v>6.0779535982726216</v>
      </c>
      <c r="U159" s="321">
        <f>U163*U162</f>
        <v>8.1506305491087652</v>
      </c>
      <c r="V159" s="321">
        <f>V163*V162</f>
        <v>10.553305204884433</v>
      </c>
      <c r="W159" s="321">
        <f>W163*W162</f>
        <v>13.314521303121522</v>
      </c>
      <c r="X159" s="321">
        <f>X163*X162</f>
        <v>16.459033056030151</v>
      </c>
      <c r="Y159" s="321">
        <f>Y163*Y162</f>
        <v>20.010219003265423</v>
      </c>
      <c r="Z159" s="273"/>
      <c r="AA159" s="202"/>
    </row>
    <row r="160" spans="1:30">
      <c r="C160" s="194" t="s">
        <v>218</v>
      </c>
      <c r="D160" s="199" t="s">
        <v>256</v>
      </c>
      <c r="E160" s="312"/>
      <c r="F160" s="312"/>
      <c r="G160" s="312"/>
      <c r="H160" s="312">
        <v>0</v>
      </c>
      <c r="I160" s="312">
        <v>0</v>
      </c>
      <c r="J160" s="312">
        <v>0</v>
      </c>
      <c r="K160" s="224">
        <v>0</v>
      </c>
      <c r="L160" s="224">
        <v>0.3671597633136095</v>
      </c>
      <c r="M160" s="224">
        <v>5.2999999999999999E-2</v>
      </c>
      <c r="N160" s="224">
        <v>0.81200000000000006</v>
      </c>
      <c r="O160" s="224">
        <v>1.575</v>
      </c>
      <c r="P160" s="471">
        <v>1.4730000000000001</v>
      </c>
      <c r="Q160" s="224">
        <v>2.24465065332853</v>
      </c>
      <c r="R160" s="224">
        <v>3.3081074691064969</v>
      </c>
      <c r="S160" s="224">
        <v>4.6952226348220201</v>
      </c>
      <c r="T160" s="224">
        <v>6.4987046534720365</v>
      </c>
      <c r="U160" s="224">
        <v>8.6195677693756529</v>
      </c>
      <c r="V160" s="224">
        <v>11.067981091835334</v>
      </c>
      <c r="W160" s="224">
        <v>13.873441407940529</v>
      </c>
      <c r="X160" s="224">
        <v>17.060648938912863</v>
      </c>
      <c r="Y160" s="224">
        <v>20.652903926054453</v>
      </c>
      <c r="AA160" s="1"/>
      <c r="AB160" s="378"/>
      <c r="AC160" s="378"/>
      <c r="AD160" s="378"/>
    </row>
    <row r="161" spans="1:30">
      <c r="C161" s="1" t="s">
        <v>130</v>
      </c>
      <c r="D161" s="164" t="s">
        <v>256</v>
      </c>
      <c r="E161" s="6"/>
      <c r="F161" s="6"/>
      <c r="G161" s="6"/>
      <c r="H161" s="6">
        <f>'4. Balance Sheet'!G7</f>
        <v>0</v>
      </c>
      <c r="I161" s="6">
        <f>'4. Balance Sheet'!H7</f>
        <v>0</v>
      </c>
      <c r="J161" s="180">
        <f>'4. Balance Sheet'!I7</f>
        <v>0</v>
      </c>
      <c r="K161" s="367">
        <f>'4. Balance Sheet'!J7</f>
        <v>137.58799999999999</v>
      </c>
      <c r="L161" s="36">
        <f>'4. Balance Sheet'!K7</f>
        <v>94.582999999999998</v>
      </c>
      <c r="M161" s="36">
        <f>'4. Balance Sheet'!L7</f>
        <v>49.554000000000002</v>
      </c>
      <c r="N161" s="36">
        <f>'4. Balance Sheet'!M7</f>
        <v>44.002000000000002</v>
      </c>
      <c r="O161" s="36">
        <f>'4. Balance Sheet'!N7</f>
        <v>55.332999999999998</v>
      </c>
      <c r="P161" s="510">
        <f>'4. Balance Sheet'!O7</f>
        <v>80.686999999999998</v>
      </c>
      <c r="Q161" s="49">
        <f>'4. Balance Sheet'!P7</f>
        <v>113.30066603573269</v>
      </c>
      <c r="R161" s="49">
        <f>'4. Balance Sheet'!Q7</f>
        <v>163.11012236145652</v>
      </c>
      <c r="S161" s="49">
        <f>'4. Balance Sheet'!R7</f>
        <v>236.40342846129042</v>
      </c>
      <c r="T161" s="49">
        <f>'4. Balance Sheet'!S7</f>
        <v>324.84792825089005</v>
      </c>
      <c r="U161" s="49">
        <f>'4. Balance Sheet'!T7</f>
        <v>427.79889271976452</v>
      </c>
      <c r="V161" s="49">
        <f>'4. Balance Sheet'!U7</f>
        <v>546.71609300215005</v>
      </c>
      <c r="W161" s="49">
        <f>'4. Balance Sheet'!V7</f>
        <v>682.77554830850113</v>
      </c>
      <c r="X161" s="49">
        <f>'4. Balance Sheet'!W7</f>
        <v>837.08709682471044</v>
      </c>
      <c r="Y161" s="49">
        <f>'4. Balance Sheet'!X7</f>
        <v>1010.6997251876198</v>
      </c>
      <c r="Z161" s="247"/>
      <c r="AA161" s="1"/>
      <c r="AB161" s="378"/>
      <c r="AC161" s="378"/>
      <c r="AD161" s="378"/>
    </row>
    <row r="162" spans="1:30">
      <c r="C162" s="1" t="s">
        <v>131</v>
      </c>
      <c r="D162" s="164" t="s">
        <v>256</v>
      </c>
      <c r="E162" s="6"/>
      <c r="F162" s="6"/>
      <c r="G162" s="6"/>
      <c r="H162" s="6">
        <f>AVERAGE(G161:H161)</f>
        <v>0</v>
      </c>
      <c r="I162" s="6">
        <f>AVERAGE(H161:I161)</f>
        <v>0</v>
      </c>
      <c r="J162" s="180">
        <f>AVERAGE(I161:J161)</f>
        <v>0</v>
      </c>
      <c r="K162" s="367">
        <f t="shared" ref="K162:Y162" si="357">AVERAGE(J161:K161)</f>
        <v>68.793999999999997</v>
      </c>
      <c r="L162" s="36">
        <f t="shared" si="357"/>
        <v>116.0855</v>
      </c>
      <c r="M162" s="36">
        <f t="shared" si="357"/>
        <v>72.0685</v>
      </c>
      <c r="N162" s="36">
        <f t="shared" si="357"/>
        <v>46.778000000000006</v>
      </c>
      <c r="O162" s="36">
        <f t="shared" si="357"/>
        <v>49.667500000000004</v>
      </c>
      <c r="P162" s="510">
        <f t="shared" si="357"/>
        <v>68.009999999999991</v>
      </c>
      <c r="Q162" s="49">
        <f t="shared" si="357"/>
        <v>96.993833017866336</v>
      </c>
      <c r="R162" s="49">
        <f t="shared" si="357"/>
        <v>138.2053941985946</v>
      </c>
      <c r="S162" s="49">
        <f t="shared" si="357"/>
        <v>199.75677541137347</v>
      </c>
      <c r="T162" s="49">
        <f t="shared" si="357"/>
        <v>280.62567835609025</v>
      </c>
      <c r="U162" s="49">
        <f t="shared" si="357"/>
        <v>376.32341048532726</v>
      </c>
      <c r="V162" s="49">
        <f t="shared" si="357"/>
        <v>487.25749286095731</v>
      </c>
      <c r="W162" s="49">
        <f t="shared" si="357"/>
        <v>614.74582065532559</v>
      </c>
      <c r="X162" s="49">
        <f t="shared" si="357"/>
        <v>759.93132256660579</v>
      </c>
      <c r="Y162" s="49">
        <f t="shared" si="357"/>
        <v>923.89341100616514</v>
      </c>
      <c r="Z162" s="247"/>
      <c r="AA162" s="1"/>
      <c r="AB162" s="378"/>
      <c r="AC162" s="378"/>
      <c r="AD162" s="378"/>
    </row>
    <row r="163" spans="1:30" s="345" customFormat="1">
      <c r="A163" s="187"/>
      <c r="B163" s="187"/>
      <c r="C163" s="188" t="s">
        <v>200</v>
      </c>
      <c r="D163" s="198" t="s">
        <v>122</v>
      </c>
      <c r="E163" s="305"/>
      <c r="F163" s="305"/>
      <c r="G163" s="305"/>
      <c r="H163" s="428" t="str">
        <f>IFERROR(H159/H162,"NA")</f>
        <v>NA</v>
      </c>
      <c r="I163" s="428" t="str">
        <f t="shared" ref="I163:K163" si="358">IFERROR(I159/I162,"NA")</f>
        <v>NA</v>
      </c>
      <c r="J163" s="428" t="str">
        <f t="shared" si="358"/>
        <v>NA</v>
      </c>
      <c r="K163" s="428">
        <f t="shared" si="358"/>
        <v>0</v>
      </c>
      <c r="L163" s="462">
        <f t="shared" ref="L163:M163" si="359">L159/L162</f>
        <v>3.1628391428180909E-3</v>
      </c>
      <c r="M163" s="462">
        <f t="shared" si="359"/>
        <v>7.3541144882993258E-4</v>
      </c>
      <c r="N163" s="462">
        <f t="shared" ref="N163:P163" si="360">N159/N162</f>
        <v>1.7358587370131257E-2</v>
      </c>
      <c r="O163" s="462">
        <f t="shared" si="360"/>
        <v>3.1710877334272913E-2</v>
      </c>
      <c r="P163" s="517">
        <f t="shared" si="360"/>
        <v>2.1658579620644026E-2</v>
      </c>
      <c r="Q163" s="306">
        <f t="shared" ref="Q163:Y163" si="361">P163</f>
        <v>2.1658579620644026E-2</v>
      </c>
      <c r="R163" s="306">
        <f t="shared" si="361"/>
        <v>2.1658579620644026E-2</v>
      </c>
      <c r="S163" s="306">
        <f t="shared" si="361"/>
        <v>2.1658579620644026E-2</v>
      </c>
      <c r="T163" s="306">
        <f t="shared" si="361"/>
        <v>2.1658579620644026E-2</v>
      </c>
      <c r="U163" s="306">
        <f t="shared" si="361"/>
        <v>2.1658579620644026E-2</v>
      </c>
      <c r="V163" s="306">
        <f t="shared" si="361"/>
        <v>2.1658579620644026E-2</v>
      </c>
      <c r="W163" s="306">
        <f t="shared" si="361"/>
        <v>2.1658579620644026E-2</v>
      </c>
      <c r="X163" s="306">
        <f t="shared" si="361"/>
        <v>2.1658579620644026E-2</v>
      </c>
      <c r="Y163" s="306">
        <f t="shared" si="361"/>
        <v>2.1658579620644026E-2</v>
      </c>
      <c r="Z163" s="247"/>
      <c r="AA163" s="187"/>
    </row>
    <row r="164" spans="1:30" s="345" customFormat="1">
      <c r="A164" s="187"/>
      <c r="B164" s="187"/>
      <c r="C164" s="188"/>
      <c r="D164" s="198"/>
      <c r="E164" s="305"/>
      <c r="F164" s="305"/>
      <c r="G164" s="305"/>
      <c r="H164" s="305"/>
      <c r="I164" s="305"/>
      <c r="J164" s="462"/>
      <c r="K164" s="508"/>
      <c r="L164" s="508"/>
      <c r="M164" s="508"/>
      <c r="N164" s="508"/>
      <c r="O164" s="508"/>
      <c r="P164" s="472"/>
      <c r="Q164" s="306"/>
      <c r="R164" s="306"/>
      <c r="S164" s="306"/>
      <c r="T164" s="306"/>
      <c r="U164" s="306"/>
      <c r="V164" s="306"/>
      <c r="W164" s="306"/>
      <c r="X164" s="306"/>
      <c r="Y164" s="306"/>
      <c r="Z164" s="247"/>
      <c r="AA164" s="187"/>
    </row>
    <row r="165" spans="1:30" s="370" customFormat="1">
      <c r="A165" s="202"/>
      <c r="B165" s="202"/>
      <c r="C165" s="307" t="s">
        <v>133</v>
      </c>
      <c r="D165" s="165" t="s">
        <v>256</v>
      </c>
      <c r="E165" s="308"/>
      <c r="F165" s="308"/>
      <c r="G165" s="308"/>
      <c r="H165" s="308">
        <v>0</v>
      </c>
      <c r="I165" s="308">
        <v>0</v>
      </c>
      <c r="J165" s="308">
        <v>0</v>
      </c>
      <c r="K165" s="509">
        <v>0</v>
      </c>
      <c r="L165" s="509">
        <f>-1.157*(365/507)</f>
        <v>-0.83294871794871794</v>
      </c>
      <c r="M165" s="509">
        <v>-1.6919999999999999</v>
      </c>
      <c r="N165" s="509">
        <f>-0.206-0.502</f>
        <v>-0.70799999999999996</v>
      </c>
      <c r="O165" s="509">
        <f>-0.103-0.141</f>
        <v>-0.24399999999999999</v>
      </c>
      <c r="P165" s="518">
        <f>-0.283-0.223</f>
        <v>-0.50600000000000001</v>
      </c>
      <c r="Q165" s="226">
        <f t="shared" ref="Q165:Y165" si="362">P165</f>
        <v>-0.50600000000000001</v>
      </c>
      <c r="R165" s="226">
        <f t="shared" si="362"/>
        <v>-0.50600000000000001</v>
      </c>
      <c r="S165" s="226">
        <f t="shared" si="362"/>
        <v>-0.50600000000000001</v>
      </c>
      <c r="T165" s="226">
        <f t="shared" si="362"/>
        <v>-0.50600000000000001</v>
      </c>
      <c r="U165" s="226">
        <f t="shared" si="362"/>
        <v>-0.50600000000000001</v>
      </c>
      <c r="V165" s="226">
        <f t="shared" si="362"/>
        <v>-0.50600000000000001</v>
      </c>
      <c r="W165" s="226">
        <f t="shared" si="362"/>
        <v>-0.50600000000000001</v>
      </c>
      <c r="X165" s="226">
        <f t="shared" si="362"/>
        <v>-0.50600000000000001</v>
      </c>
      <c r="Y165" s="226">
        <f t="shared" si="362"/>
        <v>-0.50600000000000001</v>
      </c>
      <c r="Z165" s="273"/>
      <c r="AA165" s="202"/>
    </row>
    <row r="166" spans="1:30">
      <c r="C166" s="1" t="s">
        <v>219</v>
      </c>
      <c r="D166" s="164" t="s">
        <v>256</v>
      </c>
      <c r="E166" s="6"/>
      <c r="F166" s="6"/>
      <c r="G166" s="6"/>
      <c r="H166" s="6">
        <f>'4. Balance Sheet'!G27+'4. Balance Sheet'!G32</f>
        <v>0</v>
      </c>
      <c r="I166" s="6">
        <f>'4. Balance Sheet'!H27+'4. Balance Sheet'!H32</f>
        <v>0</v>
      </c>
      <c r="J166" s="180">
        <f>'4. Balance Sheet'!I27+'4. Balance Sheet'!I32</f>
        <v>0</v>
      </c>
      <c r="K166" s="180">
        <f>'4. Balance Sheet'!J27+'4. Balance Sheet'!J32</f>
        <v>0</v>
      </c>
      <c r="L166" s="180">
        <f>'4. Balance Sheet'!K27+'4. Balance Sheet'!K32</f>
        <v>0</v>
      </c>
      <c r="M166" s="180">
        <f>'4. Balance Sheet'!L27+'4. Balance Sheet'!L32</f>
        <v>0</v>
      </c>
      <c r="N166" s="180">
        <f>'4. Balance Sheet'!M27+'4. Balance Sheet'!M32</f>
        <v>0</v>
      </c>
      <c r="O166" s="180">
        <f>'4. Balance Sheet'!N27+'4. Balance Sheet'!N32</f>
        <v>0</v>
      </c>
      <c r="P166" s="217">
        <f>'4. Balance Sheet'!O27+'4. Balance Sheet'!O32</f>
        <v>0</v>
      </c>
      <c r="Q166" s="180">
        <f>'4. Balance Sheet'!P27+'4. Balance Sheet'!P32</f>
        <v>0</v>
      </c>
      <c r="R166" s="180">
        <f>'4. Balance Sheet'!Q27+'4. Balance Sheet'!Q32</f>
        <v>0</v>
      </c>
      <c r="S166" s="180">
        <f>'4. Balance Sheet'!R27+'4. Balance Sheet'!R32</f>
        <v>0</v>
      </c>
      <c r="T166" s="180">
        <f>'4. Balance Sheet'!S27+'4. Balance Sheet'!S32</f>
        <v>0</v>
      </c>
      <c r="U166" s="180">
        <f>'4. Balance Sheet'!T27+'4. Balance Sheet'!T32</f>
        <v>0</v>
      </c>
      <c r="V166" s="180">
        <f>'4. Balance Sheet'!U27+'4. Balance Sheet'!U32</f>
        <v>0</v>
      </c>
      <c r="W166" s="180">
        <f>'4. Balance Sheet'!V27+'4. Balance Sheet'!V32</f>
        <v>0</v>
      </c>
      <c r="X166" s="180">
        <f>'4. Balance Sheet'!W27+'4. Balance Sheet'!W32</f>
        <v>0</v>
      </c>
      <c r="Y166" s="180">
        <f>'4. Balance Sheet'!X27+'4. Balance Sheet'!X32</f>
        <v>0</v>
      </c>
      <c r="Z166" s="247"/>
      <c r="AA166" s="1"/>
      <c r="AB166" s="378"/>
      <c r="AC166" s="378"/>
      <c r="AD166" s="378"/>
    </row>
    <row r="167" spans="1:30">
      <c r="C167" s="1" t="s">
        <v>220</v>
      </c>
      <c r="D167" s="164" t="s">
        <v>256</v>
      </c>
      <c r="E167" s="367"/>
      <c r="F167" s="367"/>
      <c r="G167" s="367"/>
      <c r="H167" s="367">
        <f t="shared" ref="H167:J167" si="363">AVERAGE(G166:H166)</f>
        <v>0</v>
      </c>
      <c r="I167" s="367">
        <f t="shared" si="363"/>
        <v>0</v>
      </c>
      <c r="J167" s="367">
        <f t="shared" si="363"/>
        <v>0</v>
      </c>
      <c r="K167" s="367">
        <f>AVERAGE(J166:K166)</f>
        <v>0</v>
      </c>
      <c r="L167" s="367">
        <f>AVERAGE(K166:L166)</f>
        <v>0</v>
      </c>
      <c r="M167" s="367">
        <f>AVERAGE(L166:M166)</f>
        <v>0</v>
      </c>
      <c r="N167" s="367">
        <f>AVERAGE(M166:N166)</f>
        <v>0</v>
      </c>
      <c r="O167" s="367">
        <f>AVERAGE(N166:O166)</f>
        <v>0</v>
      </c>
      <c r="P167" s="258">
        <f t="shared" ref="P167:T167" si="364">P166</f>
        <v>0</v>
      </c>
      <c r="Q167" s="49">
        <f t="shared" si="364"/>
        <v>0</v>
      </c>
      <c r="R167" s="49">
        <f t="shared" si="364"/>
        <v>0</v>
      </c>
      <c r="S167" s="49">
        <f t="shared" si="364"/>
        <v>0</v>
      </c>
      <c r="T167" s="49">
        <f t="shared" si="364"/>
        <v>0</v>
      </c>
      <c r="U167" s="49">
        <f>U166</f>
        <v>0</v>
      </c>
      <c r="V167" s="49">
        <f>V166</f>
        <v>0</v>
      </c>
      <c r="W167" s="49">
        <f>W166</f>
        <v>0</v>
      </c>
      <c r="X167" s="49">
        <f>X166</f>
        <v>0</v>
      </c>
      <c r="Y167" s="49">
        <f>Y166</f>
        <v>0</v>
      </c>
      <c r="Z167" s="247"/>
      <c r="AA167" s="1"/>
      <c r="AB167" s="378"/>
      <c r="AC167" s="378"/>
      <c r="AD167" s="378"/>
    </row>
    <row r="168" spans="1:30" s="345" customFormat="1">
      <c r="A168" s="187"/>
      <c r="B168" s="187"/>
      <c r="C168" s="188" t="s">
        <v>200</v>
      </c>
      <c r="D168" s="198" t="s">
        <v>122</v>
      </c>
      <c r="E168" s="305"/>
      <c r="F168" s="305"/>
      <c r="G168" s="305"/>
      <c r="H168" s="428" t="str">
        <f>IFERROR(H165/H167,"NA")</f>
        <v>NA</v>
      </c>
      <c r="I168" s="428" t="str">
        <f t="shared" ref="I168:K168" si="365">IFERROR(I165/I167,"NA")</f>
        <v>NA</v>
      </c>
      <c r="J168" s="428" t="str">
        <f t="shared" si="365"/>
        <v>NA</v>
      </c>
      <c r="K168" s="428" t="str">
        <f t="shared" si="365"/>
        <v>NA</v>
      </c>
      <c r="L168" s="655" t="str">
        <f>IFERROR(L165/L167,"N.A.")</f>
        <v>N.A.</v>
      </c>
      <c r="M168" s="655" t="str">
        <f>IFERROR(M165/M167,"N.A.")</f>
        <v>N.A.</v>
      </c>
      <c r="N168" s="655" t="str">
        <f>IFERROR(N165/N167,"N.A.")</f>
        <v>N.A.</v>
      </c>
      <c r="O168" s="655" t="str">
        <f>IFERROR(O165/O167,"N.A.")</f>
        <v>N.A.</v>
      </c>
      <c r="P168" s="519" t="str">
        <f t="shared" ref="P168:V168" si="366">IFERROR(P165/P167,"N.A.")</f>
        <v>N.A.</v>
      </c>
      <c r="Q168" s="306" t="str">
        <f t="shared" si="366"/>
        <v>N.A.</v>
      </c>
      <c r="R168" s="306" t="str">
        <f t="shared" si="366"/>
        <v>N.A.</v>
      </c>
      <c r="S168" s="306" t="str">
        <f t="shared" si="366"/>
        <v>N.A.</v>
      </c>
      <c r="T168" s="306" t="str">
        <f t="shared" si="366"/>
        <v>N.A.</v>
      </c>
      <c r="U168" s="306" t="str">
        <f t="shared" si="366"/>
        <v>N.A.</v>
      </c>
      <c r="V168" s="306" t="str">
        <f t="shared" si="366"/>
        <v>N.A.</v>
      </c>
      <c r="W168" s="306" t="str">
        <f t="shared" ref="W168" si="367">IFERROR(W165/W167,"N.A.")</f>
        <v>N.A.</v>
      </c>
      <c r="X168" s="306" t="str">
        <f t="shared" ref="X168" si="368">IFERROR(X165/X167,"N.A.")</f>
        <v>N.A.</v>
      </c>
      <c r="Y168" s="306" t="str">
        <f t="shared" ref="Y168" si="369">IFERROR(Y165/Y167,"N.A.")</f>
        <v>N.A.</v>
      </c>
      <c r="Z168" s="247"/>
      <c r="AA168" s="187"/>
    </row>
    <row r="169" spans="1:30">
      <c r="C169" s="40"/>
      <c r="D169" s="27"/>
      <c r="Q169" s="71"/>
      <c r="R169" s="71"/>
      <c r="S169" s="71"/>
      <c r="T169" s="71"/>
      <c r="U169" s="71"/>
      <c r="V169" s="71"/>
      <c r="W169" s="71"/>
      <c r="X169" s="71"/>
      <c r="Y169" s="71"/>
      <c r="Z169" s="247"/>
      <c r="AA169" s="1"/>
      <c r="AB169" s="378"/>
      <c r="AC169" s="378"/>
      <c r="AD169" s="378"/>
    </row>
    <row r="170" spans="1:30">
      <c r="C170" s="373" t="s">
        <v>134</v>
      </c>
      <c r="D170" s="425" t="s">
        <v>256</v>
      </c>
      <c r="E170" s="374"/>
      <c r="F170" s="374"/>
      <c r="G170" s="374"/>
      <c r="H170" s="426">
        <f t="shared" ref="H170:J170" si="370">H165-H159</f>
        <v>0</v>
      </c>
      <c r="I170" s="426">
        <f t="shared" si="370"/>
        <v>0</v>
      </c>
      <c r="J170" s="426">
        <f t="shared" si="370"/>
        <v>0</v>
      </c>
      <c r="K170" s="427">
        <f t="shared" ref="K170" si="371">K165-K160</f>
        <v>0</v>
      </c>
      <c r="L170" s="427">
        <f>L165-L160</f>
        <v>-1.2001084812623275</v>
      </c>
      <c r="M170" s="427">
        <f>M165-M160</f>
        <v>-1.7449999999999999</v>
      </c>
      <c r="N170" s="427">
        <f>N160+N165</f>
        <v>0.10400000000000009</v>
      </c>
      <c r="O170" s="427">
        <f>O160+O165</f>
        <v>1.331</v>
      </c>
      <c r="P170" s="473">
        <f>P160+P165</f>
        <v>0.96700000000000008</v>
      </c>
      <c r="Q170" s="427">
        <f t="shared" ref="Q170:X170" si="372">Q160+Q165</f>
        <v>1.73865065332853</v>
      </c>
      <c r="R170" s="427">
        <f t="shared" si="372"/>
        <v>2.8021074691064971</v>
      </c>
      <c r="S170" s="427">
        <f t="shared" si="372"/>
        <v>4.1892226348220198</v>
      </c>
      <c r="T170" s="427">
        <f t="shared" si="372"/>
        <v>5.9927046534720363</v>
      </c>
      <c r="U170" s="427">
        <f t="shared" si="372"/>
        <v>8.1135677693756527</v>
      </c>
      <c r="V170" s="427">
        <f t="shared" si="372"/>
        <v>10.561981091835333</v>
      </c>
      <c r="W170" s="427">
        <f t="shared" si="372"/>
        <v>13.367441407940529</v>
      </c>
      <c r="X170" s="427">
        <f t="shared" si="372"/>
        <v>16.554648938912862</v>
      </c>
      <c r="Y170" s="427">
        <f t="shared" ref="Y170" si="373">Y160+Y165</f>
        <v>20.146903926054453</v>
      </c>
      <c r="AA170" s="1"/>
      <c r="AB170" s="378"/>
      <c r="AC170" s="378"/>
      <c r="AD170" s="378"/>
    </row>
    <row r="171" spans="1:30">
      <c r="D171" s="164"/>
      <c r="E171" s="6"/>
      <c r="F171" s="6"/>
      <c r="G171" s="6"/>
      <c r="H171" s="180"/>
      <c r="I171" s="180"/>
      <c r="J171" s="180"/>
      <c r="K171" s="367"/>
      <c r="L171" s="36"/>
      <c r="M171" s="36"/>
      <c r="N171" s="36"/>
      <c r="O171" s="36"/>
      <c r="P171" s="510"/>
      <c r="Q171" s="36"/>
      <c r="R171" s="36"/>
      <c r="S171" s="36"/>
      <c r="T171" s="36"/>
      <c r="U171" s="36"/>
      <c r="V171" s="36"/>
      <c r="W171" s="36"/>
      <c r="X171" s="36"/>
      <c r="Y171" s="36"/>
      <c r="AA171" s="1"/>
      <c r="AB171" s="378"/>
      <c r="AC171" s="378"/>
      <c r="AD171" s="378"/>
    </row>
    <row r="172" spans="1:30" s="370" customFormat="1">
      <c r="A172" s="202"/>
      <c r="B172" s="202"/>
      <c r="C172" s="307" t="s">
        <v>265</v>
      </c>
      <c r="D172" s="165" t="s">
        <v>256</v>
      </c>
      <c r="E172" s="309"/>
      <c r="F172" s="309"/>
      <c r="G172" s="309"/>
      <c r="H172" s="309">
        <v>-5.3999999999999999E-2</v>
      </c>
      <c r="I172" s="309">
        <v>-0.25700000000000001</v>
      </c>
      <c r="J172" s="309">
        <v>-0.27600000000000002</v>
      </c>
      <c r="K172" s="509">
        <f>-0.307*2</f>
        <v>-0.61399999999999999</v>
      </c>
      <c r="L172" s="509">
        <f>'2. Income'!K36--28.2</f>
        <v>-3.8207930448223557</v>
      </c>
      <c r="M172" s="509">
        <v>-1.474</v>
      </c>
      <c r="N172" s="509">
        <v>1.581</v>
      </c>
      <c r="O172" s="509">
        <v>2.2029999999999998</v>
      </c>
      <c r="P172" s="518">
        <v>4.8019999999999996</v>
      </c>
      <c r="Q172" s="226">
        <f t="shared" ref="Q172:T172" si="374">Q174*Q173</f>
        <v>3.4911403431946026</v>
      </c>
      <c r="R172" s="226">
        <f t="shared" si="374"/>
        <v>5.6702780276227758</v>
      </c>
      <c r="S172" s="226">
        <f t="shared" si="374"/>
        <v>8.8624934935777606</v>
      </c>
      <c r="T172" s="226">
        <f t="shared" si="374"/>
        <v>12.423350587097767</v>
      </c>
      <c r="U172" s="226">
        <f>U174*U173</f>
        <v>16.317034480310873</v>
      </c>
      <c r="V172" s="226">
        <f>V174*V173</f>
        <v>20.307507307400144</v>
      </c>
      <c r="W172" s="226">
        <f>W174*W173</f>
        <v>24.429989709790089</v>
      </c>
      <c r="X172" s="226">
        <f>X174*X173</f>
        <v>28.714204622076092</v>
      </c>
      <c r="Y172" s="226">
        <f>Y174*Y173</f>
        <v>33.18609964056688</v>
      </c>
      <c r="Z172" s="273"/>
      <c r="AA172" s="202"/>
    </row>
    <row r="173" spans="1:30" s="345" customFormat="1">
      <c r="A173" s="187"/>
      <c r="B173" s="187"/>
      <c r="C173" s="53" t="s">
        <v>199</v>
      </c>
      <c r="D173" s="164" t="s">
        <v>256</v>
      </c>
      <c r="E173" s="235"/>
      <c r="F173" s="235"/>
      <c r="G173" s="235"/>
      <c r="H173" s="235">
        <f>'2. Income'!G36</f>
        <v>-0.31900000000000001</v>
      </c>
      <c r="I173" s="235">
        <f>'2. Income'!H36</f>
        <v>-1.5130000000000001</v>
      </c>
      <c r="J173" s="235">
        <f>'2. Income'!I36</f>
        <v>-2.7879999999999998</v>
      </c>
      <c r="K173" s="235">
        <f>'2. Income'!J36</f>
        <v>-3.5799999999999996</v>
      </c>
      <c r="L173" s="235">
        <f>'2. Income'!K36</f>
        <v>-32.020793044822355</v>
      </c>
      <c r="M173" s="235">
        <f>'2. Income'!L36</f>
        <v>-28.3</v>
      </c>
      <c r="N173" s="235">
        <f>'2. Income'!M36</f>
        <v>-13.796999999999997</v>
      </c>
      <c r="O173" s="235">
        <f>'2. Income'!N36</f>
        <v>-2.1689999999999929</v>
      </c>
      <c r="P173" s="515">
        <f>'2. Income'!O36</f>
        <v>11.205936122448984</v>
      </c>
      <c r="Q173" s="223">
        <f>'2. Income'!P36</f>
        <v>20.536119665850602</v>
      </c>
      <c r="R173" s="223">
        <f>'2. Income'!Q36</f>
        <v>33.354576633075148</v>
      </c>
      <c r="S173" s="223">
        <f>'2. Income'!R36</f>
        <v>52.13231466810447</v>
      </c>
      <c r="T173" s="223">
        <f>'2. Income'!S36</f>
        <v>73.078532865280977</v>
      </c>
      <c r="U173" s="223">
        <f>'2. Income'!T36</f>
        <v>95.982555766534546</v>
      </c>
      <c r="V173" s="223">
        <f>'2. Income'!U36</f>
        <v>119.4559253376479</v>
      </c>
      <c r="W173" s="223">
        <f>'2. Income'!V36</f>
        <v>143.70582182229464</v>
      </c>
      <c r="X173" s="223">
        <f>'2. Income'!W36</f>
        <v>168.90708601221229</v>
      </c>
      <c r="Y173" s="223">
        <f>'2. Income'!X36</f>
        <v>195.21235082686397</v>
      </c>
      <c r="Z173" s="245"/>
      <c r="AA173" s="187"/>
    </row>
    <row r="174" spans="1:30">
      <c r="C174" s="53" t="s">
        <v>135</v>
      </c>
      <c r="D174" s="166" t="s">
        <v>122</v>
      </c>
      <c r="E174" s="154"/>
      <c r="F174" s="154"/>
      <c r="G174" s="154"/>
      <c r="H174" s="158">
        <f t="shared" ref="H174:J174" si="375">H172/H173</f>
        <v>0.16927899686520376</v>
      </c>
      <c r="I174" s="158">
        <f t="shared" si="375"/>
        <v>0.16986120290812953</v>
      </c>
      <c r="J174" s="158">
        <f t="shared" si="375"/>
        <v>9.8995695839311351E-2</v>
      </c>
      <c r="K174" s="158">
        <f>K172/K173</f>
        <v>0.17150837988826817</v>
      </c>
      <c r="L174" s="158">
        <f>L172/L173</f>
        <v>0.11932224912337591</v>
      </c>
      <c r="M174" s="158">
        <f>M172/M173</f>
        <v>5.2084805653710244E-2</v>
      </c>
      <c r="N174" s="158">
        <f>N172/N173</f>
        <v>-0.11459012828875845</v>
      </c>
      <c r="O174" s="158">
        <f>O172/O173</f>
        <v>-1.0156754264638115</v>
      </c>
      <c r="P174" s="798">
        <v>0.3</v>
      </c>
      <c r="Q174" s="310">
        <v>0.17</v>
      </c>
      <c r="R174" s="310">
        <v>0.17</v>
      </c>
      <c r="S174" s="310">
        <v>0.17</v>
      </c>
      <c r="T174" s="310">
        <f t="shared" ref="T174:Y174" si="376">S174</f>
        <v>0.17</v>
      </c>
      <c r="U174" s="310">
        <f t="shared" si="376"/>
        <v>0.17</v>
      </c>
      <c r="V174" s="310">
        <f t="shared" si="376"/>
        <v>0.17</v>
      </c>
      <c r="W174" s="310">
        <f t="shared" si="376"/>
        <v>0.17</v>
      </c>
      <c r="X174" s="310">
        <f t="shared" si="376"/>
        <v>0.17</v>
      </c>
      <c r="Y174" s="310">
        <f t="shared" si="376"/>
        <v>0.17</v>
      </c>
      <c r="AA174" s="1"/>
      <c r="AB174" s="378"/>
      <c r="AC174" s="378"/>
      <c r="AD174" s="378"/>
    </row>
    <row r="175" spans="1:30">
      <c r="C175" s="53"/>
      <c r="D175" s="166"/>
      <c r="E175" s="154"/>
      <c r="F175" s="154"/>
      <c r="G175" s="154"/>
      <c r="H175" s="158"/>
      <c r="I175" s="158"/>
      <c r="J175" s="158"/>
      <c r="K175" s="310"/>
      <c r="L175" s="310"/>
      <c r="M175" s="310"/>
      <c r="N175" s="310"/>
      <c r="O175" s="310"/>
      <c r="P175" s="474"/>
      <c r="Q175" s="310"/>
      <c r="R175" s="310"/>
      <c r="S175" s="310"/>
      <c r="T175" s="310"/>
      <c r="U175" s="310"/>
      <c r="V175" s="310"/>
      <c r="W175" s="310"/>
      <c r="X175" s="310"/>
      <c r="Y175" s="310"/>
      <c r="AA175" s="1"/>
      <c r="AB175" s="378"/>
      <c r="AC175" s="378"/>
      <c r="AD175" s="378"/>
    </row>
    <row r="176" spans="1:30">
      <c r="C176" s="53" t="s">
        <v>136</v>
      </c>
      <c r="D176" s="166" t="s">
        <v>122</v>
      </c>
      <c r="E176" s="158"/>
      <c r="F176" s="158"/>
      <c r="G176" s="158"/>
      <c r="H176" s="158"/>
      <c r="I176" s="158"/>
      <c r="J176" s="158"/>
      <c r="K176" s="158"/>
      <c r="L176" s="158">
        <f t="shared" ref="L176:M176" si="377">L178/L184</f>
        <v>0</v>
      </c>
      <c r="M176" s="158">
        <f t="shared" si="377"/>
        <v>0</v>
      </c>
      <c r="N176" s="158">
        <f t="shared" ref="N176:O176" si="378">N178/N184</f>
        <v>0</v>
      </c>
      <c r="O176" s="158">
        <f t="shared" si="378"/>
        <v>0</v>
      </c>
      <c r="P176" s="798">
        <f t="shared" ref="P176:Y176" si="379">O176</f>
        <v>0</v>
      </c>
      <c r="Q176" s="228">
        <f t="shared" si="379"/>
        <v>0</v>
      </c>
      <c r="R176" s="228">
        <f t="shared" si="379"/>
        <v>0</v>
      </c>
      <c r="S176" s="228">
        <f t="shared" si="379"/>
        <v>0</v>
      </c>
      <c r="T176" s="228">
        <f t="shared" si="379"/>
        <v>0</v>
      </c>
      <c r="U176" s="228">
        <f t="shared" si="379"/>
        <v>0</v>
      </c>
      <c r="V176" s="228">
        <f t="shared" si="379"/>
        <v>0</v>
      </c>
      <c r="W176" s="228">
        <f t="shared" si="379"/>
        <v>0</v>
      </c>
      <c r="X176" s="228">
        <f t="shared" si="379"/>
        <v>0</v>
      </c>
      <c r="Y176" s="228">
        <f t="shared" si="379"/>
        <v>0</v>
      </c>
      <c r="Z176" s="275"/>
      <c r="AA176" s="1"/>
      <c r="AB176" s="378"/>
      <c r="AC176" s="378"/>
      <c r="AD176" s="378"/>
    </row>
    <row r="177" spans="1:30">
      <c r="D177" s="164"/>
      <c r="E177" s="6"/>
      <c r="F177" s="6"/>
      <c r="G177" s="6"/>
      <c r="H177" s="180"/>
      <c r="I177" s="180"/>
      <c r="J177" s="180"/>
      <c r="K177" s="367"/>
      <c r="L177" s="36"/>
      <c r="M177" s="36"/>
      <c r="N177" s="36"/>
      <c r="O177" s="36"/>
      <c r="P177" s="510"/>
      <c r="Q177" s="36"/>
      <c r="R177" s="36"/>
      <c r="S177" s="36"/>
      <c r="T177" s="36"/>
      <c r="U177" s="36"/>
      <c r="V177" s="36"/>
      <c r="W177" s="36"/>
      <c r="X177" s="36"/>
      <c r="Y177" s="36"/>
      <c r="AA177" s="1"/>
      <c r="AB177" s="378"/>
      <c r="AC177" s="378"/>
      <c r="AD177" s="378"/>
    </row>
    <row r="178" spans="1:30" s="370" customFormat="1">
      <c r="A178" s="202"/>
      <c r="B178" s="202"/>
      <c r="C178" s="311" t="s">
        <v>137</v>
      </c>
      <c r="D178" s="204" t="s">
        <v>138</v>
      </c>
      <c r="E178" s="277"/>
      <c r="F178" s="277"/>
      <c r="G178" s="277"/>
      <c r="H178" s="288">
        <f t="shared" ref="H178:J178" si="380">H179+H180</f>
        <v>0</v>
      </c>
      <c r="I178" s="288">
        <f t="shared" si="380"/>
        <v>0</v>
      </c>
      <c r="J178" s="288">
        <f t="shared" si="380"/>
        <v>0</v>
      </c>
      <c r="K178" s="226">
        <f>K179+K180</f>
        <v>0</v>
      </c>
      <c r="L178" s="226">
        <f>L179+L180</f>
        <v>0</v>
      </c>
      <c r="M178" s="226">
        <f>M179+M180</f>
        <v>0</v>
      </c>
      <c r="N178" s="226">
        <f>N179+N180</f>
        <v>0</v>
      </c>
      <c r="O178" s="226">
        <f>O179+O180</f>
        <v>0</v>
      </c>
      <c r="P178" s="270">
        <f>P176*'2. Income'!O45</f>
        <v>0</v>
      </c>
      <c r="Q178" s="226">
        <f>Q176*'2. Income'!P45</f>
        <v>0</v>
      </c>
      <c r="R178" s="226">
        <f>R176*'2. Income'!Q45</f>
        <v>0</v>
      </c>
      <c r="S178" s="226">
        <f>S176*'2. Income'!R45</f>
        <v>0</v>
      </c>
      <c r="T178" s="226">
        <f>T176*'2. Income'!S45</f>
        <v>0</v>
      </c>
      <c r="U178" s="226">
        <f>U176*'2. Income'!T45</f>
        <v>0</v>
      </c>
      <c r="V178" s="226">
        <f>V176*'2. Income'!U45</f>
        <v>0</v>
      </c>
      <c r="W178" s="226">
        <f>W176*'2. Income'!V45</f>
        <v>0</v>
      </c>
      <c r="X178" s="226">
        <f>X176*'2. Income'!W45</f>
        <v>0</v>
      </c>
      <c r="Y178" s="226">
        <f>Y176*'2. Income'!X45</f>
        <v>0</v>
      </c>
      <c r="Z178" s="273"/>
      <c r="AA178" s="202"/>
    </row>
    <row r="179" spans="1:30">
      <c r="C179" s="1" t="s">
        <v>139</v>
      </c>
      <c r="D179" s="2" t="s">
        <v>138</v>
      </c>
      <c r="E179" s="192"/>
      <c r="F179" s="192"/>
      <c r="G179" s="192"/>
      <c r="H179" s="208">
        <v>0</v>
      </c>
      <c r="I179" s="208">
        <v>0</v>
      </c>
      <c r="J179" s="208">
        <v>0</v>
      </c>
      <c r="K179" s="507">
        <v>0</v>
      </c>
      <c r="L179" s="507">
        <v>0</v>
      </c>
      <c r="M179" s="507">
        <v>0</v>
      </c>
      <c r="N179" s="507">
        <v>0</v>
      </c>
      <c r="O179" s="507">
        <v>0</v>
      </c>
      <c r="P179" s="514">
        <f t="shared" ref="P179:T179" si="381">50%*P178</f>
        <v>0</v>
      </c>
      <c r="Q179" s="36">
        <f t="shared" si="381"/>
        <v>0</v>
      </c>
      <c r="R179" s="36">
        <f t="shared" si="381"/>
        <v>0</v>
      </c>
      <c r="S179" s="36">
        <f t="shared" si="381"/>
        <v>0</v>
      </c>
      <c r="T179" s="36">
        <f t="shared" si="381"/>
        <v>0</v>
      </c>
      <c r="U179" s="36">
        <f>50%*U178</f>
        <v>0</v>
      </c>
      <c r="V179" s="36">
        <f>50%*V178</f>
        <v>0</v>
      </c>
      <c r="W179" s="36">
        <f>50%*W178</f>
        <v>0</v>
      </c>
      <c r="X179" s="36">
        <f>50%*X178</f>
        <v>0</v>
      </c>
      <c r="Y179" s="36">
        <f>50%*Y178</f>
        <v>0</v>
      </c>
      <c r="AA179" s="1"/>
      <c r="AB179" s="378"/>
      <c r="AC179" s="378"/>
      <c r="AD179" s="378"/>
    </row>
    <row r="180" spans="1:30">
      <c r="C180" s="1" t="s">
        <v>140</v>
      </c>
      <c r="D180" s="2" t="s">
        <v>138</v>
      </c>
      <c r="E180" s="192"/>
      <c r="F180" s="192"/>
      <c r="G180" s="192"/>
      <c r="H180" s="192">
        <v>0</v>
      </c>
      <c r="I180" s="192">
        <v>0</v>
      </c>
      <c r="J180" s="208">
        <v>0</v>
      </c>
      <c r="K180" s="450">
        <v>0</v>
      </c>
      <c r="L180" s="507">
        <v>0</v>
      </c>
      <c r="M180" s="507">
        <v>0</v>
      </c>
      <c r="N180" s="507">
        <v>0</v>
      </c>
      <c r="O180" s="507">
        <v>0</v>
      </c>
      <c r="P180" s="514">
        <f t="shared" ref="P180:T180" si="382">P178-P179</f>
        <v>0</v>
      </c>
      <c r="Q180" s="36">
        <f t="shared" si="382"/>
        <v>0</v>
      </c>
      <c r="R180" s="36">
        <f t="shared" si="382"/>
        <v>0</v>
      </c>
      <c r="S180" s="36">
        <f t="shared" si="382"/>
        <v>0</v>
      </c>
      <c r="T180" s="36">
        <f t="shared" si="382"/>
        <v>0</v>
      </c>
      <c r="U180" s="36">
        <f>U178-U179</f>
        <v>0</v>
      </c>
      <c r="V180" s="36">
        <f>V178-V179</f>
        <v>0</v>
      </c>
      <c r="W180" s="36">
        <f>W178-W179</f>
        <v>0</v>
      </c>
      <c r="X180" s="36">
        <f>X178-X179</f>
        <v>0</v>
      </c>
      <c r="Y180" s="36">
        <f>Y178-Y179</f>
        <v>0</v>
      </c>
      <c r="AA180" s="1"/>
      <c r="AB180" s="378"/>
      <c r="AC180" s="378"/>
      <c r="AD180" s="378"/>
    </row>
    <row r="181" spans="1:30">
      <c r="C181" s="1" t="s">
        <v>166</v>
      </c>
      <c r="D181" s="2" t="s">
        <v>138</v>
      </c>
      <c r="E181" s="109"/>
      <c r="F181" s="109"/>
      <c r="G181" s="109"/>
      <c r="H181" s="192"/>
      <c r="L181" s="450"/>
      <c r="M181" s="450"/>
      <c r="N181" s="450"/>
      <c r="O181" s="450"/>
      <c r="P181" s="295"/>
      <c r="Q181" s="71"/>
      <c r="R181" s="71"/>
      <c r="S181" s="71"/>
      <c r="T181" s="71"/>
      <c r="U181" s="71"/>
      <c r="V181" s="71"/>
      <c r="W181" s="71"/>
      <c r="X181" s="71"/>
      <c r="Y181" s="71"/>
      <c r="Z181" s="247"/>
      <c r="AA181" s="1"/>
      <c r="AB181" s="378"/>
      <c r="AC181" s="378"/>
      <c r="AD181" s="378"/>
    </row>
    <row r="182" spans="1:30">
      <c r="C182" s="167" t="s">
        <v>141</v>
      </c>
      <c r="D182" s="166" t="s">
        <v>122</v>
      </c>
      <c r="E182" s="279"/>
      <c r="F182" s="279"/>
      <c r="G182" s="279"/>
      <c r="H182" s="279">
        <f t="shared" ref="H182:O182" si="383">G182</f>
        <v>0</v>
      </c>
      <c r="I182" s="154">
        <f t="shared" si="383"/>
        <v>0</v>
      </c>
      <c r="J182" s="158">
        <f t="shared" si="383"/>
        <v>0</v>
      </c>
      <c r="K182" s="72">
        <f t="shared" si="383"/>
        <v>0</v>
      </c>
      <c r="L182" s="72">
        <f t="shared" si="383"/>
        <v>0</v>
      </c>
      <c r="M182" s="72">
        <f t="shared" si="383"/>
        <v>0</v>
      </c>
      <c r="N182" s="72">
        <f t="shared" si="383"/>
        <v>0</v>
      </c>
      <c r="O182" s="72">
        <f t="shared" si="383"/>
        <v>0</v>
      </c>
      <c r="P182" s="475">
        <f t="shared" ref="P182:Y182" si="384">O182</f>
        <v>0</v>
      </c>
      <c r="Q182" s="229">
        <f t="shared" si="384"/>
        <v>0</v>
      </c>
      <c r="R182" s="229">
        <f t="shared" si="384"/>
        <v>0</v>
      </c>
      <c r="S182" s="229">
        <f t="shared" si="384"/>
        <v>0</v>
      </c>
      <c r="T182" s="229">
        <f t="shared" si="384"/>
        <v>0</v>
      </c>
      <c r="U182" s="229">
        <f t="shared" si="384"/>
        <v>0</v>
      </c>
      <c r="V182" s="229">
        <f t="shared" si="384"/>
        <v>0</v>
      </c>
      <c r="W182" s="229">
        <f t="shared" si="384"/>
        <v>0</v>
      </c>
      <c r="X182" s="229">
        <f t="shared" si="384"/>
        <v>0</v>
      </c>
      <c r="Y182" s="229">
        <f t="shared" si="384"/>
        <v>0</v>
      </c>
      <c r="Z182" s="247"/>
      <c r="AA182" s="1"/>
      <c r="AB182" s="378"/>
      <c r="AC182" s="378"/>
      <c r="AD182" s="378"/>
    </row>
    <row r="183" spans="1:30">
      <c r="C183" s="167"/>
      <c r="D183" s="166"/>
      <c r="E183" s="279"/>
      <c r="F183" s="279"/>
      <c r="G183" s="279"/>
      <c r="H183" s="279"/>
      <c r="I183" s="154"/>
      <c r="J183" s="158"/>
      <c r="K183" s="72"/>
      <c r="L183" s="72"/>
      <c r="M183" s="72"/>
      <c r="N183" s="72"/>
      <c r="O183" s="72"/>
      <c r="P183" s="475"/>
      <c r="Q183" s="229"/>
      <c r="R183" s="229"/>
      <c r="S183" s="229"/>
      <c r="T183" s="229"/>
      <c r="U183" s="229"/>
      <c r="V183" s="229"/>
      <c r="W183" s="229"/>
      <c r="X183" s="229"/>
      <c r="Y183" s="229"/>
      <c r="Z183" s="247"/>
      <c r="AA183" s="1"/>
      <c r="AB183" s="378"/>
      <c r="AC183" s="378"/>
      <c r="AD183" s="378"/>
    </row>
    <row r="184" spans="1:30" s="345" customFormat="1">
      <c r="A184" s="187"/>
      <c r="B184" s="187"/>
      <c r="C184" s="53" t="s">
        <v>70</v>
      </c>
      <c r="D184" s="164" t="s">
        <v>138</v>
      </c>
      <c r="E184" s="235"/>
      <c r="F184" s="235"/>
      <c r="G184" s="235"/>
      <c r="H184" s="235"/>
      <c r="I184" s="235"/>
      <c r="J184" s="235"/>
      <c r="K184" s="223"/>
      <c r="L184" s="223">
        <f>'2. Income'!K45</f>
        <v>-6.0787782631744491</v>
      </c>
      <c r="M184" s="223">
        <f>'2. Income'!L45</f>
        <v>-5.7825993429000384</v>
      </c>
      <c r="N184" s="223">
        <f>'2. Income'!M45</f>
        <v>-3.3091030869533427</v>
      </c>
      <c r="O184" s="223">
        <f>'2. Income'!N45</f>
        <v>-0.93869168433734285</v>
      </c>
      <c r="P184" s="468">
        <f>'2. Income'!O45</f>
        <v>1.3601973984816154</v>
      </c>
      <c r="Q184" s="223">
        <f>'2. Income'!P45</f>
        <v>3.6203572441293219</v>
      </c>
      <c r="R184" s="223">
        <f>'2. Income'!Q45</f>
        <v>5.8801509293512657</v>
      </c>
      <c r="S184" s="223">
        <f>'2. Income'!R45</f>
        <v>9.1905192476917641</v>
      </c>
      <c r="T184" s="223">
        <f>'2. Income'!S45</f>
        <v>12.88317365471508</v>
      </c>
      <c r="U184" s="223">
        <f>'2. Income'!T45</f>
        <v>16.920973715266229</v>
      </c>
      <c r="V184" s="223">
        <f>'2. Income'!U45</f>
        <v>21.059145139745269</v>
      </c>
      <c r="W184" s="223">
        <f>'2. Income'!V45</f>
        <v>25.334212184351944</v>
      </c>
      <c r="X184" s="223">
        <f>'2. Income'!W45</f>
        <v>29.776997912899471</v>
      </c>
      <c r="Y184" s="223">
        <f>'2. Income'!X45</f>
        <v>34.41441031505007</v>
      </c>
      <c r="Z184" s="245"/>
      <c r="AA184" s="187"/>
    </row>
    <row r="186" spans="1:30">
      <c r="C186" s="25" t="s">
        <v>142</v>
      </c>
      <c r="D186" s="21" t="s">
        <v>165</v>
      </c>
      <c r="E186" s="366"/>
      <c r="F186" s="366"/>
      <c r="G186" s="366"/>
      <c r="H186" s="366"/>
      <c r="I186" s="206"/>
      <c r="J186" s="206"/>
      <c r="K186" s="507">
        <f>L186</f>
        <v>463.90900900000003</v>
      </c>
      <c r="L186" s="507">
        <v>463.90900900000003</v>
      </c>
      <c r="M186" s="507">
        <v>463.909021</v>
      </c>
      <c r="N186" s="507">
        <v>464.71807000000001</v>
      </c>
      <c r="O186" s="507">
        <v>465.75463200000002</v>
      </c>
      <c r="P186" s="514">
        <v>467.102822</v>
      </c>
      <c r="Q186" s="49">
        <f t="shared" ref="Q186:Y186" si="385">P186</f>
        <v>467.102822</v>
      </c>
      <c r="R186" s="49">
        <f t="shared" si="385"/>
        <v>467.102822</v>
      </c>
      <c r="S186" s="49">
        <f t="shared" si="385"/>
        <v>467.102822</v>
      </c>
      <c r="T186" s="49">
        <f t="shared" si="385"/>
        <v>467.102822</v>
      </c>
      <c r="U186" s="49">
        <f t="shared" si="385"/>
        <v>467.102822</v>
      </c>
      <c r="V186" s="49">
        <f t="shared" si="385"/>
        <v>467.102822</v>
      </c>
      <c r="W186" s="49">
        <f t="shared" si="385"/>
        <v>467.102822</v>
      </c>
      <c r="X186" s="49">
        <f t="shared" si="385"/>
        <v>467.102822</v>
      </c>
      <c r="Y186" s="49">
        <f t="shared" si="385"/>
        <v>467.102822</v>
      </c>
      <c r="Z186" s="247"/>
      <c r="AA186" s="1"/>
      <c r="AB186" s="378"/>
      <c r="AC186" s="378"/>
      <c r="AD186" s="378"/>
    </row>
    <row r="187" spans="1:30">
      <c r="C187" s="25" t="s">
        <v>143</v>
      </c>
      <c r="D187" s="21" t="s">
        <v>165</v>
      </c>
      <c r="E187" s="366"/>
      <c r="F187" s="366"/>
      <c r="G187" s="366"/>
      <c r="H187" s="366"/>
      <c r="I187" s="206"/>
      <c r="J187" s="206"/>
      <c r="K187" s="507">
        <f>L187</f>
        <v>463.90900900000003</v>
      </c>
      <c r="L187" s="507">
        <f>L186</f>
        <v>463.90900900000003</v>
      </c>
      <c r="M187" s="507">
        <f>M186</f>
        <v>463.909021</v>
      </c>
      <c r="N187" s="507">
        <f>N186</f>
        <v>464.71807000000001</v>
      </c>
      <c r="O187" s="507">
        <f>O186</f>
        <v>465.75463200000002</v>
      </c>
      <c r="P187" s="514">
        <v>470.80932000000001</v>
      </c>
      <c r="Q187" s="49">
        <f t="shared" ref="Q187:Y187" si="386">P187</f>
        <v>470.80932000000001</v>
      </c>
      <c r="R187" s="49">
        <f t="shared" si="386"/>
        <v>470.80932000000001</v>
      </c>
      <c r="S187" s="49">
        <f t="shared" si="386"/>
        <v>470.80932000000001</v>
      </c>
      <c r="T187" s="49">
        <f t="shared" si="386"/>
        <v>470.80932000000001</v>
      </c>
      <c r="U187" s="49">
        <f t="shared" si="386"/>
        <v>470.80932000000001</v>
      </c>
      <c r="V187" s="49">
        <f t="shared" si="386"/>
        <v>470.80932000000001</v>
      </c>
      <c r="W187" s="49">
        <f t="shared" si="386"/>
        <v>470.80932000000001</v>
      </c>
      <c r="X187" s="49">
        <f t="shared" si="386"/>
        <v>470.80932000000001</v>
      </c>
      <c r="Y187" s="49">
        <f t="shared" si="386"/>
        <v>470.80932000000001</v>
      </c>
      <c r="Z187" s="247"/>
      <c r="AA187" s="1"/>
      <c r="AB187" s="378"/>
      <c r="AC187" s="378"/>
      <c r="AD187" s="378"/>
    </row>
    <row r="188" spans="1:30" ht="14.4" customHeight="1">
      <c r="C188" s="40"/>
      <c r="D188" s="27"/>
      <c r="Q188" s="71"/>
      <c r="R188" s="71"/>
      <c r="S188" s="71"/>
      <c r="T188" s="71"/>
      <c r="U188" s="71"/>
      <c r="V188" s="71"/>
      <c r="W188" s="71"/>
      <c r="X188" s="71"/>
      <c r="Y188" s="71"/>
      <c r="Z188" s="247"/>
      <c r="AA188" s="1"/>
      <c r="AB188" s="378"/>
      <c r="AC188" s="378"/>
      <c r="AD188" s="378"/>
    </row>
    <row r="189" spans="1:30" s="376" customFormat="1" ht="18">
      <c r="A189" s="355"/>
      <c r="B189" s="355"/>
      <c r="C189" s="711" t="s">
        <v>231</v>
      </c>
      <c r="D189" s="712"/>
      <c r="E189" s="713"/>
      <c r="F189" s="713"/>
      <c r="G189" s="713"/>
      <c r="H189" s="713"/>
      <c r="I189" s="713"/>
      <c r="J189" s="714"/>
      <c r="K189" s="715"/>
      <c r="L189" s="715"/>
      <c r="M189" s="715"/>
      <c r="N189" s="715"/>
      <c r="O189" s="715"/>
      <c r="P189" s="716"/>
      <c r="Q189" s="717"/>
      <c r="R189" s="717"/>
      <c r="S189" s="717"/>
      <c r="T189" s="717"/>
      <c r="U189" s="717"/>
      <c r="V189" s="717"/>
      <c r="W189" s="717"/>
      <c r="X189" s="717"/>
      <c r="Y189" s="717"/>
      <c r="Z189" s="718"/>
      <c r="AA189" s="356"/>
      <c r="AB189" s="377"/>
      <c r="AC189" s="377"/>
      <c r="AD189" s="377"/>
    </row>
    <row r="190" spans="1:30">
      <c r="C190" s="40"/>
      <c r="D190" s="27"/>
      <c r="AA190" s="1"/>
      <c r="AB190" s="378"/>
      <c r="AC190" s="378"/>
      <c r="AD190" s="378"/>
    </row>
    <row r="191" spans="1:30">
      <c r="C191" s="25" t="s">
        <v>234</v>
      </c>
      <c r="D191" s="198" t="s">
        <v>256</v>
      </c>
      <c r="E191" s="6"/>
      <c r="F191" s="6"/>
      <c r="G191" s="6"/>
      <c r="H191" s="6"/>
      <c r="I191" s="6"/>
      <c r="J191" s="180"/>
      <c r="K191" s="180">
        <f>'4. Balance Sheet'!J8</f>
        <v>6.5110000000000001</v>
      </c>
      <c r="L191" s="180">
        <f>'4. Balance Sheet'!K8</f>
        <v>6.9889999999999999</v>
      </c>
      <c r="M191" s="180">
        <f>'4. Balance Sheet'!L8</f>
        <v>5.61</v>
      </c>
      <c r="N191" s="180">
        <f>'4. Balance Sheet'!M8</f>
        <v>3.0409999999999999</v>
      </c>
      <c r="O191" s="180">
        <f>'4. Balance Sheet'!N8</f>
        <v>4.6269999999999998</v>
      </c>
      <c r="P191" s="217">
        <f>'4. Balance Sheet'!O8</f>
        <v>5.218</v>
      </c>
      <c r="Q191" s="36">
        <f>'4. Balance Sheet'!P8</f>
        <v>6.245664248988823</v>
      </c>
      <c r="R191" s="36">
        <f>'4. Balance Sheet'!Q8</f>
        <v>7.3929285659868498</v>
      </c>
      <c r="S191" s="36">
        <f>'4. Balance Sheet'!R8</f>
        <v>8.5326653345439389</v>
      </c>
      <c r="T191" s="36">
        <f>'4. Balance Sheet'!S8</f>
        <v>9.6538521449806538</v>
      </c>
      <c r="U191" s="36">
        <f>'4. Balance Sheet'!T8</f>
        <v>10.71144706542756</v>
      </c>
      <c r="V191" s="36">
        <f>'4. Balance Sheet'!U8</f>
        <v>11.749393017338438</v>
      </c>
      <c r="W191" s="36">
        <f>'4. Balance Sheet'!V8</f>
        <v>12.768730314266753</v>
      </c>
      <c r="X191" s="36">
        <f>'4. Balance Sheet'!W8</f>
        <v>13.769841094322267</v>
      </c>
      <c r="Y191" s="36">
        <f>'4. Balance Sheet'!X8</f>
        <v>14.752958202437597</v>
      </c>
      <c r="AA191" s="1"/>
      <c r="AB191" s="378"/>
      <c r="AC191" s="378"/>
      <c r="AD191" s="378"/>
    </row>
    <row r="192" spans="1:30">
      <c r="C192" s="25" t="s">
        <v>205</v>
      </c>
      <c r="D192" s="198" t="s">
        <v>256</v>
      </c>
      <c r="E192" s="6"/>
      <c r="F192" s="6"/>
      <c r="G192" s="6"/>
      <c r="H192" s="6"/>
      <c r="I192" s="6"/>
      <c r="J192" s="180"/>
      <c r="K192" s="180">
        <f>'4. Balance Sheet'!J9</f>
        <v>0.246</v>
      </c>
      <c r="L192" s="180">
        <f>'4. Balance Sheet'!K9</f>
        <v>0.28100000000000003</v>
      </c>
      <c r="M192" s="180">
        <f>'4. Balance Sheet'!L9</f>
        <v>0.14699999999999999</v>
      </c>
      <c r="N192" s="180">
        <f>'4. Balance Sheet'!M9</f>
        <v>0.29199999999999998</v>
      </c>
      <c r="O192" s="180">
        <f>'4. Balance Sheet'!N9</f>
        <v>0.67300000000000004</v>
      </c>
      <c r="P192" s="217">
        <f>'4. Balance Sheet'!O9</f>
        <v>0.91</v>
      </c>
      <c r="Q192" s="36">
        <f>'4. Balance Sheet'!P9</f>
        <v>1.0892208636603735</v>
      </c>
      <c r="R192" s="36">
        <f>'4. Balance Sheet'!Q9</f>
        <v>1.289299539104644</v>
      </c>
      <c r="S192" s="36">
        <f>'4. Balance Sheet'!R9</f>
        <v>1.4880654377989622</v>
      </c>
      <c r="T192" s="36">
        <f>'4. Balance Sheet'!S9</f>
        <v>1.6835962920529695</v>
      </c>
      <c r="U192" s="36">
        <f>'4. Balance Sheet'!T9</f>
        <v>1.8680369546836104</v>
      </c>
      <c r="V192" s="36">
        <f>'4. Balance Sheet'!U9</f>
        <v>2.0490509095013372</v>
      </c>
      <c r="W192" s="36">
        <f>'4. Balance Sheet'!V9</f>
        <v>2.2268195833619671</v>
      </c>
      <c r="X192" s="36">
        <f>'4. Balance Sheet'!W9</f>
        <v>2.4014096197457384</v>
      </c>
      <c r="Y192" s="36">
        <f>'4. Balance Sheet'!X9</f>
        <v>2.5728616259521297</v>
      </c>
      <c r="AA192" s="1"/>
      <c r="AB192" s="378"/>
      <c r="AC192" s="378"/>
      <c r="AD192" s="378"/>
    </row>
    <row r="193" spans="1:30">
      <c r="C193" s="61" t="s">
        <v>235</v>
      </c>
      <c r="D193" s="621" t="s">
        <v>256</v>
      </c>
      <c r="E193" s="157"/>
      <c r="F193" s="157"/>
      <c r="G193" s="157"/>
      <c r="H193" s="157"/>
      <c r="I193" s="157"/>
      <c r="J193" s="157"/>
      <c r="K193" s="157">
        <f>'4. Balance Sheet'!J24</f>
        <v>7.8550000000000004</v>
      </c>
      <c r="L193" s="157">
        <f>'4. Balance Sheet'!K24</f>
        <v>8.6229999999999993</v>
      </c>
      <c r="M193" s="157">
        <f>'4. Balance Sheet'!L24</f>
        <v>14.757999999999999</v>
      </c>
      <c r="N193" s="157">
        <f>'4. Balance Sheet'!M24</f>
        <v>21.029</v>
      </c>
      <c r="O193" s="157">
        <f>'4. Balance Sheet'!N24</f>
        <v>25.951000000000001</v>
      </c>
      <c r="P193" s="661">
        <f>'4. Balance Sheet'!O24</f>
        <v>28.178999999999998</v>
      </c>
      <c r="Q193" s="215">
        <f>'4. Balance Sheet'!P24</f>
        <v>35.713245128974798</v>
      </c>
      <c r="R193" s="215">
        <f>'4. Balance Sheet'!Q24</f>
        <v>44.62243773357217</v>
      </c>
      <c r="S193" s="215">
        <f>'4. Balance Sheet'!R24</f>
        <v>54.212869398462288</v>
      </c>
      <c r="T193" s="215">
        <f>'4. Balance Sheet'!S24</f>
        <v>64.403830790057881</v>
      </c>
      <c r="U193" s="215">
        <f>'4. Balance Sheet'!T24</f>
        <v>74.862839346025652</v>
      </c>
      <c r="V193" s="215">
        <f>'4. Balance Sheet'!U24</f>
        <v>85.850359556341743</v>
      </c>
      <c r="W193" s="215">
        <f>'4. Balance Sheet'!V24</f>
        <v>97.35559347556692</v>
      </c>
      <c r="X193" s="215">
        <f>'4. Balance Sheet'!W24</f>
        <v>109.36383795029408</v>
      </c>
      <c r="Y193" s="215">
        <f>'4. Balance Sheet'!X24</f>
        <v>121.85964234717166</v>
      </c>
      <c r="AA193" s="1"/>
      <c r="AB193" s="378"/>
      <c r="AC193" s="378"/>
      <c r="AD193" s="378"/>
    </row>
    <row r="194" spans="1:30" s="370" customFormat="1">
      <c r="A194" s="202"/>
      <c r="B194" s="202"/>
      <c r="C194" s="200" t="s">
        <v>291</v>
      </c>
      <c r="D194" s="196" t="s">
        <v>256</v>
      </c>
      <c r="E194" s="207"/>
      <c r="F194" s="207"/>
      <c r="G194" s="207"/>
      <c r="H194" s="207"/>
      <c r="I194" s="207"/>
      <c r="J194" s="622"/>
      <c r="K194" s="622">
        <f>K191+K192-K193</f>
        <v>-1.0980000000000008</v>
      </c>
      <c r="L194" s="622">
        <f t="shared" ref="L194:W194" si="387">L191+L192-L193</f>
        <v>-1.3529999999999998</v>
      </c>
      <c r="M194" s="622">
        <f t="shared" si="387"/>
        <v>-9.0009999999999977</v>
      </c>
      <c r="N194" s="622">
        <f t="shared" ref="N194:O194" si="388">N191+N192-N193</f>
        <v>-17.696000000000002</v>
      </c>
      <c r="O194" s="622">
        <f t="shared" si="388"/>
        <v>-20.651</v>
      </c>
      <c r="P194" s="660">
        <f t="shared" ref="P194" si="389">P191+P192-P193</f>
        <v>-22.050999999999998</v>
      </c>
      <c r="Q194" s="622">
        <f t="shared" si="387"/>
        <v>-28.378360016325601</v>
      </c>
      <c r="R194" s="622">
        <f t="shared" si="387"/>
        <v>-35.940209628480673</v>
      </c>
      <c r="S194" s="622">
        <f t="shared" si="387"/>
        <v>-44.192138626119387</v>
      </c>
      <c r="T194" s="622">
        <f t="shared" si="387"/>
        <v>-53.06638235302426</v>
      </c>
      <c r="U194" s="622">
        <f t="shared" si="387"/>
        <v>-62.283355325914485</v>
      </c>
      <c r="V194" s="622">
        <f t="shared" si="387"/>
        <v>-72.051915629501963</v>
      </c>
      <c r="W194" s="622">
        <f t="shared" si="387"/>
        <v>-82.3600435779382</v>
      </c>
      <c r="X194" s="622">
        <f t="shared" ref="X194" si="390">X191+X192-X193</f>
        <v>-93.192587236226075</v>
      </c>
      <c r="Y194" s="622">
        <f t="shared" ref="Y194" si="391">Y191+Y192-Y193</f>
        <v>-104.53382251878193</v>
      </c>
      <c r="Z194" s="273"/>
      <c r="AA194" s="202"/>
    </row>
    <row r="195" spans="1:30">
      <c r="C195" s="40"/>
      <c r="D195" s="27"/>
      <c r="K195" s="25"/>
      <c r="L195" s="25"/>
      <c r="M195" s="25"/>
      <c r="N195" s="25"/>
      <c r="O195" s="25"/>
      <c r="P195" s="160"/>
      <c r="AA195" s="1"/>
      <c r="AB195" s="378"/>
      <c r="AC195" s="378"/>
      <c r="AD195" s="378"/>
    </row>
    <row r="196" spans="1:30">
      <c r="C196" s="25" t="s">
        <v>144</v>
      </c>
      <c r="D196" s="21" t="s">
        <v>145</v>
      </c>
      <c r="E196" s="69"/>
      <c r="F196" s="69"/>
      <c r="G196" s="69"/>
      <c r="H196" s="69"/>
      <c r="I196" s="69"/>
      <c r="J196" s="69"/>
      <c r="K196" s="69">
        <f>'4. Balance Sheet'!J8/(K14/365)</f>
        <v>1182.3457711442788</v>
      </c>
      <c r="L196" s="69">
        <f>'4. Balance Sheet'!K8/(L14/365)</f>
        <v>78.977863777089794</v>
      </c>
      <c r="M196" s="69">
        <f>'4. Balance Sheet'!L8/(M14/365)</f>
        <v>35.653468449644798</v>
      </c>
      <c r="N196" s="69">
        <f>'4. Balance Sheet'!M8/(N14/365)</f>
        <v>12.89157955865273</v>
      </c>
      <c r="O196" s="69">
        <f>'4. Balance Sheet'!N8/(O14/365)</f>
        <v>14.426643317814889</v>
      </c>
      <c r="P196" s="796">
        <f>'4. Balance Sheet'!O8/(P14/365)</f>
        <v>12.588869059422302</v>
      </c>
      <c r="Q196" s="230">
        <f t="shared" ref="Q196:Y196" si="392">P196</f>
        <v>12.588869059422302</v>
      </c>
      <c r="R196" s="230">
        <f t="shared" si="392"/>
        <v>12.588869059422302</v>
      </c>
      <c r="S196" s="230">
        <f t="shared" si="392"/>
        <v>12.588869059422302</v>
      </c>
      <c r="T196" s="230">
        <f t="shared" si="392"/>
        <v>12.588869059422302</v>
      </c>
      <c r="U196" s="230">
        <f t="shared" si="392"/>
        <v>12.588869059422302</v>
      </c>
      <c r="V196" s="230">
        <f t="shared" si="392"/>
        <v>12.588869059422302</v>
      </c>
      <c r="W196" s="230">
        <f t="shared" si="392"/>
        <v>12.588869059422302</v>
      </c>
      <c r="X196" s="230">
        <f t="shared" si="392"/>
        <v>12.588869059422302</v>
      </c>
      <c r="Y196" s="230">
        <f t="shared" si="392"/>
        <v>12.588869059422302</v>
      </c>
      <c r="Z196" s="275"/>
      <c r="AA196" s="1"/>
      <c r="AB196" s="378"/>
      <c r="AC196" s="378"/>
      <c r="AD196" s="378"/>
    </row>
    <row r="197" spans="1:30">
      <c r="C197" s="25" t="s">
        <v>221</v>
      </c>
      <c r="D197" s="21" t="s">
        <v>145</v>
      </c>
      <c r="E197" s="69"/>
      <c r="F197" s="69"/>
      <c r="G197" s="69"/>
      <c r="H197" s="69"/>
      <c r="I197" s="69"/>
      <c r="J197" s="69"/>
      <c r="K197" s="69">
        <f>'4. Balance Sheet'!J9/(K14/365)</f>
        <v>44.671641791044784</v>
      </c>
      <c r="L197" s="69">
        <f>'4. Balance Sheet'!K9/(L14/365)</f>
        <v>3.1753869969040256</v>
      </c>
      <c r="M197" s="69">
        <f>'4. Balance Sheet'!L9/(M14/365)</f>
        <v>0.93423526953614699</v>
      </c>
      <c r="N197" s="69">
        <f>'4. Balance Sheet'!M9/(N14/365)</f>
        <v>1.237862950058072</v>
      </c>
      <c r="O197" s="69">
        <f>'4. Balance Sheet'!N9/(O14/365)</f>
        <v>2.098364156665101</v>
      </c>
      <c r="P197" s="796">
        <f>'4. Balance Sheet'!O9/(P14/365)</f>
        <v>2.1954524423293016</v>
      </c>
      <c r="Q197" s="230">
        <f t="shared" ref="Q197:Y197" si="393">P197</f>
        <v>2.1954524423293016</v>
      </c>
      <c r="R197" s="230">
        <f t="shared" si="393"/>
        <v>2.1954524423293016</v>
      </c>
      <c r="S197" s="230">
        <f t="shared" si="393"/>
        <v>2.1954524423293016</v>
      </c>
      <c r="T197" s="230">
        <f t="shared" si="393"/>
        <v>2.1954524423293016</v>
      </c>
      <c r="U197" s="230">
        <f t="shared" si="393"/>
        <v>2.1954524423293016</v>
      </c>
      <c r="V197" s="230">
        <f t="shared" si="393"/>
        <v>2.1954524423293016</v>
      </c>
      <c r="W197" s="230">
        <f t="shared" si="393"/>
        <v>2.1954524423293016</v>
      </c>
      <c r="X197" s="230">
        <f t="shared" si="393"/>
        <v>2.1954524423293016</v>
      </c>
      <c r="Y197" s="230">
        <f t="shared" si="393"/>
        <v>2.1954524423293016</v>
      </c>
      <c r="Z197" s="275"/>
      <c r="AA197" s="1"/>
      <c r="AB197" s="378"/>
      <c r="AC197" s="378"/>
      <c r="AD197" s="378"/>
    </row>
    <row r="198" spans="1:30">
      <c r="C198" s="25" t="s">
        <v>146</v>
      </c>
      <c r="D198" s="21" t="s">
        <v>145</v>
      </c>
      <c r="E198" s="69"/>
      <c r="F198" s="69"/>
      <c r="G198" s="69"/>
      <c r="H198" s="69"/>
      <c r="I198" s="69"/>
      <c r="J198" s="69"/>
      <c r="K198" s="69">
        <f>'4. Balance Sheet'!J24/(K14/365)</f>
        <v>1426.4054726368163</v>
      </c>
      <c r="L198" s="69">
        <f>'4. Balance Sheet'!K24/(L14/365)</f>
        <v>97.442569659442725</v>
      </c>
      <c r="M198" s="69">
        <f>'4. Balance Sheet'!L24/(M14/365)</f>
        <v>93.792136787853451</v>
      </c>
      <c r="N198" s="69">
        <f>'4. Balance Sheet'!M24/(N14/365)</f>
        <v>89.147328687572596</v>
      </c>
      <c r="O198" s="69">
        <f>'4. Balance Sheet'!N24/(O14/365)</f>
        <v>80.913296032118922</v>
      </c>
      <c r="P198" s="796">
        <f>'4. Balance Sheet'!O24/(P14/365)</f>
        <v>67.984235574063064</v>
      </c>
      <c r="Q198" s="230">
        <f t="shared" ref="Q198:Y198" si="394">P198+4</f>
        <v>71.984235574063064</v>
      </c>
      <c r="R198" s="230">
        <f t="shared" si="394"/>
        <v>75.984235574063064</v>
      </c>
      <c r="S198" s="230">
        <f t="shared" si="394"/>
        <v>79.984235574063064</v>
      </c>
      <c r="T198" s="230">
        <f t="shared" si="394"/>
        <v>83.984235574063064</v>
      </c>
      <c r="U198" s="230">
        <f t="shared" si="394"/>
        <v>87.984235574063064</v>
      </c>
      <c r="V198" s="230">
        <f t="shared" si="394"/>
        <v>91.984235574063064</v>
      </c>
      <c r="W198" s="230">
        <f t="shared" si="394"/>
        <v>95.984235574063064</v>
      </c>
      <c r="X198" s="230">
        <f t="shared" si="394"/>
        <v>99.984235574063064</v>
      </c>
      <c r="Y198" s="230">
        <f t="shared" si="394"/>
        <v>103.98423557406306</v>
      </c>
      <c r="Z198" s="275"/>
      <c r="AA198" s="1"/>
      <c r="AB198" s="378"/>
      <c r="AC198" s="378"/>
      <c r="AD198" s="378"/>
    </row>
    <row r="199" spans="1:30">
      <c r="C199" s="25"/>
      <c r="D199" s="21"/>
      <c r="E199" s="180"/>
      <c r="F199" s="180"/>
      <c r="G199" s="180"/>
      <c r="H199" s="180"/>
      <c r="I199" s="180"/>
      <c r="J199" s="180"/>
      <c r="K199" s="180"/>
      <c r="L199" s="180"/>
      <c r="M199" s="180"/>
      <c r="N199" s="180"/>
      <c r="O199" s="180"/>
      <c r="P199" s="217"/>
      <c r="Q199" s="231"/>
      <c r="R199" s="231"/>
      <c r="S199" s="231"/>
      <c r="T199" s="231"/>
      <c r="U199" s="231"/>
      <c r="V199" s="231"/>
      <c r="W199" s="231"/>
      <c r="X199" s="231"/>
      <c r="Y199" s="231"/>
      <c r="Z199" s="275"/>
      <c r="AA199" s="1"/>
      <c r="AB199" s="378"/>
      <c r="AC199" s="378"/>
      <c r="AD199" s="378"/>
    </row>
    <row r="200" spans="1:30">
      <c r="C200" s="25" t="s">
        <v>50</v>
      </c>
      <c r="D200" s="164" t="s">
        <v>256</v>
      </c>
      <c r="E200" s="180"/>
      <c r="F200" s="180"/>
      <c r="G200" s="180"/>
      <c r="H200" s="180"/>
      <c r="I200" s="180"/>
      <c r="J200" s="180"/>
      <c r="K200" s="180">
        <f>'4. Balance Sheet'!J54</f>
        <v>1.0980000000000003</v>
      </c>
      <c r="L200" s="180">
        <f>'4. Balance Sheet'!K54</f>
        <v>0.25499999999999901</v>
      </c>
      <c r="M200" s="180">
        <f>'4. Balance Sheet'!L54</f>
        <v>7.6479999999999997</v>
      </c>
      <c r="N200" s="180">
        <f>'4. Balance Sheet'!M54</f>
        <v>8.6949999999999985</v>
      </c>
      <c r="O200" s="180">
        <f>'4. Balance Sheet'!N54</f>
        <v>2.9550000000000054</v>
      </c>
      <c r="P200" s="217">
        <f>'4. Balance Sheet'!O54</f>
        <v>1.399999999999995</v>
      </c>
      <c r="Q200" s="36">
        <f>'4. Balance Sheet'!P54</f>
        <v>6.3273600163256027</v>
      </c>
      <c r="R200" s="36">
        <f>'4. Balance Sheet'!Q54</f>
        <v>7.561849612155072</v>
      </c>
      <c r="S200" s="36">
        <f>'4. Balance Sheet'!R54</f>
        <v>8.2519289976387142</v>
      </c>
      <c r="T200" s="36">
        <f>'4. Balance Sheet'!S54</f>
        <v>8.8742437269048722</v>
      </c>
      <c r="U200" s="36">
        <f>'4. Balance Sheet'!T54</f>
        <v>9.2169729728902183</v>
      </c>
      <c r="V200" s="36">
        <f>'4. Balance Sheet'!U54</f>
        <v>9.768560303587499</v>
      </c>
      <c r="W200" s="36">
        <f>'4. Balance Sheet'!V54</f>
        <v>10.308127948436223</v>
      </c>
      <c r="X200" s="36">
        <f>'4. Balance Sheet'!W54</f>
        <v>10.832543658287889</v>
      </c>
      <c r="Y200" s="36">
        <f>'4. Balance Sheet'!X54</f>
        <v>11.341235282555843</v>
      </c>
      <c r="AA200" s="1"/>
      <c r="AB200" s="378"/>
      <c r="AC200" s="378"/>
      <c r="AD200" s="378"/>
    </row>
    <row r="201" spans="1:30">
      <c r="C201" s="25" t="s">
        <v>198</v>
      </c>
      <c r="D201" s="164" t="s">
        <v>122</v>
      </c>
      <c r="E201" s="31"/>
      <c r="F201" s="31"/>
      <c r="G201" s="31"/>
      <c r="H201" s="31"/>
      <c r="I201" s="31"/>
      <c r="J201" s="31"/>
      <c r="K201" s="31"/>
      <c r="L201" s="31"/>
      <c r="M201" s="31">
        <f>'3. Cashflow'!M53</f>
        <v>1.4536129032258063</v>
      </c>
      <c r="N201" s="31">
        <f>'3. Cashflow'!N53</f>
        <v>1.2597427652733117</v>
      </c>
      <c r="O201" s="31">
        <f>'3. Cashflow'!O53</f>
        <v>1.1751909931644553</v>
      </c>
      <c r="P201" s="797">
        <f>'3. Cashflow'!P53</f>
        <v>1.1677620504413249</v>
      </c>
      <c r="Q201" s="24">
        <f>'3. Cashflow'!Q53</f>
        <v>1.0778313950263247</v>
      </c>
      <c r="R201" s="24">
        <f>'3. Cashflow'!R53</f>
        <v>1.0784072307418195</v>
      </c>
      <c r="S201" s="24">
        <f>'3. Cashflow'!S53</f>
        <v>1.0717419009234035</v>
      </c>
      <c r="T201" s="24">
        <f>'3. Cashflow'!T53</f>
        <v>1.0660606163432369</v>
      </c>
      <c r="U201" s="24">
        <f>'3. Cashflow'!U53</f>
        <v>1.0599634099028645</v>
      </c>
      <c r="V201" s="24">
        <f>'3. Cashflow'!V53</f>
        <v>1.056233435346779</v>
      </c>
      <c r="W201" s="24">
        <f>'3. Cashflow'!W53</f>
        <v>1.0530421170096542</v>
      </c>
      <c r="X201" s="24">
        <f>'3. Cashflow'!X53</f>
        <v>1.0502521121363328</v>
      </c>
      <c r="Y201" s="24">
        <f>'3. Cashflow'!Y53</f>
        <v>1.0477785979148357</v>
      </c>
      <c r="AA201" s="1"/>
      <c r="AB201" s="378"/>
      <c r="AC201" s="378"/>
      <c r="AD201" s="378"/>
    </row>
    <row r="202" spans="1:30" s="525" customFormat="1" ht="14.4" thickBot="1">
      <c r="A202" s="62"/>
      <c r="B202" s="1"/>
      <c r="C202" s="168"/>
      <c r="D202" s="169"/>
      <c r="E202" s="168"/>
      <c r="F202" s="168"/>
      <c r="G202" s="168"/>
      <c r="H202" s="168"/>
      <c r="I202" s="168"/>
      <c r="J202" s="168"/>
      <c r="K202" s="222"/>
      <c r="L202" s="222"/>
      <c r="M202" s="222"/>
      <c r="N202" s="222"/>
      <c r="O202" s="222"/>
      <c r="P202" s="467"/>
      <c r="Q202" s="232"/>
      <c r="R202" s="232"/>
      <c r="S202" s="232"/>
      <c r="T202" s="232"/>
      <c r="U202" s="232"/>
      <c r="V202" s="232"/>
      <c r="W202" s="232"/>
      <c r="X202" s="232"/>
      <c r="Y202" s="232"/>
      <c r="Z202" s="274"/>
      <c r="AA202" s="274"/>
      <c r="AB202" s="524"/>
      <c r="AC202" s="524"/>
    </row>
    <row r="203" spans="1:30">
      <c r="C203" s="6"/>
      <c r="D203" s="164"/>
      <c r="E203" s="6"/>
      <c r="F203" s="6"/>
      <c r="G203" s="6"/>
      <c r="H203" s="6"/>
      <c r="I203" s="6"/>
      <c r="J203" s="180"/>
      <c r="K203" s="367"/>
      <c r="L203" s="36"/>
      <c r="M203" s="36"/>
      <c r="N203" s="36"/>
      <c r="O203" s="36"/>
      <c r="P203" s="510"/>
      <c r="Q203" s="71"/>
      <c r="R203" s="71"/>
      <c r="S203" s="71"/>
      <c r="T203" s="71"/>
      <c r="U203" s="71"/>
      <c r="V203" s="71"/>
      <c r="W203" s="71"/>
      <c r="X203" s="71"/>
      <c r="Y203" s="71"/>
      <c r="Z203" s="247"/>
      <c r="AA203" s="247"/>
      <c r="AB203" s="371"/>
      <c r="AC203" s="371"/>
      <c r="AD203" s="378"/>
    </row>
    <row r="209" spans="4:16">
      <c r="P209" s="73"/>
    </row>
    <row r="210" spans="4:16">
      <c r="D210" s="620"/>
      <c r="M210" s="36"/>
      <c r="N210" s="36"/>
      <c r="O210" s="36"/>
      <c r="P210" s="510"/>
    </row>
    <row r="211" spans="4:16">
      <c r="D211" s="71"/>
    </row>
    <row r="212" spans="4:16">
      <c r="D212" s="620"/>
      <c r="M212" s="36"/>
      <c r="N212" s="36"/>
      <c r="O212" s="36"/>
      <c r="P212" s="510"/>
    </row>
    <row r="213" spans="4:16">
      <c r="D213" s="620"/>
      <c r="M213" s="24"/>
      <c r="N213" s="24"/>
      <c r="O213" s="24"/>
      <c r="P213" s="218"/>
    </row>
    <row r="214" spans="4:16">
      <c r="D214" s="71"/>
    </row>
    <row r="215" spans="4:16">
      <c r="D215" s="620"/>
      <c r="M215" s="36"/>
      <c r="N215" s="36"/>
      <c r="O215" s="36"/>
      <c r="P215" s="510"/>
    </row>
    <row r="216" spans="4:16">
      <c r="D216" s="620"/>
      <c r="M216" s="24"/>
      <c r="N216" s="24"/>
      <c r="O216" s="24"/>
      <c r="P216" s="218"/>
    </row>
    <row r="217" spans="4:16">
      <c r="D217" s="71"/>
      <c r="M217" s="24"/>
      <c r="N217" s="24"/>
      <c r="O217" s="24"/>
      <c r="P217" s="218"/>
    </row>
    <row r="218" spans="4:16">
      <c r="D218" s="620"/>
      <c r="M218" s="24"/>
      <c r="N218" s="24"/>
      <c r="O218" s="24"/>
      <c r="P218" s="218"/>
    </row>
  </sheetData>
  <pageMargins left="0.7" right="0.7" top="0.75" bottom="0.75" header="0.3" footer="0.3"/>
  <pageSetup paperSize="9" scale="26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0C0"/>
    <outlinePr summaryBelow="0"/>
    <pageSetUpPr fitToPage="1"/>
  </sheetPr>
  <dimension ref="A1:BT85"/>
  <sheetViews>
    <sheetView showGridLines="0" zoomScale="80" zoomScaleNormal="80" workbookViewId="0">
      <pane xSplit="3" ySplit="4" topLeftCell="L14" activePane="bottomRight" state="frozen"/>
      <selection activeCell="C134" sqref="C134"/>
      <selection pane="topRight" activeCell="C134" sqref="C134"/>
      <selection pane="bottomLeft" activeCell="C134" sqref="C134"/>
      <selection pane="bottomRight" activeCell="O4" sqref="O4"/>
    </sheetView>
  </sheetViews>
  <sheetFormatPr defaultColWidth="9.109375" defaultRowHeight="13.8" outlineLevelCol="1"/>
  <cols>
    <col min="1" max="1" width="5" style="1" customWidth="1"/>
    <col min="2" max="2" width="37.6640625" style="1" customWidth="1"/>
    <col min="3" max="3" width="7.109375" style="2" customWidth="1"/>
    <col min="4" max="8" width="7.109375" style="1" hidden="1" customWidth="1" outlineLevel="1"/>
    <col min="9" max="11" width="7.109375" style="25" hidden="1" customWidth="1" outlineLevel="1"/>
    <col min="12" max="12" width="7.109375" style="25" customWidth="1" collapsed="1"/>
    <col min="13" max="14" width="7.109375" style="25" customWidth="1"/>
    <col min="15" max="15" width="7.109375" style="160" customWidth="1"/>
    <col min="16" max="24" width="7.109375" style="1" customWidth="1"/>
    <col min="25" max="25" width="14.44140625" style="187" customWidth="1"/>
    <col min="26" max="26" width="9.109375" style="1"/>
    <col min="27" max="27" width="37.6640625" style="1" customWidth="1"/>
    <col min="28" max="28" width="7.5546875" style="2" customWidth="1"/>
    <col min="29" max="31" width="8.109375" style="71" hidden="1" customWidth="1" outlineLevel="1"/>
    <col min="32" max="32" width="8.109375" style="71" hidden="1" customWidth="1" outlineLevel="1" collapsed="1"/>
    <col min="33" max="34" width="8.109375" style="71" hidden="1" customWidth="1" outlineLevel="1"/>
    <col min="35" max="35" width="8.109375" style="71" hidden="1" customWidth="1" outlineLevel="1" collapsed="1"/>
    <col min="36" max="37" width="8.109375" style="71" hidden="1" customWidth="1" outlineLevel="1"/>
    <col min="38" max="38" width="8.109375" style="71" customWidth="1" collapsed="1"/>
    <col min="39" max="40" width="8.109375" style="71" customWidth="1"/>
    <col min="41" max="41" width="8.109375" style="71" customWidth="1" collapsed="1"/>
    <col min="42" max="43" width="8.109375" style="71" customWidth="1"/>
    <col min="44" max="44" width="8.109375" style="71" customWidth="1" collapsed="1"/>
    <col min="45" max="47" width="8.109375" style="71" customWidth="1"/>
    <col min="48" max="48" width="9.109375" style="1"/>
    <col min="49" max="49" width="37.6640625" style="1" customWidth="1"/>
    <col min="50" max="64" width="7.109375" style="71" customWidth="1"/>
    <col min="65" max="65" width="9.109375" style="1"/>
    <col min="66" max="66" width="19.44140625" style="1" customWidth="1"/>
    <col min="67" max="67" width="7" style="2" customWidth="1"/>
    <col min="68" max="71" width="9.109375" style="1"/>
    <col min="72" max="72" width="23.109375" style="673" customWidth="1"/>
    <col min="73" max="16384" width="9.109375" style="1"/>
  </cols>
  <sheetData>
    <row r="1" spans="2:72" ht="18">
      <c r="B1" s="4" t="str">
        <f>'1.Assumptions'!C2</f>
        <v>TUA (S$)</v>
      </c>
      <c r="C1" s="322"/>
      <c r="O1" s="217"/>
      <c r="AA1" s="4"/>
      <c r="AB1" s="322"/>
      <c r="AD1" s="506"/>
      <c r="AE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W1" s="4"/>
    </row>
    <row r="2" spans="2:72" ht="18.600000000000001" thickBot="1">
      <c r="B2" s="588">
        <f>'1.Assumptions'!C3</f>
        <v>5.28</v>
      </c>
      <c r="C2" s="322"/>
      <c r="J2" s="69"/>
      <c r="O2" s="217"/>
      <c r="AA2" s="7"/>
      <c r="AB2" s="322"/>
      <c r="AF2" s="66"/>
      <c r="AG2" s="66"/>
      <c r="AI2" s="66"/>
      <c r="AJ2" s="66"/>
      <c r="AL2" s="66"/>
      <c r="AM2" s="66"/>
      <c r="AO2" s="66"/>
      <c r="AP2" s="66"/>
      <c r="AR2" s="66"/>
      <c r="AS2" s="66"/>
      <c r="AW2" s="7"/>
    </row>
    <row r="3" spans="2:72" ht="13.5" customHeight="1">
      <c r="B3" s="8" t="s">
        <v>263</v>
      </c>
      <c r="C3" s="323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251"/>
      <c r="P3" s="9"/>
      <c r="Q3" s="9"/>
      <c r="R3" s="9"/>
      <c r="S3" s="9"/>
      <c r="T3" s="9"/>
      <c r="U3" s="9"/>
      <c r="V3" s="9"/>
      <c r="W3" s="9"/>
      <c r="X3" s="9"/>
      <c r="Y3" s="394" t="str">
        <f>'1.Assumptions'!Z5</f>
        <v>FY24-27E</v>
      </c>
      <c r="AA3" s="8"/>
      <c r="AB3" s="323"/>
      <c r="AC3" s="9"/>
      <c r="AD3" s="9"/>
      <c r="AE3" s="9"/>
      <c r="AF3" s="629"/>
      <c r="AG3" s="629"/>
      <c r="AH3" s="9"/>
      <c r="AI3" s="629"/>
      <c r="AJ3" s="629"/>
      <c r="AK3" s="9"/>
      <c r="AL3" s="629"/>
      <c r="AM3" s="629"/>
      <c r="AN3" s="9"/>
      <c r="AO3" s="629"/>
      <c r="AP3" s="629"/>
      <c r="AQ3" s="9"/>
      <c r="AR3" s="629"/>
      <c r="AS3" s="629"/>
      <c r="AT3" s="9"/>
      <c r="AU3" s="9"/>
      <c r="AW3" s="8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</row>
    <row r="4" spans="2:72" ht="15" customHeight="1">
      <c r="B4" s="10"/>
      <c r="C4" s="11" t="s">
        <v>113</v>
      </c>
      <c r="D4" s="12" t="str">
        <f>'1.Assumptions'!E6</f>
        <v>FY14</v>
      </c>
      <c r="E4" s="12" t="str">
        <f>'1.Assumptions'!F6</f>
        <v>FY15</v>
      </c>
      <c r="F4" s="12" t="str">
        <f>'1.Assumptions'!G6</f>
        <v>FY16</v>
      </c>
      <c r="G4" s="12" t="str">
        <f>'1.Assumptions'!H6</f>
        <v>FY17</v>
      </c>
      <c r="H4" s="12" t="str">
        <f>'1.Assumptions'!I6</f>
        <v>FY18</v>
      </c>
      <c r="I4" s="12" t="str">
        <f>'1.Assumptions'!J6</f>
        <v>FY19</v>
      </c>
      <c r="J4" s="12" t="str">
        <f>'1.Assumptions'!K6</f>
        <v>FY20</v>
      </c>
      <c r="K4" s="12" t="str">
        <f>'1.Assumptions'!L6</f>
        <v>FY21</v>
      </c>
      <c r="L4" s="12" t="str">
        <f>'1.Assumptions'!M6</f>
        <v>FY22</v>
      </c>
      <c r="M4" s="12" t="str">
        <f>'1.Assumptions'!N6</f>
        <v>FY23</v>
      </c>
      <c r="N4" s="12" t="str">
        <f>'1.Assumptions'!O6</f>
        <v>FY24</v>
      </c>
      <c r="O4" s="233" t="str">
        <f>'1.Assumptions'!P6</f>
        <v>FY25</v>
      </c>
      <c r="P4" s="12" t="str">
        <f>'1.Assumptions'!Q6</f>
        <v>FY26E</v>
      </c>
      <c r="Q4" s="12" t="str">
        <f>'1.Assumptions'!R6</f>
        <v>FY27E</v>
      </c>
      <c r="R4" s="12" t="str">
        <f>'1.Assumptions'!S6</f>
        <v>FY28E</v>
      </c>
      <c r="S4" s="12" t="str">
        <f>'1.Assumptions'!T6</f>
        <v>FY29E</v>
      </c>
      <c r="T4" s="12" t="str">
        <f>'1.Assumptions'!U6</f>
        <v>FY30E</v>
      </c>
      <c r="U4" s="12" t="str">
        <f>'1.Assumptions'!V6</f>
        <v>FY31E</v>
      </c>
      <c r="V4" s="12" t="str">
        <f>'1.Assumptions'!W6</f>
        <v>FY32E</v>
      </c>
      <c r="W4" s="12" t="str">
        <f>'1.Assumptions'!X6</f>
        <v>FY33E</v>
      </c>
      <c r="X4" s="12" t="str">
        <f>'1.Assumptions'!Y6</f>
        <v>FY34E</v>
      </c>
      <c r="Y4" s="395" t="str">
        <f>'1.Assumptions'!Z6</f>
        <v>CAGR</v>
      </c>
      <c r="AA4" s="10"/>
      <c r="AB4" s="11" t="s">
        <v>113</v>
      </c>
      <c r="AC4" s="12" t="s">
        <v>233</v>
      </c>
      <c r="AD4" s="12" t="s">
        <v>241</v>
      </c>
      <c r="AE4" s="12" t="str">
        <f>K4</f>
        <v>FY21</v>
      </c>
      <c r="AF4" s="12" t="s">
        <v>292</v>
      </c>
      <c r="AG4" s="12" t="s">
        <v>293</v>
      </c>
      <c r="AH4" s="12" t="str">
        <f>L4</f>
        <v>FY22</v>
      </c>
      <c r="AI4" s="12" t="s">
        <v>308</v>
      </c>
      <c r="AJ4" s="12" t="s">
        <v>309</v>
      </c>
      <c r="AK4" s="12" t="str">
        <f>M4</f>
        <v>FY23</v>
      </c>
      <c r="AL4" s="12" t="s">
        <v>326</v>
      </c>
      <c r="AM4" s="12" t="s">
        <v>327</v>
      </c>
      <c r="AN4" s="12" t="str">
        <f>N4</f>
        <v>FY24</v>
      </c>
      <c r="AO4" s="12" t="s">
        <v>318</v>
      </c>
      <c r="AP4" s="12" t="s">
        <v>319</v>
      </c>
      <c r="AQ4" s="12" t="str">
        <f>O4</f>
        <v>FY25</v>
      </c>
      <c r="AR4" s="12" t="s">
        <v>318</v>
      </c>
      <c r="AS4" s="12" t="s">
        <v>319</v>
      </c>
      <c r="AT4" s="12" t="str">
        <f>P4</f>
        <v>FY26E</v>
      </c>
      <c r="AU4" s="12" t="str">
        <f>Q4</f>
        <v>FY27E</v>
      </c>
      <c r="AV4" s="12"/>
      <c r="AW4" s="10"/>
      <c r="AX4" s="12" t="str">
        <f t="shared" ref="AX4:BI4" si="0">AF4</f>
        <v>1H22</v>
      </c>
      <c r="AY4" s="12" t="str">
        <f t="shared" si="0"/>
        <v>2H22</v>
      </c>
      <c r="AZ4" s="12" t="str">
        <f t="shared" si="0"/>
        <v>FY22</v>
      </c>
      <c r="BA4" s="12" t="str">
        <f t="shared" si="0"/>
        <v>1H23</v>
      </c>
      <c r="BB4" s="12" t="str">
        <f t="shared" si="0"/>
        <v>2H23</v>
      </c>
      <c r="BC4" s="12" t="str">
        <f t="shared" si="0"/>
        <v>FY23</v>
      </c>
      <c r="BD4" s="12" t="str">
        <f t="shared" si="0"/>
        <v>1H24</v>
      </c>
      <c r="BE4" s="12" t="str">
        <f t="shared" si="0"/>
        <v>2H24</v>
      </c>
      <c r="BF4" s="12" t="str">
        <f t="shared" si="0"/>
        <v>FY24</v>
      </c>
      <c r="BG4" s="12" t="str">
        <f t="shared" si="0"/>
        <v>1H25E</v>
      </c>
      <c r="BH4" s="12" t="str">
        <f t="shared" si="0"/>
        <v>2H25E</v>
      </c>
      <c r="BI4" s="12" t="str">
        <f t="shared" si="0"/>
        <v>FY25</v>
      </c>
      <c r="BJ4" s="12" t="str">
        <f t="shared" ref="BJ4" si="1">AT4</f>
        <v>FY26E</v>
      </c>
      <c r="BK4" s="12" t="str">
        <f t="shared" ref="BK4" si="2">AU4</f>
        <v>FY27E</v>
      </c>
      <c r="BL4" s="12">
        <f t="shared" ref="BL4" si="3">AV4</f>
        <v>0</v>
      </c>
    </row>
    <row r="5" spans="2:72" ht="13.95" customHeight="1">
      <c r="B5" s="13" t="s">
        <v>121</v>
      </c>
      <c r="C5" s="65"/>
      <c r="D5" s="14"/>
      <c r="E5" s="14"/>
      <c r="F5" s="14"/>
      <c r="G5" s="14"/>
      <c r="H5" s="14"/>
      <c r="I5" s="14"/>
      <c r="J5" s="15"/>
      <c r="K5" s="15"/>
      <c r="L5" s="15"/>
      <c r="M5" s="15"/>
      <c r="N5" s="15"/>
      <c r="O5" s="464"/>
      <c r="P5" s="15"/>
      <c r="Q5" s="15"/>
      <c r="R5" s="15"/>
      <c r="S5" s="15"/>
      <c r="T5" s="15"/>
      <c r="U5" s="15"/>
      <c r="V5" s="15"/>
      <c r="W5" s="15"/>
      <c r="X5" s="15"/>
      <c r="AA5" s="13" t="s">
        <v>121</v>
      </c>
      <c r="AB5" s="65"/>
      <c r="AC5" s="14"/>
      <c r="AD5" s="14"/>
      <c r="AE5" s="432"/>
      <c r="AF5" s="14"/>
      <c r="AG5" s="14"/>
      <c r="AH5" s="432"/>
      <c r="AI5" s="14"/>
      <c r="AJ5" s="14"/>
      <c r="AK5" s="432"/>
      <c r="AL5" s="14"/>
      <c r="AM5" s="14"/>
      <c r="AN5" s="432"/>
      <c r="AO5" s="14"/>
      <c r="AP5" s="14"/>
      <c r="AQ5" s="432"/>
      <c r="AR5" s="14"/>
      <c r="AS5" s="14"/>
      <c r="AT5" s="432"/>
      <c r="AU5" s="432"/>
      <c r="AW5" s="13" t="s">
        <v>121</v>
      </c>
      <c r="AX5" s="14"/>
      <c r="AY5" s="14"/>
      <c r="AZ5" s="432"/>
      <c r="BA5" s="14"/>
      <c r="BB5" s="14"/>
      <c r="BC5" s="432"/>
      <c r="BD5" s="14"/>
      <c r="BE5" s="14"/>
      <c r="BF5" s="432"/>
      <c r="BG5" s="14"/>
      <c r="BH5" s="14"/>
      <c r="BI5" s="432"/>
      <c r="BJ5" s="14"/>
      <c r="BK5" s="14"/>
      <c r="BL5" s="432"/>
    </row>
    <row r="6" spans="2:72" ht="13.95" customHeight="1">
      <c r="B6" s="240" t="str">
        <f>'1.Assumptions'!C11</f>
        <v>Singapore Mobile</v>
      </c>
      <c r="C6" s="2" t="s">
        <v>256</v>
      </c>
      <c r="D6" s="17"/>
      <c r="E6" s="17"/>
      <c r="F6" s="17"/>
      <c r="G6" s="17">
        <f>'1.Assumptions'!H11</f>
        <v>0</v>
      </c>
      <c r="H6" s="17">
        <f>'1.Assumptions'!I11</f>
        <v>0</v>
      </c>
      <c r="I6" s="17">
        <f>'1.Assumptions'!J11</f>
        <v>0</v>
      </c>
      <c r="J6" s="17">
        <f>'1.Assumptions'!K11</f>
        <v>0</v>
      </c>
      <c r="K6" s="17">
        <f>'1.Assumptions'!L11</f>
        <v>29.392999999999997</v>
      </c>
      <c r="L6" s="17">
        <f>'1.Assumptions'!M11</f>
        <v>56.587000000000003</v>
      </c>
      <c r="M6" s="17">
        <f>'1.Assumptions'!N11</f>
        <v>85.606999999999999</v>
      </c>
      <c r="N6" s="17">
        <f>'1.Assumptions'!O11</f>
        <v>116.505</v>
      </c>
      <c r="O6" s="252">
        <f>'1.Assumptions'!P11</f>
        <v>144.626</v>
      </c>
      <c r="P6" s="17">
        <f>'1.Assumptions'!Q11</f>
        <v>168.17881653112164</v>
      </c>
      <c r="Q6" s="17">
        <f>'1.Assumptions'!R11</f>
        <v>192.61426215101233</v>
      </c>
      <c r="R6" s="17">
        <f>'1.Assumptions'!S11</f>
        <v>216.09216905832304</v>
      </c>
      <c r="S6" s="17">
        <f>'1.Assumptions'!T11</f>
        <v>238.63840128420634</v>
      </c>
      <c r="T6" s="17">
        <f>'1.Assumptions'!U11</f>
        <v>260.30518869982723</v>
      </c>
      <c r="U6" s="17">
        <f>'1.Assumptions'!V11</f>
        <v>281.12682196568932</v>
      </c>
      <c r="V6" s="17">
        <f>'1.Assumptions'!W11</f>
        <v>301.12212333900385</v>
      </c>
      <c r="W6" s="17">
        <f>'1.Assumptions'!X11</f>
        <v>320.29777505234284</v>
      </c>
      <c r="X6" s="17">
        <f>'1.Assumptions'!Y11</f>
        <v>338.65240953011522</v>
      </c>
      <c r="AA6" s="240" t="str">
        <f>B6</f>
        <v>Singapore Mobile</v>
      </c>
      <c r="AB6" s="2" t="str">
        <f>C6</f>
        <v>S$m</v>
      </c>
      <c r="AC6" s="448"/>
      <c r="AD6" s="17"/>
      <c r="AE6" s="433">
        <f>K6</f>
        <v>29.392999999999997</v>
      </c>
      <c r="AF6" s="448">
        <f>25.6-AF8</f>
        <v>25.166</v>
      </c>
      <c r="AG6" s="17">
        <f t="shared" ref="AG6:AG9" si="4">AH6-AF6</f>
        <v>31.421000000000003</v>
      </c>
      <c r="AH6" s="433">
        <f>L6</f>
        <v>56.587000000000003</v>
      </c>
      <c r="AI6" s="448">
        <v>39.277999999999999</v>
      </c>
      <c r="AJ6" s="17">
        <f t="shared" ref="AJ6" si="5">AK6-AI6</f>
        <v>46.329000000000001</v>
      </c>
      <c r="AK6" s="433">
        <f>M6</f>
        <v>85.606999999999999</v>
      </c>
      <c r="AL6" s="459">
        <v>54.637999999999998</v>
      </c>
      <c r="AM6" s="459">
        <f t="shared" ref="AM6" si="6">AN6-AL6</f>
        <v>61.866999999999997</v>
      </c>
      <c r="AN6" s="802">
        <f>N6</f>
        <v>116.505</v>
      </c>
      <c r="AO6" s="448">
        <v>71.572000000000003</v>
      </c>
      <c r="AP6" s="17">
        <f t="shared" ref="AP6" si="7">AQ6-AO6</f>
        <v>73.054000000000002</v>
      </c>
      <c r="AQ6" s="433">
        <f t="shared" ref="AQ6:AQ9" si="8">O6</f>
        <v>144.626</v>
      </c>
      <c r="AR6" s="459">
        <f>BJ6*AT6</f>
        <v>83.227733995031585</v>
      </c>
      <c r="AS6" s="17">
        <f t="shared" ref="AS6" si="9">AT6-AR6</f>
        <v>84.951082536090055</v>
      </c>
      <c r="AT6" s="433">
        <f t="shared" ref="AT6:AU10" si="10">P6</f>
        <v>168.17881653112164</v>
      </c>
      <c r="AU6" s="433">
        <f t="shared" si="10"/>
        <v>192.61426215101233</v>
      </c>
      <c r="AW6" s="240" t="str">
        <f>B6</f>
        <v>Singapore Mobile</v>
      </c>
      <c r="AX6" s="50">
        <f>AF6/AH6</f>
        <v>0.44473112198914944</v>
      </c>
      <c r="AY6" s="24">
        <f>1-AX6</f>
        <v>0.55526887801085056</v>
      </c>
      <c r="AZ6" s="433"/>
      <c r="BA6" s="50">
        <f>AI6/AK6</f>
        <v>0.45881762005443477</v>
      </c>
      <c r="BB6" s="24">
        <f>1-BA6</f>
        <v>0.54118237994556528</v>
      </c>
      <c r="BC6" s="433"/>
      <c r="BD6" s="50">
        <f>AL6/AN6</f>
        <v>0.46897558044719112</v>
      </c>
      <c r="BE6" s="24">
        <f>1-BD6</f>
        <v>0.53102441955280888</v>
      </c>
      <c r="BF6" s="433"/>
      <c r="BG6" s="50">
        <f>AO6/AQ6</f>
        <v>0.49487643992089941</v>
      </c>
      <c r="BH6" s="24">
        <f>1-BG6</f>
        <v>0.50512356007910064</v>
      </c>
      <c r="BI6" s="433"/>
      <c r="BJ6" s="50">
        <f>BG6</f>
        <v>0.49487643992089941</v>
      </c>
      <c r="BK6" s="24">
        <f>1-BJ6</f>
        <v>0.50512356007910064</v>
      </c>
      <c r="BL6" s="433"/>
    </row>
    <row r="7" spans="2:72" ht="13.95" customHeight="1">
      <c r="B7" s="240" t="str">
        <f>'1.Assumptions'!C12</f>
        <v>Singapore Broadband</v>
      </c>
      <c r="C7" s="2" t="s">
        <v>256</v>
      </c>
      <c r="D7" s="17"/>
      <c r="E7" s="17"/>
      <c r="F7" s="17"/>
      <c r="G7" s="17">
        <f>'1.Assumptions'!H12</f>
        <v>0</v>
      </c>
      <c r="H7" s="17">
        <f>'1.Assumptions'!I12</f>
        <v>0</v>
      </c>
      <c r="I7" s="17">
        <f>'1.Assumptions'!J12</f>
        <v>0</v>
      </c>
      <c r="J7" s="17">
        <f>'1.Assumptions'!K12</f>
        <v>0</v>
      </c>
      <c r="K7" s="17">
        <f>'1.Assumptions'!L12</f>
        <v>0</v>
      </c>
      <c r="L7" s="17">
        <f>'1.Assumptions'!M12</f>
        <v>0</v>
      </c>
      <c r="M7" s="17">
        <f>'1.Assumptions'!N12</f>
        <v>0</v>
      </c>
      <c r="N7" s="17">
        <f>'1.Assumptions'!O12</f>
        <v>0.30099999999999999</v>
      </c>
      <c r="O7" s="252">
        <f>'1.Assumptions'!P12</f>
        <v>6.3810000000000002</v>
      </c>
      <c r="P7" s="17">
        <f>'1.Assumptions'!Q12</f>
        <v>12.670759417425462</v>
      </c>
      <c r="Q7" s="17">
        <f>'1.Assumptions'!R12</f>
        <v>21.510589981835576</v>
      </c>
      <c r="R7" s="17">
        <f>'1.Assumptions'!S12</f>
        <v>31.065319580991488</v>
      </c>
      <c r="S7" s="17">
        <f>'1.Assumptions'!T12</f>
        <v>41.026065901901532</v>
      </c>
      <c r="T7" s="17">
        <f>'1.Assumptions'!U12</f>
        <v>50.016194124764795</v>
      </c>
      <c r="U7" s="17">
        <f>'1.Assumptions'!V12</f>
        <v>59.284809735521236</v>
      </c>
      <c r="V7" s="17">
        <f>'1.Assumptions'!W12</f>
        <v>68.838543906590601</v>
      </c>
      <c r="W7" s="17">
        <f>'1.Assumptions'!X12</f>
        <v>78.684169054392228</v>
      </c>
      <c r="X7" s="17">
        <f>'1.Assumptions'!Y12</f>
        <v>88.828601667040871</v>
      </c>
      <c r="AA7" s="240" t="str">
        <f>B7</f>
        <v>Singapore Broadband</v>
      </c>
      <c r="AB7" s="2" t="str">
        <f>AB6</f>
        <v>S$m</v>
      </c>
      <c r="AC7" s="448"/>
      <c r="AD7" s="17"/>
      <c r="AE7" s="433"/>
      <c r="AF7" s="448"/>
      <c r="AG7" s="17"/>
      <c r="AH7" s="433"/>
      <c r="AI7" s="448"/>
      <c r="AJ7" s="17"/>
      <c r="AK7" s="433"/>
      <c r="AL7" s="459"/>
      <c r="AM7" s="459">
        <f>AN7-AL7</f>
        <v>0.30099999999999999</v>
      </c>
      <c r="AN7" s="802">
        <f>N7</f>
        <v>0.30099999999999999</v>
      </c>
      <c r="AO7" s="448">
        <v>1.49</v>
      </c>
      <c r="AP7" s="17">
        <f>AQ7-AO7</f>
        <v>4.891</v>
      </c>
      <c r="AQ7" s="433">
        <f t="shared" si="8"/>
        <v>6.3810000000000002</v>
      </c>
      <c r="AR7" s="459">
        <v>5.5</v>
      </c>
      <c r="AS7" s="17">
        <f>AT7-AR7</f>
        <v>7.1707594174254616</v>
      </c>
      <c r="AT7" s="433">
        <f t="shared" si="10"/>
        <v>12.670759417425462</v>
      </c>
      <c r="AU7" s="433">
        <f t="shared" si="10"/>
        <v>21.510589981835576</v>
      </c>
      <c r="AW7" s="240" t="str">
        <f t="shared" ref="AW7:AW8" si="11">B7</f>
        <v>Singapore Broadband</v>
      </c>
      <c r="AX7" s="50"/>
      <c r="AY7" s="24"/>
      <c r="AZ7" s="433"/>
      <c r="BA7" s="50"/>
      <c r="BB7" s="24"/>
      <c r="BC7" s="433"/>
      <c r="BD7" s="50"/>
      <c r="BE7" s="24"/>
      <c r="BF7" s="433"/>
      <c r="BG7" s="50">
        <f>AO7/AQ7</f>
        <v>0.23350572010656637</v>
      </c>
      <c r="BH7" s="24">
        <f>1-BG7</f>
        <v>0.76649427989343366</v>
      </c>
      <c r="BI7" s="433"/>
      <c r="BJ7" s="50">
        <f>AR7/AT7</f>
        <v>0.4340702730442601</v>
      </c>
      <c r="BK7" s="24">
        <f>1-BJ7</f>
        <v>0.56592972695573995</v>
      </c>
      <c r="BL7" s="433"/>
    </row>
    <row r="8" spans="2:72" ht="13.95" customHeight="1">
      <c r="B8" s="250" t="str">
        <f>'1.Assumptions'!C13</f>
        <v>Other</v>
      </c>
      <c r="C8" s="29" t="s">
        <v>256</v>
      </c>
      <c r="D8" s="239"/>
      <c r="E8" s="239"/>
      <c r="F8" s="239"/>
      <c r="G8" s="239">
        <f>'1.Assumptions'!H13</f>
        <v>0</v>
      </c>
      <c r="H8" s="239">
        <f>'1.Assumptions'!I13</f>
        <v>0</v>
      </c>
      <c r="I8" s="239">
        <f>'1.Assumptions'!J13</f>
        <v>1.6E-2</v>
      </c>
      <c r="J8" s="239">
        <f>'1.Assumptions'!K13</f>
        <v>2.0099999999999998</v>
      </c>
      <c r="K8" s="239">
        <f>'1.Assumptions'!L13</f>
        <v>2.907</v>
      </c>
      <c r="L8" s="239">
        <f>'1.Assumptions'!M13</f>
        <v>0.84499999999999886</v>
      </c>
      <c r="M8" s="239">
        <f>'1.Assumptions'!N13</f>
        <v>0.492999999999995</v>
      </c>
      <c r="N8" s="239">
        <f>'1.Assumptions'!O13</f>
        <v>0.25900000000000228</v>
      </c>
      <c r="O8" s="253">
        <f>'1.Assumptions'!P13</f>
        <v>0.2</v>
      </c>
      <c r="P8" s="239">
        <f>'1.Assumptions'!Q13</f>
        <v>0.23638500000000118</v>
      </c>
      <c r="Q8" s="239">
        <f>'1.Assumptions'!R13</f>
        <v>0.22473827500000063</v>
      </c>
      <c r="R8" s="239">
        <f>'1.Assumptions'!S13</f>
        <v>0.23747848662500096</v>
      </c>
      <c r="S8" s="239">
        <f>'1.Assumptions'!T13</f>
        <v>0.23804163223687583</v>
      </c>
      <c r="T8" s="239">
        <f>'1.Assumptions'!U13</f>
        <v>0.24489286121386655</v>
      </c>
      <c r="U8" s="239">
        <f>'1.Assumptions'!V13</f>
        <v>0.24871126412713232</v>
      </c>
      <c r="V8" s="239">
        <f>'1.Assumptions'!W13</f>
        <v>0.25420612455061442</v>
      </c>
      <c r="W8" s="239">
        <f>'1.Assumptions'!X13</f>
        <v>0.25900245516903958</v>
      </c>
      <c r="X8" s="239">
        <f>'1.Assumptions'!Y13</f>
        <v>0.26430241855562181</v>
      </c>
      <c r="AA8" s="250" t="str">
        <f t="shared" ref="AA8:AA9" si="12">B8</f>
        <v>Other</v>
      </c>
      <c r="AB8" s="29" t="str">
        <f t="shared" ref="AB8:AB46" si="13">C8</f>
        <v>S$m</v>
      </c>
      <c r="AC8" s="449"/>
      <c r="AD8" s="239"/>
      <c r="AE8" s="803">
        <f>K8</f>
        <v>2.907</v>
      </c>
      <c r="AF8" s="449">
        <f>0.06+0.374</f>
        <v>0.434</v>
      </c>
      <c r="AG8" s="239">
        <f t="shared" si="4"/>
        <v>0.41099999999999887</v>
      </c>
      <c r="AH8" s="803">
        <f>L8</f>
        <v>0.84499999999999886</v>
      </c>
      <c r="AI8" s="449">
        <f>39.606-AI6</f>
        <v>0.32800000000000296</v>
      </c>
      <c r="AJ8" s="239">
        <f t="shared" ref="AJ8:AJ9" si="14">AK8-AI8</f>
        <v>0.16499999999999204</v>
      </c>
      <c r="AK8" s="803">
        <f>M8</f>
        <v>0.492999999999995</v>
      </c>
      <c r="AL8" s="626">
        <f>54.715-AL6</f>
        <v>7.7000000000005286E-2</v>
      </c>
      <c r="AM8" s="626">
        <f t="shared" ref="AM8:AM9" si="15">AN8-AL8</f>
        <v>0.181999999999997</v>
      </c>
      <c r="AN8" s="445">
        <f>N8</f>
        <v>0.25900000000000228</v>
      </c>
      <c r="AO8" s="626">
        <f>AO9-AO7-AO6</f>
        <v>9.9000000000003752E-2</v>
      </c>
      <c r="AP8" s="239">
        <f t="shared" ref="AP8:AP9" si="16">AQ8-AO8</f>
        <v>0.10099999999999626</v>
      </c>
      <c r="AQ8" s="803">
        <f t="shared" si="8"/>
        <v>0.2</v>
      </c>
      <c r="AR8" s="626">
        <f>BJ8*AT8</f>
        <v>0.11701057500000502</v>
      </c>
      <c r="AS8" s="239">
        <f t="shared" ref="AS8:AS9" si="17">AT8-AR8</f>
        <v>0.11937442499999616</v>
      </c>
      <c r="AT8" s="803">
        <f t="shared" si="10"/>
        <v>0.23638500000000118</v>
      </c>
      <c r="AU8" s="803">
        <f t="shared" si="10"/>
        <v>0.22473827500000063</v>
      </c>
      <c r="AW8" s="240" t="str">
        <f t="shared" si="11"/>
        <v>Other</v>
      </c>
      <c r="AX8" s="50">
        <f>AF8/AH8</f>
        <v>0.51360946745562197</v>
      </c>
      <c r="AY8" s="24">
        <f t="shared" ref="AY8" si="18">1-AX8</f>
        <v>0.48639053254437803</v>
      </c>
      <c r="AZ8" s="433"/>
      <c r="BA8" s="50">
        <f>AI8/AK8</f>
        <v>0.66531440162273081</v>
      </c>
      <c r="BB8" s="24">
        <f t="shared" ref="BB8" si="19">1-BA8</f>
        <v>0.33468559837726919</v>
      </c>
      <c r="BC8" s="433"/>
      <c r="BD8" s="50">
        <f>AL8/AN8</f>
        <v>0.29729729729731508</v>
      </c>
      <c r="BE8" s="24">
        <f t="shared" ref="BE8" si="20">1-BD8</f>
        <v>0.70270270270268487</v>
      </c>
      <c r="BF8" s="433"/>
      <c r="BG8" s="50">
        <f>AO8/AQ8</f>
        <v>0.49500000000001876</v>
      </c>
      <c r="BH8" s="24">
        <f>1-BG8</f>
        <v>0.50499999999998124</v>
      </c>
      <c r="BI8" s="433"/>
      <c r="BJ8" s="50">
        <f>BG8</f>
        <v>0.49500000000001876</v>
      </c>
      <c r="BK8" s="24">
        <f>1-BJ8</f>
        <v>0.50499999999998124</v>
      </c>
      <c r="BL8" s="433"/>
    </row>
    <row r="9" spans="2:72" s="202" customFormat="1" ht="13.95" customHeight="1">
      <c r="B9" s="721" t="str">
        <f>'1.Assumptions'!C14</f>
        <v>Total  Revenue</v>
      </c>
      <c r="C9" s="722" t="s">
        <v>256</v>
      </c>
      <c r="D9" s="723"/>
      <c r="E9" s="723"/>
      <c r="F9" s="723"/>
      <c r="G9" s="723">
        <f t="shared" ref="G9:U9" si="21">SUM(G6:G8)</f>
        <v>0</v>
      </c>
      <c r="H9" s="723">
        <f t="shared" si="21"/>
        <v>0</v>
      </c>
      <c r="I9" s="723">
        <f t="shared" si="21"/>
        <v>1.6E-2</v>
      </c>
      <c r="J9" s="723">
        <f t="shared" si="21"/>
        <v>2.0099999999999998</v>
      </c>
      <c r="K9" s="723">
        <f t="shared" si="21"/>
        <v>32.299999999999997</v>
      </c>
      <c r="L9" s="723">
        <f t="shared" si="21"/>
        <v>57.432000000000002</v>
      </c>
      <c r="M9" s="723">
        <f t="shared" si="21"/>
        <v>86.1</v>
      </c>
      <c r="N9" s="723">
        <f t="shared" si="21"/>
        <v>117.065</v>
      </c>
      <c r="O9" s="724">
        <f t="shared" si="21"/>
        <v>151.20699999999999</v>
      </c>
      <c r="P9" s="723">
        <f t="shared" si="21"/>
        <v>181.08596094854713</v>
      </c>
      <c r="Q9" s="723">
        <f t="shared" si="21"/>
        <v>214.3495904078479</v>
      </c>
      <c r="R9" s="723">
        <f t="shared" si="21"/>
        <v>247.39496712593953</v>
      </c>
      <c r="S9" s="723">
        <f t="shared" si="21"/>
        <v>279.90250881834476</v>
      </c>
      <c r="T9" s="723">
        <f t="shared" si="21"/>
        <v>310.56627568580592</v>
      </c>
      <c r="U9" s="723">
        <f t="shared" si="21"/>
        <v>340.66034296533769</v>
      </c>
      <c r="V9" s="723">
        <f t="shared" ref="V9:W9" si="22">SUM(V6:V8)</f>
        <v>370.21487337014503</v>
      </c>
      <c r="W9" s="723">
        <f t="shared" si="22"/>
        <v>399.24094656190408</v>
      </c>
      <c r="X9" s="723">
        <f t="shared" ref="X9" si="23">SUM(X6:X8)</f>
        <v>427.74531361571172</v>
      </c>
      <c r="Y9" s="246">
        <f>(Q9/N9)^(1/3)-1</f>
        <v>0.22339076035407746</v>
      </c>
      <c r="Z9" s="246"/>
      <c r="AA9" s="721" t="str">
        <f t="shared" si="12"/>
        <v>Total  Revenue</v>
      </c>
      <c r="AB9" s="722" t="str">
        <f t="shared" si="13"/>
        <v>S$m</v>
      </c>
      <c r="AC9" s="736">
        <v>12</v>
      </c>
      <c r="AD9" s="737">
        <f t="shared" ref="AD9" si="24">AE9-AC9</f>
        <v>20.299999999999997</v>
      </c>
      <c r="AE9" s="723">
        <f>K9</f>
        <v>32.299999999999997</v>
      </c>
      <c r="AF9" s="737">
        <f>SUM(AF6:AF8)</f>
        <v>25.6</v>
      </c>
      <c r="AG9" s="737">
        <f t="shared" si="4"/>
        <v>31.832000000000001</v>
      </c>
      <c r="AH9" s="723">
        <f>L9</f>
        <v>57.432000000000002</v>
      </c>
      <c r="AI9" s="737">
        <f>SUM(AI6:AI8)</f>
        <v>39.606000000000002</v>
      </c>
      <c r="AJ9" s="737">
        <f t="shared" si="14"/>
        <v>46.493999999999993</v>
      </c>
      <c r="AK9" s="730">
        <f>M9</f>
        <v>86.1</v>
      </c>
      <c r="AL9" s="737">
        <f>SUM(AL6:AL8)</f>
        <v>54.715000000000003</v>
      </c>
      <c r="AM9" s="737">
        <f t="shared" si="15"/>
        <v>62.349999999999994</v>
      </c>
      <c r="AN9" s="723">
        <f>N9</f>
        <v>117.065</v>
      </c>
      <c r="AO9" s="736">
        <v>73.161000000000001</v>
      </c>
      <c r="AP9" s="737">
        <f t="shared" si="16"/>
        <v>78.045999999999992</v>
      </c>
      <c r="AQ9" s="723">
        <f t="shared" si="8"/>
        <v>151.20699999999999</v>
      </c>
      <c r="AR9" s="737">
        <f>AR6+AR7+AR8</f>
        <v>88.844744570031594</v>
      </c>
      <c r="AS9" s="737">
        <f t="shared" si="17"/>
        <v>92.241216378515531</v>
      </c>
      <c r="AT9" s="723">
        <f t="shared" si="10"/>
        <v>181.08596094854713</v>
      </c>
      <c r="AU9" s="723">
        <f t="shared" si="10"/>
        <v>214.3495904078479</v>
      </c>
      <c r="AV9" s="207"/>
      <c r="AW9" s="721" t="s">
        <v>210</v>
      </c>
      <c r="AX9" s="741">
        <f>AF9/AH9</f>
        <v>0.44574453266471653</v>
      </c>
      <c r="AY9" s="741">
        <f>AG9/AH9</f>
        <v>0.55425546733528341</v>
      </c>
      <c r="AZ9" s="723"/>
      <c r="BA9" s="741">
        <f>AI9/AK9</f>
        <v>0.46000000000000008</v>
      </c>
      <c r="BB9" s="741">
        <f>AJ9/AK9</f>
        <v>0.53999999999999992</v>
      </c>
      <c r="BC9" s="723"/>
      <c r="BD9" s="741">
        <f>AL9/AN9</f>
        <v>0.46738991158757959</v>
      </c>
      <c r="BE9" s="741">
        <f>AM9/AN9</f>
        <v>0.53261008841242041</v>
      </c>
      <c r="BF9" s="723"/>
      <c r="BG9" s="741">
        <f>AO9/AQ9</f>
        <v>0.48384664731130178</v>
      </c>
      <c r="BH9" s="741">
        <f>AP9/AQ9</f>
        <v>0.51615335268869822</v>
      </c>
      <c r="BI9" s="723"/>
      <c r="BJ9" s="741">
        <f>AR9/AT9</f>
        <v>0.49062193504484591</v>
      </c>
      <c r="BK9" s="741">
        <f>1-BJ9</f>
        <v>0.50937806495515403</v>
      </c>
      <c r="BL9" s="723"/>
      <c r="BO9" s="204"/>
      <c r="BT9" s="674"/>
    </row>
    <row r="10" spans="2:72" s="187" customFormat="1" ht="13.95" customHeight="1">
      <c r="B10" s="391" t="s">
        <v>17</v>
      </c>
      <c r="C10" s="392" t="s">
        <v>122</v>
      </c>
      <c r="D10" s="358"/>
      <c r="E10" s="358"/>
      <c r="F10" s="358"/>
      <c r="G10" s="460" t="str">
        <f t="shared" ref="G10:O10" si="25">IFERROR((G9/F9-1),"NA")</f>
        <v>NA</v>
      </c>
      <c r="H10" s="460" t="str">
        <f t="shared" si="25"/>
        <v>NA</v>
      </c>
      <c r="I10" s="460" t="str">
        <f>IFERROR((I9/H9-1),"NA")</f>
        <v>NA</v>
      </c>
      <c r="J10" s="460">
        <f t="shared" si="25"/>
        <v>124.62499999999999</v>
      </c>
      <c r="K10" s="460">
        <f t="shared" si="25"/>
        <v>15.069651741293534</v>
      </c>
      <c r="L10" s="358">
        <f t="shared" si="25"/>
        <v>0.7780804953560374</v>
      </c>
      <c r="M10" s="358">
        <f t="shared" si="25"/>
        <v>0.49916422900125346</v>
      </c>
      <c r="N10" s="358">
        <f t="shared" si="25"/>
        <v>0.35963995354239264</v>
      </c>
      <c r="O10" s="393">
        <f t="shared" si="25"/>
        <v>0.29164993806859441</v>
      </c>
      <c r="P10" s="358">
        <f t="shared" ref="P10:X10" si="26">IFERROR((P9/O9-1),"NA")</f>
        <v>0.19760302729732837</v>
      </c>
      <c r="Q10" s="358">
        <f t="shared" si="26"/>
        <v>0.18368971998194894</v>
      </c>
      <c r="R10" s="358">
        <f t="shared" si="26"/>
        <v>0.15416580295402205</v>
      </c>
      <c r="S10" s="358">
        <f t="shared" si="26"/>
        <v>0.13139936543598663</v>
      </c>
      <c r="T10" s="358">
        <f t="shared" si="26"/>
        <v>0.10955159707897355</v>
      </c>
      <c r="U10" s="358">
        <f t="shared" si="26"/>
        <v>9.6900628418448598E-2</v>
      </c>
      <c r="V10" s="358">
        <f t="shared" si="26"/>
        <v>8.675659205748687E-2</v>
      </c>
      <c r="W10" s="358">
        <f t="shared" si="26"/>
        <v>7.8403314614371222E-2</v>
      </c>
      <c r="X10" s="358">
        <f t="shared" si="26"/>
        <v>7.1396401845239765E-2</v>
      </c>
      <c r="AA10" s="391" t="s">
        <v>17</v>
      </c>
      <c r="AB10" s="392" t="str">
        <f t="shared" si="13"/>
        <v>%</v>
      </c>
      <c r="AC10" s="358" t="str">
        <f t="shared" ref="AC10" si="27">IFERROR((AC9/Z9-1),"NA")</f>
        <v>NA</v>
      </c>
      <c r="AD10" s="358" t="str">
        <f t="shared" ref="AD10" si="28">IFERROR((AD9/AA9-1),"NA")</f>
        <v>NA</v>
      </c>
      <c r="AE10" s="434" t="str">
        <f>IFERROR((AE9/#REF!-1),"NA")</f>
        <v>NA</v>
      </c>
      <c r="AF10" s="358">
        <f t="shared" ref="AF10" si="29">IFERROR((AF9/AC9-1),"NA")</f>
        <v>1.1333333333333333</v>
      </c>
      <c r="AG10" s="358">
        <f t="shared" ref="AG10" si="30">IFERROR((AG9/AD9-1),"NA")</f>
        <v>0.56807881773399038</v>
      </c>
      <c r="AH10" s="434">
        <f t="shared" ref="AH10" si="31">AH9/AE9-1</f>
        <v>0.7780804953560374</v>
      </c>
      <c r="AI10" s="358">
        <f t="shared" ref="AI10" si="32">IFERROR((AI9/AF9-1),"NA")</f>
        <v>0.54710937500000001</v>
      </c>
      <c r="AJ10" s="358">
        <f t="shared" ref="AJ10" si="33">IFERROR((AJ9/AG9-1),"NA")</f>
        <v>0.46060567981904965</v>
      </c>
      <c r="AK10" s="434">
        <f>AK9/AH9-1</f>
        <v>0.49916422900125346</v>
      </c>
      <c r="AL10" s="358">
        <f t="shared" ref="AL10" si="34">IFERROR((AL9/AI9-1),"NA")</f>
        <v>0.38148260364591224</v>
      </c>
      <c r="AM10" s="358">
        <f t="shared" ref="AM10" si="35">IFERROR((AM9/AJ9-1),"NA")</f>
        <v>0.34103325160235731</v>
      </c>
      <c r="AN10" s="434">
        <f>AN9/AK9-1</f>
        <v>0.35963995354239264</v>
      </c>
      <c r="AO10" s="358">
        <f t="shared" ref="AO10" si="36">IFERROR((AO9/AL9-1),"NA")</f>
        <v>0.33712875811020737</v>
      </c>
      <c r="AP10" s="358">
        <f t="shared" ref="AP10" si="37">IFERROR((AP9/AM9-1),"NA")</f>
        <v>0.25174017642341617</v>
      </c>
      <c r="AQ10" s="434">
        <f>O10</f>
        <v>0.29164993806859441</v>
      </c>
      <c r="AR10" s="358">
        <f t="shared" ref="AR10" si="38">IFERROR((AR9/AO9-1),"NA")</f>
        <v>0.214373020735523</v>
      </c>
      <c r="AS10" s="358">
        <f t="shared" ref="AS10" si="39">IFERROR((AS9/AP9-1),"NA")</f>
        <v>0.18188268942054098</v>
      </c>
      <c r="AT10" s="434">
        <f t="shared" si="10"/>
        <v>0.19760302729732837</v>
      </c>
      <c r="AU10" s="434">
        <f t="shared" si="10"/>
        <v>0.18368971998194894</v>
      </c>
      <c r="AW10" s="391" t="s">
        <v>17</v>
      </c>
      <c r="AX10" s="358"/>
      <c r="AY10" s="358"/>
      <c r="AZ10" s="434"/>
      <c r="BA10" s="358"/>
      <c r="BB10" s="358"/>
      <c r="BC10" s="434"/>
      <c r="BD10" s="358"/>
      <c r="BE10" s="358"/>
      <c r="BF10" s="434"/>
      <c r="BG10" s="358"/>
      <c r="BH10" s="358"/>
      <c r="BI10" s="434"/>
      <c r="BJ10" s="358"/>
      <c r="BK10" s="358"/>
      <c r="BL10" s="434"/>
      <c r="BN10" s="611"/>
      <c r="BO10" s="612"/>
      <c r="BP10" s="395" t="s">
        <v>295</v>
      </c>
      <c r="BQ10" s="395" t="s">
        <v>305</v>
      </c>
      <c r="BR10" s="395" t="s">
        <v>310</v>
      </c>
      <c r="BS10" s="395" t="s">
        <v>328</v>
      </c>
      <c r="BT10" s="673"/>
    </row>
    <row r="11" spans="2:72" ht="13.95" customHeight="1">
      <c r="B11" s="13"/>
      <c r="C11" s="21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255"/>
      <c r="P11" s="162"/>
      <c r="Q11" s="162"/>
      <c r="R11" s="162"/>
      <c r="S11" s="162"/>
      <c r="T11" s="162"/>
      <c r="U11" s="162"/>
      <c r="V11" s="162"/>
      <c r="W11" s="162"/>
      <c r="X11" s="162"/>
      <c r="AA11" s="13"/>
      <c r="AB11" s="21"/>
      <c r="AC11" s="162"/>
      <c r="AD11" s="162"/>
      <c r="AE11" s="435"/>
      <c r="AF11" s="162"/>
      <c r="AG11" s="162"/>
      <c r="AH11" s="435"/>
      <c r="AI11" s="162"/>
      <c r="AJ11" s="162"/>
      <c r="AK11" s="435"/>
      <c r="AL11" s="459"/>
      <c r="AM11" s="459"/>
      <c r="AN11" s="802"/>
      <c r="AO11" s="459"/>
      <c r="AP11" s="162"/>
      <c r="AQ11" s="435"/>
      <c r="AR11" s="459"/>
      <c r="AS11" s="162"/>
      <c r="AT11" s="435"/>
      <c r="AU11" s="435"/>
      <c r="AW11" s="13"/>
      <c r="AX11" s="162"/>
      <c r="AY11" s="162"/>
      <c r="AZ11" s="435"/>
      <c r="BA11" s="162"/>
      <c r="BB11" s="162"/>
      <c r="BC11" s="435"/>
      <c r="BD11" s="162"/>
      <c r="BE11" s="162"/>
      <c r="BF11" s="435"/>
      <c r="BG11" s="162"/>
      <c r="BH11" s="162"/>
      <c r="BI11" s="435"/>
      <c r="BJ11" s="162"/>
      <c r="BK11" s="162"/>
      <c r="BL11" s="435"/>
      <c r="BN11" s="202" t="s">
        <v>49</v>
      </c>
      <c r="BO11" s="204" t="s">
        <v>256</v>
      </c>
      <c r="BP11" s="207">
        <f>N22</f>
        <v>49.74</v>
      </c>
      <c r="BQ11" s="207">
        <f>O22</f>
        <v>68.317000000000007</v>
      </c>
      <c r="BR11" s="207">
        <f>P22</f>
        <v>81.295729238638387</v>
      </c>
      <c r="BS11" s="207">
        <f>Q22</f>
        <v>96.44326856862007</v>
      </c>
    </row>
    <row r="12" spans="2:72" ht="13.95" customHeight="1">
      <c r="B12" s="16" t="str">
        <f>'1.Assumptions'!C90</f>
        <v>Network, carrier &amp; hardware costs</v>
      </c>
      <c r="C12" s="21" t="str">
        <f>C6</f>
        <v>S$m</v>
      </c>
      <c r="D12" s="17"/>
      <c r="E12" s="17"/>
      <c r="F12" s="17"/>
      <c r="G12" s="17">
        <f>'1.Assumptions'!H31</f>
        <v>0</v>
      </c>
      <c r="H12" s="17">
        <f>'1.Assumptions'!I31</f>
        <v>0</v>
      </c>
      <c r="I12" s="17">
        <f>'1.Assumptions'!J31</f>
        <v>0</v>
      </c>
      <c r="J12" s="17">
        <f>'1.Assumptions'!K31</f>
        <v>0.59600000000000009</v>
      </c>
      <c r="K12" s="17">
        <f>'1.Assumptions'!L31</f>
        <v>17.443148628559769</v>
      </c>
      <c r="L12" s="17">
        <f>'1.Assumptions'!M31</f>
        <v>22.283000000000001</v>
      </c>
      <c r="M12" s="17">
        <f>'1.Assumptions'!N31</f>
        <v>29.219000000000001</v>
      </c>
      <c r="N12" s="17">
        <f>'1.Assumptions'!O31</f>
        <v>35.750999999999991</v>
      </c>
      <c r="O12" s="252">
        <f>'1.Assumptions'!P31</f>
        <v>48.337000000000003</v>
      </c>
      <c r="P12" s="17">
        <f>'1.Assumptions'!Q31</f>
        <v>65.637167753809976</v>
      </c>
      <c r="Q12" s="17">
        <f>'1.Assumptions'!R31</f>
        <v>81.194063045803091</v>
      </c>
      <c r="R12" s="17">
        <f>'1.Assumptions'!S31</f>
        <v>96.937475623849735</v>
      </c>
      <c r="S12" s="17">
        <f>'1.Assumptions'!T31</f>
        <v>112.56931582110005</v>
      </c>
      <c r="T12" s="17">
        <f>'1.Assumptions'!U31</f>
        <v>126.74792620508603</v>
      </c>
      <c r="U12" s="17">
        <f>'1.Assumptions'!V31</f>
        <v>140.74273833000515</v>
      </c>
      <c r="V12" s="17">
        <f>'1.Assumptions'!W31</f>
        <v>154.5798008721593</v>
      </c>
      <c r="W12" s="17">
        <f>'1.Assumptions'!X31</f>
        <v>168.27945995012982</v>
      </c>
      <c r="X12" s="17">
        <f>'1.Assumptions'!Y31</f>
        <v>181.8608918691742</v>
      </c>
      <c r="Y12" s="246"/>
      <c r="AA12" s="16" t="s">
        <v>211</v>
      </c>
      <c r="AB12" s="21" t="str">
        <f t="shared" si="13"/>
        <v>S$m</v>
      </c>
      <c r="AC12" s="448"/>
      <c r="AD12" s="459"/>
      <c r="AE12" s="433">
        <f>K12</f>
        <v>17.443148628559769</v>
      </c>
      <c r="AF12" s="448">
        <v>10.259</v>
      </c>
      <c r="AG12" s="459">
        <f>AH12-AF12</f>
        <v>12.024000000000001</v>
      </c>
      <c r="AH12" s="433">
        <f>L12</f>
        <v>22.283000000000001</v>
      </c>
      <c r="AI12" s="448">
        <v>13.773</v>
      </c>
      <c r="AJ12" s="459">
        <f>AK12-AI12</f>
        <v>15.446000000000002</v>
      </c>
      <c r="AK12" s="433">
        <f>M12</f>
        <v>29.219000000000001</v>
      </c>
      <c r="AL12" s="459">
        <v>17.102</v>
      </c>
      <c r="AM12" s="459">
        <f>AN12-AL12</f>
        <v>18.64899999999999</v>
      </c>
      <c r="AN12" s="802">
        <f>N12</f>
        <v>35.750999999999991</v>
      </c>
      <c r="AO12" s="448">
        <v>21.835999999999999</v>
      </c>
      <c r="AP12" s="459">
        <f>AQ12-AO12</f>
        <v>26.501000000000005</v>
      </c>
      <c r="AQ12" s="433">
        <f>O12</f>
        <v>48.337000000000003</v>
      </c>
      <c r="AR12" s="459">
        <f>BJ12*AT12</f>
        <v>31.505840521828787</v>
      </c>
      <c r="AS12" s="459">
        <f>AT12-AR12</f>
        <v>34.131327231981189</v>
      </c>
      <c r="AT12" s="433">
        <f>P12</f>
        <v>65.637167753809976</v>
      </c>
      <c r="AU12" s="433">
        <f>Q12</f>
        <v>81.194063045803091</v>
      </c>
      <c r="AW12" s="16" t="s">
        <v>211</v>
      </c>
      <c r="AX12" s="50">
        <f>AF12/AH12</f>
        <v>0.46039581743930347</v>
      </c>
      <c r="AY12" s="24">
        <f>1-AX12</f>
        <v>0.53960418256069653</v>
      </c>
      <c r="AZ12" s="433"/>
      <c r="BA12" s="50">
        <f>AI12/AK12</f>
        <v>0.47137136794551487</v>
      </c>
      <c r="BB12" s="24">
        <f>1-BA12</f>
        <v>0.52862863205448507</v>
      </c>
      <c r="BC12" s="433"/>
      <c r="BD12" s="50">
        <f>AL12/AN12</f>
        <v>0.47836424155967677</v>
      </c>
      <c r="BE12" s="24">
        <f>1-BD12</f>
        <v>0.52163575844032328</v>
      </c>
      <c r="BF12" s="433"/>
      <c r="BG12" s="50">
        <f>AO12/AQ12</f>
        <v>0.45174504003144583</v>
      </c>
      <c r="BH12" s="24">
        <f>1-BG12</f>
        <v>0.54825495996855422</v>
      </c>
      <c r="BI12" s="433"/>
      <c r="BJ12" s="50">
        <v>0.48</v>
      </c>
      <c r="BK12" s="24">
        <f>1-BJ12</f>
        <v>0.52</v>
      </c>
      <c r="BL12" s="433"/>
      <c r="BN12" s="1" t="s">
        <v>124</v>
      </c>
      <c r="BO12" s="2" t="s">
        <v>256</v>
      </c>
      <c r="BP12" s="6">
        <v>-10</v>
      </c>
      <c r="BQ12" s="6">
        <v>-10</v>
      </c>
      <c r="BR12" s="6">
        <v>-10</v>
      </c>
      <c r="BS12" s="6">
        <v>-10</v>
      </c>
      <c r="BT12" s="673" t="s">
        <v>300</v>
      </c>
    </row>
    <row r="13" spans="2:72" ht="13.95" customHeight="1">
      <c r="B13" s="16"/>
      <c r="C13" s="21"/>
      <c r="D13" s="24"/>
      <c r="E13" s="24"/>
      <c r="F13" s="24"/>
      <c r="G13" s="24"/>
      <c r="H13" s="24"/>
      <c r="I13" s="24"/>
      <c r="J13" s="17"/>
      <c r="K13" s="17"/>
      <c r="L13" s="17"/>
      <c r="M13" s="17"/>
      <c r="N13" s="17"/>
      <c r="O13" s="252"/>
      <c r="P13" s="17"/>
      <c r="Q13" s="17"/>
      <c r="R13" s="17"/>
      <c r="S13" s="17"/>
      <c r="T13" s="17"/>
      <c r="U13" s="17"/>
      <c r="V13" s="17"/>
      <c r="W13" s="17"/>
      <c r="X13" s="17"/>
      <c r="AA13" s="16"/>
      <c r="AB13" s="21"/>
      <c r="AC13" s="24"/>
      <c r="AD13" s="24"/>
      <c r="AE13" s="436"/>
      <c r="AF13" s="24"/>
      <c r="AG13" s="24"/>
      <c r="AH13" s="436"/>
      <c r="AI13" s="24"/>
      <c r="AJ13" s="24"/>
      <c r="AK13" s="436"/>
      <c r="AL13" s="623"/>
      <c r="AM13" s="623"/>
      <c r="AN13" s="809"/>
      <c r="AO13" s="623"/>
      <c r="AP13" s="24"/>
      <c r="AQ13" s="436"/>
      <c r="AR13" s="623"/>
      <c r="AS13" s="24"/>
      <c r="AT13" s="436"/>
      <c r="AU13" s="436"/>
      <c r="AW13" s="16"/>
      <c r="AX13" s="24"/>
      <c r="AY13" s="24"/>
      <c r="AZ13" s="436"/>
      <c r="BA13" s="24"/>
      <c r="BB13" s="24"/>
      <c r="BC13" s="436"/>
      <c r="BD13" s="24"/>
      <c r="BE13" s="24"/>
      <c r="BF13" s="436"/>
      <c r="BG13" s="24"/>
      <c r="BH13" s="24"/>
      <c r="BI13" s="436"/>
      <c r="BJ13" s="24"/>
      <c r="BK13" s="24"/>
      <c r="BL13" s="436"/>
      <c r="BN13" s="202" t="s">
        <v>72</v>
      </c>
      <c r="BO13" s="204" t="s">
        <v>256</v>
      </c>
      <c r="BP13" s="207">
        <f>BP11+BP12</f>
        <v>39.74</v>
      </c>
      <c r="BQ13" s="207">
        <f>BQ11+BQ12</f>
        <v>58.317000000000007</v>
      </c>
      <c r="BR13" s="207">
        <f>BR11+BR12</f>
        <v>71.295729238638387</v>
      </c>
      <c r="BS13" s="207">
        <f>BS11+BS12</f>
        <v>86.44326856862007</v>
      </c>
    </row>
    <row r="14" spans="2:72" ht="13.95" customHeight="1">
      <c r="B14" s="26" t="s">
        <v>44</v>
      </c>
      <c r="C14" s="27" t="s">
        <v>256</v>
      </c>
      <c r="D14" s="23"/>
      <c r="E14" s="23"/>
      <c r="F14" s="23"/>
      <c r="G14" s="23">
        <f>G9-G12</f>
        <v>0</v>
      </c>
      <c r="H14" s="23">
        <f>H9-H12</f>
        <v>0</v>
      </c>
      <c r="I14" s="23">
        <f t="shared" ref="I14:U14" si="40">I9-I12</f>
        <v>1.6E-2</v>
      </c>
      <c r="J14" s="23">
        <f t="shared" si="40"/>
        <v>1.4139999999999997</v>
      </c>
      <c r="K14" s="23">
        <f t="shared" si="40"/>
        <v>14.856851371440229</v>
      </c>
      <c r="L14" s="23">
        <f t="shared" si="40"/>
        <v>35.149000000000001</v>
      </c>
      <c r="M14" s="23">
        <f t="shared" si="40"/>
        <v>56.880999999999993</v>
      </c>
      <c r="N14" s="23">
        <f t="shared" si="40"/>
        <v>81.314000000000007</v>
      </c>
      <c r="O14" s="256">
        <f t="shared" si="40"/>
        <v>102.86999999999999</v>
      </c>
      <c r="P14" s="23">
        <f t="shared" si="40"/>
        <v>115.44879319473715</v>
      </c>
      <c r="Q14" s="23">
        <f t="shared" si="40"/>
        <v>133.15552736204481</v>
      </c>
      <c r="R14" s="23">
        <f t="shared" si="40"/>
        <v>150.45749150208979</v>
      </c>
      <c r="S14" s="23">
        <f t="shared" si="40"/>
        <v>167.33319299724471</v>
      </c>
      <c r="T14" s="23">
        <f t="shared" si="40"/>
        <v>183.81834948071989</v>
      </c>
      <c r="U14" s="23">
        <f t="shared" si="40"/>
        <v>199.91760463533254</v>
      </c>
      <c r="V14" s="23">
        <f t="shared" ref="V14:W14" si="41">V9-V12</f>
        <v>215.63507249798573</v>
      </c>
      <c r="W14" s="23">
        <f t="shared" si="41"/>
        <v>230.96148661177426</v>
      </c>
      <c r="X14" s="23">
        <f>X9-X12</f>
        <v>245.88442174653753</v>
      </c>
      <c r="Y14" s="246">
        <f>(Q14/N14)^(1/3)-1</f>
        <v>0.17868554588349461</v>
      </c>
      <c r="AA14" s="26" t="s">
        <v>44</v>
      </c>
      <c r="AB14" s="27" t="str">
        <f t="shared" si="13"/>
        <v>S$m</v>
      </c>
      <c r="AC14" s="34"/>
      <c r="AD14" s="34"/>
      <c r="AE14" s="437">
        <f>K14</f>
        <v>14.856851371440229</v>
      </c>
      <c r="AF14" s="34">
        <f>AF9-AF12</f>
        <v>15.341000000000001</v>
      </c>
      <c r="AG14" s="34">
        <f>AH14-AF14</f>
        <v>19.808</v>
      </c>
      <c r="AH14" s="437">
        <f>L14</f>
        <v>35.149000000000001</v>
      </c>
      <c r="AI14" s="34">
        <f>AI9-AI12</f>
        <v>25.833000000000002</v>
      </c>
      <c r="AJ14" s="34">
        <f>AK14-AI14</f>
        <v>31.047999999999991</v>
      </c>
      <c r="AK14" s="437">
        <f>M14</f>
        <v>56.880999999999993</v>
      </c>
      <c r="AL14" s="226">
        <f>AL9-AL12</f>
        <v>37.613</v>
      </c>
      <c r="AM14" s="226">
        <f>AN14-AL14</f>
        <v>43.701000000000008</v>
      </c>
      <c r="AN14" s="810">
        <f>N14</f>
        <v>81.314000000000007</v>
      </c>
      <c r="AO14" s="226">
        <f>AO9-AO12</f>
        <v>51.325000000000003</v>
      </c>
      <c r="AP14" s="34">
        <f>AQ14-AO14</f>
        <v>51.544999999999987</v>
      </c>
      <c r="AQ14" s="437">
        <f>O14</f>
        <v>102.86999999999999</v>
      </c>
      <c r="AR14" s="226">
        <f>AR9-AR12</f>
        <v>57.338904048202807</v>
      </c>
      <c r="AS14" s="34">
        <f>AT14-AR14</f>
        <v>58.109889146534343</v>
      </c>
      <c r="AT14" s="437">
        <f>P14</f>
        <v>115.44879319473715</v>
      </c>
      <c r="AU14" s="437">
        <f>Q14</f>
        <v>133.15552736204481</v>
      </c>
      <c r="AW14" s="26" t="s">
        <v>44</v>
      </c>
      <c r="AX14" s="213">
        <f>AF14/AH14</f>
        <v>0.4364562291957097</v>
      </c>
      <c r="AY14" s="452">
        <f>1-AX14</f>
        <v>0.5635437708042903</v>
      </c>
      <c r="AZ14" s="437"/>
      <c r="BA14" s="213">
        <f>AI14/AK14</f>
        <v>0.45415868216100286</v>
      </c>
      <c r="BB14" s="452">
        <f>1-BA14</f>
        <v>0.54584131783899714</v>
      </c>
      <c r="BC14" s="437"/>
      <c r="BD14" s="213">
        <f>AL14/AN14</f>
        <v>0.46256487197776514</v>
      </c>
      <c r="BE14" s="452">
        <f>1-BD14</f>
        <v>0.53743512802223492</v>
      </c>
      <c r="BF14" s="437"/>
      <c r="BG14" s="213">
        <f>AO14/AQ14</f>
        <v>0.4989306892194032</v>
      </c>
      <c r="BH14" s="452">
        <f>1-BG14</f>
        <v>0.5010693107805968</v>
      </c>
      <c r="BI14" s="437"/>
      <c r="BJ14" s="213">
        <f>BG14</f>
        <v>0.4989306892194032</v>
      </c>
      <c r="BK14" s="452">
        <f>1-BJ14</f>
        <v>0.5010693107805968</v>
      </c>
      <c r="BL14" s="437"/>
      <c r="BN14" s="1" t="s">
        <v>22</v>
      </c>
      <c r="BO14" s="2" t="s">
        <v>256</v>
      </c>
      <c r="BP14" s="6">
        <f>-17%*BP13</f>
        <v>-6.7558000000000007</v>
      </c>
      <c r="BQ14" s="6">
        <f>-17%*BQ13</f>
        <v>-9.9138900000000021</v>
      </c>
      <c r="BR14" s="6">
        <f>-17%*BR13</f>
        <v>-12.120273970568526</v>
      </c>
      <c r="BS14" s="6">
        <f>-17%*BS13</f>
        <v>-14.695355656665413</v>
      </c>
      <c r="BT14" s="673" t="s">
        <v>299</v>
      </c>
    </row>
    <row r="15" spans="2:72" s="187" customFormat="1" ht="13.95" customHeight="1">
      <c r="B15" s="391" t="s">
        <v>17</v>
      </c>
      <c r="C15" s="392" t="s">
        <v>122</v>
      </c>
      <c r="D15" s="358"/>
      <c r="E15" s="358"/>
      <c r="F15" s="358"/>
      <c r="G15" s="460" t="str">
        <f t="shared" ref="G15:O15" si="42">IFERROR((G14/F14-1),"NA")</f>
        <v>NA</v>
      </c>
      <c r="H15" s="460" t="str">
        <f t="shared" si="42"/>
        <v>NA</v>
      </c>
      <c r="I15" s="460" t="str">
        <f t="shared" si="42"/>
        <v>NA</v>
      </c>
      <c r="J15" s="460">
        <f t="shared" si="42"/>
        <v>87.374999999999986</v>
      </c>
      <c r="K15" s="460">
        <f t="shared" si="42"/>
        <v>9.506967023649386</v>
      </c>
      <c r="L15" s="460">
        <f t="shared" si="42"/>
        <v>1.3658444929702922</v>
      </c>
      <c r="M15" s="460">
        <f t="shared" si="42"/>
        <v>0.61828217018976339</v>
      </c>
      <c r="N15" s="460">
        <f t="shared" si="42"/>
        <v>0.42954589405952803</v>
      </c>
      <c r="O15" s="512">
        <f t="shared" si="42"/>
        <v>0.26509580146100276</v>
      </c>
      <c r="P15" s="460">
        <f t="shared" ref="P15:X15" si="43">IFERROR((P14/O14-1),"NA")</f>
        <v>0.12227853790937271</v>
      </c>
      <c r="Q15" s="460">
        <f t="shared" si="43"/>
        <v>0.15337305551076863</v>
      </c>
      <c r="R15" s="460">
        <f t="shared" si="43"/>
        <v>0.12993800920484211</v>
      </c>
      <c r="S15" s="460">
        <f t="shared" si="43"/>
        <v>0.11216258709803428</v>
      </c>
      <c r="T15" s="460">
        <f t="shared" si="43"/>
        <v>9.8516954037604521E-2</v>
      </c>
      <c r="U15" s="460">
        <f t="shared" si="43"/>
        <v>8.7582416010656416E-2</v>
      </c>
      <c r="V15" s="460">
        <f t="shared" si="43"/>
        <v>7.8619728819396606E-2</v>
      </c>
      <c r="W15" s="460">
        <f t="shared" si="43"/>
        <v>7.1075701815305203E-2</v>
      </c>
      <c r="X15" s="460">
        <f t="shared" si="43"/>
        <v>6.4612223248490697E-2</v>
      </c>
      <c r="AA15" s="391" t="s">
        <v>17</v>
      </c>
      <c r="AB15" s="392" t="str">
        <f t="shared" si="13"/>
        <v>%</v>
      </c>
      <c r="AC15" s="358"/>
      <c r="AD15" s="358"/>
      <c r="AE15" s="434" t="str">
        <f>IFERROR((AE14/#REF!-1),"NA")</f>
        <v>NA</v>
      </c>
      <c r="AF15" s="358" t="str">
        <f t="shared" ref="AF15" si="44">IFERROR((AF14/AC14-1),"NA")</f>
        <v>NA</v>
      </c>
      <c r="AG15" s="358" t="str">
        <f t="shared" ref="AG15" si="45">IFERROR((AG14/AD14-1),"NA")</f>
        <v>NA</v>
      </c>
      <c r="AH15" s="434" t="str">
        <f>IFERROR((AH14/AC14-1),"NA")</f>
        <v>NA</v>
      </c>
      <c r="AI15" s="358">
        <f t="shared" ref="AI15" si="46">IFERROR((AI14/AF14-1),"NA")</f>
        <v>0.68391891011016237</v>
      </c>
      <c r="AJ15" s="358">
        <f t="shared" ref="AJ15" si="47">IFERROR((AJ14/AG14-1),"NA")</f>
        <v>0.56744749596122745</v>
      </c>
      <c r="AK15" s="434">
        <f>AK14/AH14-1</f>
        <v>0.61828217018976339</v>
      </c>
      <c r="AL15" s="358">
        <f t="shared" ref="AL15" si="48">IFERROR((AL14/AI14-1),"NA")</f>
        <v>0.45600588394688946</v>
      </c>
      <c r="AM15" s="358">
        <f t="shared" ref="AM15" si="49">IFERROR((AM14/AJ14-1),"NA")</f>
        <v>0.40753027570213929</v>
      </c>
      <c r="AN15" s="434">
        <f>AN14/AK14-1</f>
        <v>0.42954589405952803</v>
      </c>
      <c r="AO15" s="358">
        <f t="shared" ref="AO15" si="50">IFERROR((AO14/AL14-1),"NA")</f>
        <v>0.36455480817802366</v>
      </c>
      <c r="AP15" s="358">
        <f t="shared" ref="AP15" si="51">IFERROR((AP14/AM14-1),"NA")</f>
        <v>0.17949246012677</v>
      </c>
      <c r="AQ15" s="434">
        <f>O15</f>
        <v>0.26509580146100276</v>
      </c>
      <c r="AR15" s="358">
        <f t="shared" ref="AR15" si="52">IFERROR((AR14/AO14-1),"NA")</f>
        <v>0.11717299655533964</v>
      </c>
      <c r="AS15" s="358">
        <f t="shared" ref="AS15" si="53">IFERROR((AS14/AP14-1),"NA")</f>
        <v>0.12736228822454865</v>
      </c>
      <c r="AT15" s="434">
        <f>P15</f>
        <v>0.12227853790937271</v>
      </c>
      <c r="AU15" s="434">
        <f>Q15</f>
        <v>0.15337305551076863</v>
      </c>
      <c r="AW15" s="391"/>
      <c r="AX15" s="358"/>
      <c r="AY15" s="358"/>
      <c r="AZ15" s="434"/>
      <c r="BA15" s="358"/>
      <c r="BB15" s="358"/>
      <c r="BC15" s="434"/>
      <c r="BD15" s="358"/>
      <c r="BE15" s="358"/>
      <c r="BF15" s="434"/>
      <c r="BG15" s="358"/>
      <c r="BH15" s="358"/>
      <c r="BI15" s="434"/>
      <c r="BJ15" s="358"/>
      <c r="BK15" s="358"/>
      <c r="BL15" s="434"/>
      <c r="BN15" s="202" t="s">
        <v>296</v>
      </c>
      <c r="BO15" s="204" t="s">
        <v>256</v>
      </c>
      <c r="BP15" s="207">
        <f>BP13+BP14</f>
        <v>32.984200000000001</v>
      </c>
      <c r="BQ15" s="207">
        <f>BQ13+BQ14</f>
        <v>48.403110000000005</v>
      </c>
      <c r="BR15" s="207">
        <f>BR13+BR14</f>
        <v>59.175455268069861</v>
      </c>
      <c r="BS15" s="207">
        <f>BS13+BS14</f>
        <v>71.747912911954657</v>
      </c>
      <c r="BT15" s="673"/>
    </row>
    <row r="16" spans="2:72" s="187" customFormat="1" ht="13.95" customHeight="1">
      <c r="B16" s="391" t="s">
        <v>168</v>
      </c>
      <c r="C16" s="392" t="s">
        <v>122</v>
      </c>
      <c r="D16" s="358"/>
      <c r="E16" s="358"/>
      <c r="F16" s="358"/>
      <c r="G16" s="460" t="str">
        <f t="shared" ref="G16" si="54">IFERROR((G14/G9),"NA")</f>
        <v>NA</v>
      </c>
      <c r="H16" s="460" t="str">
        <f t="shared" ref="H16:I16" si="55">IFERROR((H14/H9),"NA")</f>
        <v>NA</v>
      </c>
      <c r="I16" s="460">
        <f t="shared" si="55"/>
        <v>1</v>
      </c>
      <c r="J16" s="460">
        <f t="shared" ref="J16:O16" si="56">IFERROR((J14/J9),"NA")</f>
        <v>0.70348258706467659</v>
      </c>
      <c r="K16" s="460">
        <f t="shared" si="56"/>
        <v>0.45996443874427956</v>
      </c>
      <c r="L16" s="460">
        <f t="shared" si="56"/>
        <v>0.61201072572781723</v>
      </c>
      <c r="M16" s="460">
        <f t="shared" si="56"/>
        <v>0.66063879210220666</v>
      </c>
      <c r="N16" s="460">
        <f t="shared" si="56"/>
        <v>0.69460556101311244</v>
      </c>
      <c r="O16" s="512">
        <f t="shared" si="56"/>
        <v>0.68032564629944381</v>
      </c>
      <c r="P16" s="460">
        <f t="shared" ref="P16:U16" si="57">IFERROR((P14/P9),"NA")</f>
        <v>0.63753585639662147</v>
      </c>
      <c r="Q16" s="460">
        <f t="shared" si="57"/>
        <v>0.6212072862312763</v>
      </c>
      <c r="R16" s="460">
        <f t="shared" si="57"/>
        <v>0.60816714765865676</v>
      </c>
      <c r="S16" s="460">
        <f t="shared" si="57"/>
        <v>0.59782669938783239</v>
      </c>
      <c r="T16" s="460">
        <f t="shared" si="57"/>
        <v>0.59188123074472343</v>
      </c>
      <c r="U16" s="460">
        <f t="shared" si="57"/>
        <v>0.58685317725895148</v>
      </c>
      <c r="V16" s="460">
        <f t="shared" ref="V16:W16" si="58">IFERROR((V14/V9),"NA")</f>
        <v>0.58245923653745635</v>
      </c>
      <c r="W16" s="460">
        <f t="shared" si="58"/>
        <v>0.57850150041151316</v>
      </c>
      <c r="X16" s="460">
        <f>IFERROR((X14/X9),"NA")</f>
        <v>0.57483837676230198</v>
      </c>
      <c r="AA16" s="391" t="s">
        <v>168</v>
      </c>
      <c r="AB16" s="392" t="str">
        <f t="shared" si="13"/>
        <v>%</v>
      </c>
      <c r="AC16" s="358"/>
      <c r="AD16" s="358"/>
      <c r="AE16" s="434">
        <f>IFERROR((AE14/AE$9),"NA")</f>
        <v>0.45996443874427956</v>
      </c>
      <c r="AF16" s="358">
        <f>AF14/AF9</f>
        <v>0.59925781249999999</v>
      </c>
      <c r="AG16" s="358">
        <f>AG14/AG9</f>
        <v>0.62226690123146522</v>
      </c>
      <c r="AH16" s="434">
        <f>IFERROR((AH14/AH$9),"NA")</f>
        <v>0.61201072572781723</v>
      </c>
      <c r="AI16" s="358">
        <f>AI14/AI9</f>
        <v>0.65224965914255417</v>
      </c>
      <c r="AJ16" s="358">
        <f>AJ14/AJ9</f>
        <v>0.66778509054931812</v>
      </c>
      <c r="AK16" s="434">
        <f>IFERROR((AK14/AK$9),"NA")</f>
        <v>0.66063879210220666</v>
      </c>
      <c r="AL16" s="358">
        <f>AL14/AL9</f>
        <v>0.68743488988394408</v>
      </c>
      <c r="AM16" s="358">
        <f>AM14/AM9</f>
        <v>0.70089815557337631</v>
      </c>
      <c r="AN16" s="434">
        <f>IFERROR((AN14/AN$9),"NA")</f>
        <v>0.69460556101311244</v>
      </c>
      <c r="AO16" s="358">
        <f>AO14/AO9</f>
        <v>0.70153497081778549</v>
      </c>
      <c r="AP16" s="358">
        <f>AP14/AP9</f>
        <v>0.66044384081182883</v>
      </c>
      <c r="AQ16" s="434">
        <f>IFERROR((AQ14/AQ$9),"NA")</f>
        <v>0.68032564629944381</v>
      </c>
      <c r="AR16" s="358">
        <f>AR14/AR9</f>
        <v>0.64538318305373255</v>
      </c>
      <c r="AS16" s="358">
        <f>AS14/AS9</f>
        <v>0.62997748108695883</v>
      </c>
      <c r="AT16" s="434">
        <f>IFERROR((AT14/AT$9),"NA")</f>
        <v>0.63753585639662147</v>
      </c>
      <c r="AU16" s="434">
        <f>IFERROR((AU14/AU$9),"NA")</f>
        <v>0.6212072862312763</v>
      </c>
      <c r="AW16" s="391"/>
      <c r="AX16" s="358"/>
      <c r="AY16" s="358"/>
      <c r="AZ16" s="434"/>
      <c r="BA16" s="358"/>
      <c r="BB16" s="358"/>
      <c r="BC16" s="434"/>
      <c r="BD16" s="358"/>
      <c r="BE16" s="358"/>
      <c r="BF16" s="434"/>
      <c r="BG16" s="358"/>
      <c r="BH16" s="358"/>
      <c r="BI16" s="434"/>
      <c r="BJ16" s="358"/>
      <c r="BK16" s="358"/>
      <c r="BL16" s="434"/>
      <c r="BN16" s="187" t="s">
        <v>296</v>
      </c>
      <c r="BO16" s="189" t="s">
        <v>302</v>
      </c>
      <c r="BP16" s="195">
        <f>BP15*1.12</f>
        <v>36.942304000000007</v>
      </c>
      <c r="BQ16" s="195">
        <f>BQ15*1.12</f>
        <v>54.211483200000011</v>
      </c>
      <c r="BR16" s="195">
        <f>BR15*1.12</f>
        <v>66.276509900238253</v>
      </c>
      <c r="BS16" s="195">
        <f>BS15*1.12</f>
        <v>80.357662461389225</v>
      </c>
      <c r="BT16" s="673"/>
    </row>
    <row r="17" spans="1:72" ht="13.95" customHeight="1">
      <c r="B17" s="16"/>
      <c r="C17" s="21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18"/>
      <c r="P17" s="24"/>
      <c r="Q17" s="24"/>
      <c r="R17" s="24"/>
      <c r="S17" s="24"/>
      <c r="T17" s="24"/>
      <c r="U17" s="24"/>
      <c r="V17" s="24"/>
      <c r="W17" s="24"/>
      <c r="X17" s="24"/>
      <c r="AA17" s="16"/>
      <c r="AB17" s="21"/>
      <c r="AC17" s="24"/>
      <c r="AD17" s="24"/>
      <c r="AE17" s="436"/>
      <c r="AF17" s="24"/>
      <c r="AG17" s="24"/>
      <c r="AH17" s="436"/>
      <c r="AI17" s="24"/>
      <c r="AJ17" s="24"/>
      <c r="AK17" s="436"/>
      <c r="AL17" s="623"/>
      <c r="AM17" s="623"/>
      <c r="AN17" s="809"/>
      <c r="AO17" s="623"/>
      <c r="AP17" s="24"/>
      <c r="AQ17" s="436"/>
      <c r="AR17" s="623"/>
      <c r="AS17" s="24"/>
      <c r="AT17" s="436"/>
      <c r="AU17" s="436"/>
      <c r="AW17" s="16"/>
      <c r="AX17" s="24"/>
      <c r="AY17" s="24"/>
      <c r="AZ17" s="436"/>
      <c r="BA17" s="24"/>
      <c r="BB17" s="24"/>
      <c r="BC17" s="436"/>
      <c r="BD17" s="24"/>
      <c r="BE17" s="24"/>
      <c r="BF17" s="436"/>
      <c r="BG17" s="24"/>
      <c r="BH17" s="24"/>
      <c r="BI17" s="436"/>
      <c r="BJ17" s="24"/>
      <c r="BK17" s="24"/>
      <c r="BL17" s="436"/>
    </row>
    <row r="18" spans="1:72" ht="13.95" customHeight="1">
      <c r="B18" s="26" t="s">
        <v>284</v>
      </c>
      <c r="C18" s="27" t="s">
        <v>256</v>
      </c>
      <c r="D18" s="23"/>
      <c r="E18" s="23"/>
      <c r="F18" s="23"/>
      <c r="G18" s="23">
        <f>'1.Assumptions'!H36</f>
        <v>0.311</v>
      </c>
      <c r="H18" s="23">
        <f>'1.Assumptions'!I36</f>
        <v>1.427</v>
      </c>
      <c r="I18" s="23">
        <f>'1.Assumptions'!J36</f>
        <v>2.6059999999999999</v>
      </c>
      <c r="J18" s="23">
        <f>'1.Assumptions'!K36</f>
        <v>4.0779999999999994</v>
      </c>
      <c r="K18" s="23">
        <f>'1.Assumptions'!L36</f>
        <v>15.356851371440229</v>
      </c>
      <c r="L18" s="23">
        <f>'1.Assumptions'!M36</f>
        <v>19.649000000000001</v>
      </c>
      <c r="M18" s="23">
        <f>'1.Assumptions'!N36</f>
        <v>25.780999999999992</v>
      </c>
      <c r="N18" s="23">
        <f>'1.Assumptions'!O36</f>
        <v>31.574000000000005</v>
      </c>
      <c r="O18" s="256">
        <f>'1.Assumptions'!P36</f>
        <v>34.552999999999983</v>
      </c>
      <c r="P18" s="23">
        <f>'1.Assumptions'!Q36</f>
        <v>34.153063956098762</v>
      </c>
      <c r="Q18" s="23">
        <f>'1.Assumptions'!R36</f>
        <v>36.712258793424738</v>
      </c>
      <c r="R18" s="23">
        <f>'1.Assumptions'!S36</f>
        <v>35.435044488188908</v>
      </c>
      <c r="S18" s="23">
        <f>'1.Assumptions'!T36</f>
        <v>32.998331802547682</v>
      </c>
      <c r="T18" s="23">
        <f>'1.Assumptions'!U36</f>
        <v>30.10839556347446</v>
      </c>
      <c r="U18" s="23">
        <f>'1.Assumptions'!V36</f>
        <v>26.203154444855187</v>
      </c>
      <c r="V18" s="23">
        <f>'1.Assumptions'!W36</f>
        <v>21.296525517290348</v>
      </c>
      <c r="W18" s="23">
        <f>'1.Assumptions'!X36</f>
        <v>15.397539192023089</v>
      </c>
      <c r="X18" s="23">
        <f>'1.Assumptions'!Y36</f>
        <v>8.5138044092239795</v>
      </c>
      <c r="Y18" s="246">
        <f>(Q18/N18)^(1/3)-1</f>
        <v>5.1543315949703628E-2</v>
      </c>
      <c r="AA18" s="26" t="s">
        <v>214</v>
      </c>
      <c r="AB18" s="27" t="str">
        <f t="shared" si="13"/>
        <v>S$m</v>
      </c>
      <c r="AC18" s="34"/>
      <c r="AD18" s="34"/>
      <c r="AE18" s="437">
        <f>K18</f>
        <v>15.356851371440229</v>
      </c>
      <c r="AF18" s="34">
        <f>AF14-AF22</f>
        <v>9.0410000000000004</v>
      </c>
      <c r="AG18" s="34">
        <f>AH18-AF18</f>
        <v>10.608000000000001</v>
      </c>
      <c r="AH18" s="437">
        <f>AH14-AH22</f>
        <v>19.649000000000001</v>
      </c>
      <c r="AI18" s="34">
        <f>AI14-AI22</f>
        <v>11.533000000000001</v>
      </c>
      <c r="AJ18" s="34">
        <f>AK18-AI18</f>
        <v>14.24799999999999</v>
      </c>
      <c r="AK18" s="437">
        <f>AK14-AK22</f>
        <v>25.780999999999992</v>
      </c>
      <c r="AL18" s="226">
        <f>AL14-AL22</f>
        <v>15.213000000000001</v>
      </c>
      <c r="AM18" s="226">
        <f>AN18-AL18</f>
        <v>16.361000000000004</v>
      </c>
      <c r="AN18" s="810">
        <f>AN14-AN22</f>
        <v>31.574000000000005</v>
      </c>
      <c r="AO18" s="226">
        <f>AO14-AO22</f>
        <v>18.225000000000001</v>
      </c>
      <c r="AP18" s="34">
        <f>AQ18-AO18</f>
        <v>16.327999999999982</v>
      </c>
      <c r="AQ18" s="437">
        <f>AQ14-AQ22</f>
        <v>34.552999999999983</v>
      </c>
      <c r="AR18" s="226">
        <f>BJ18*AT18</f>
        <v>17.076531978049381</v>
      </c>
      <c r="AS18" s="34">
        <f>AT18-AR18</f>
        <v>17.076531978049381</v>
      </c>
      <c r="AT18" s="437">
        <f>AT14-AT22</f>
        <v>34.153063956098762</v>
      </c>
      <c r="AU18" s="437">
        <f>AU14-AU22</f>
        <v>36.712258793424738</v>
      </c>
      <c r="AW18" s="26" t="s">
        <v>214</v>
      </c>
      <c r="AX18" s="213">
        <f>AF18/AH18</f>
        <v>0.46012519721105399</v>
      </c>
      <c r="AY18" s="452">
        <f>1-AX18</f>
        <v>0.53987480278894595</v>
      </c>
      <c r="AZ18" s="437"/>
      <c r="BA18" s="213">
        <f>AI18/AK18</f>
        <v>0.44734494395097185</v>
      </c>
      <c r="BB18" s="452">
        <f>1-BA18</f>
        <v>0.5526550560490282</v>
      </c>
      <c r="BC18" s="437"/>
      <c r="BD18" s="213">
        <f>AL18/AN18</f>
        <v>0.48182048520934939</v>
      </c>
      <c r="BE18" s="452">
        <f>1-BD18</f>
        <v>0.51817951479065061</v>
      </c>
      <c r="BF18" s="437"/>
      <c r="BG18" s="213">
        <f>AO18/AQ18</f>
        <v>0.52745058316209914</v>
      </c>
      <c r="BH18" s="452">
        <f>1-BG18</f>
        <v>0.47254941683790086</v>
      </c>
      <c r="BI18" s="437"/>
      <c r="BJ18" s="213">
        <v>0.5</v>
      </c>
      <c r="BK18" s="452">
        <f>1-BJ18</f>
        <v>0.5</v>
      </c>
      <c r="BL18" s="437"/>
      <c r="BN18" s="1" t="s">
        <v>297</v>
      </c>
      <c r="BO18" s="2" t="s">
        <v>302</v>
      </c>
      <c r="BP18" s="670">
        <f>N56</f>
        <v>2066.5415604705886</v>
      </c>
      <c r="BQ18" s="670">
        <f>O56</f>
        <v>2088.9690836974792</v>
      </c>
      <c r="BR18" s="670">
        <f>P56</f>
        <v>2088.9690836974792</v>
      </c>
      <c r="BS18" s="670">
        <f>Q56</f>
        <v>2088.9690836974792</v>
      </c>
    </row>
    <row r="19" spans="1:72" s="187" customFormat="1" ht="13.95" customHeight="1">
      <c r="B19" s="391" t="s">
        <v>17</v>
      </c>
      <c r="C19" s="392" t="s">
        <v>122</v>
      </c>
      <c r="D19" s="358"/>
      <c r="E19" s="358"/>
      <c r="F19" s="358"/>
      <c r="G19" s="460" t="str">
        <f t="shared" ref="G19:L19" si="59">IFERROR((G18/F18-1),"NA")</f>
        <v>NA</v>
      </c>
      <c r="H19" s="460">
        <f t="shared" si="59"/>
        <v>3.5884244372990359</v>
      </c>
      <c r="I19" s="460">
        <f t="shared" si="59"/>
        <v>0.82620882971268372</v>
      </c>
      <c r="J19" s="460">
        <f t="shared" si="59"/>
        <v>0.56485034535686851</v>
      </c>
      <c r="K19" s="460">
        <f t="shared" si="59"/>
        <v>2.7657801303188405</v>
      </c>
      <c r="L19" s="460">
        <f t="shared" si="59"/>
        <v>0.27949405283312556</v>
      </c>
      <c r="M19" s="460">
        <f t="shared" ref="M19:X19" si="60">IFERROR((M18/L18-1),"NA")</f>
        <v>0.31207695048093997</v>
      </c>
      <c r="N19" s="460">
        <f t="shared" si="60"/>
        <v>0.22470036073077138</v>
      </c>
      <c r="O19" s="512">
        <f t="shared" si="60"/>
        <v>9.4349781465762339E-2</v>
      </c>
      <c r="P19" s="460">
        <f t="shared" si="60"/>
        <v>-1.1574567878367192E-2</v>
      </c>
      <c r="Q19" s="460">
        <f t="shared" si="60"/>
        <v>7.4933096503893015E-2</v>
      </c>
      <c r="R19" s="460">
        <f t="shared" si="60"/>
        <v>-3.4789858952088859E-2</v>
      </c>
      <c r="S19" s="460">
        <f t="shared" si="60"/>
        <v>-6.8765616661026652E-2</v>
      </c>
      <c r="T19" s="460">
        <f t="shared" si="60"/>
        <v>-8.7578252633064957E-2</v>
      </c>
      <c r="U19" s="460">
        <f t="shared" si="60"/>
        <v>-0.12970605193445961</v>
      </c>
      <c r="V19" s="460">
        <f t="shared" si="60"/>
        <v>-0.18725336821148353</v>
      </c>
      <c r="W19" s="460">
        <f t="shared" si="60"/>
        <v>-0.27699289823018103</v>
      </c>
      <c r="X19" s="460">
        <f t="shared" si="60"/>
        <v>-0.44706720320382909</v>
      </c>
      <c r="AA19" s="391" t="s">
        <v>17</v>
      </c>
      <c r="AB19" s="392" t="str">
        <f t="shared" si="13"/>
        <v>%</v>
      </c>
      <c r="AC19" s="358"/>
      <c r="AD19" s="358"/>
      <c r="AE19" s="434" t="str">
        <f>IFERROR((AE18/#REF!-1),"NA")</f>
        <v>NA</v>
      </c>
      <c r="AF19" s="358" t="str">
        <f>IFERROR((AF18/AC18-1),"NA")</f>
        <v>NA</v>
      </c>
      <c r="AG19" s="358" t="str">
        <f>IFERROR((AG18/AD18-1),"NA")</f>
        <v>NA</v>
      </c>
      <c r="AH19" s="434" t="str">
        <f>IFERROR((AH18/AC18-1),"NA")</f>
        <v>NA</v>
      </c>
      <c r="AI19" s="358">
        <f>IFERROR((AI18/AF18-1),"NA")</f>
        <v>0.27563322641300747</v>
      </c>
      <c r="AJ19" s="358">
        <f>IFERROR((AJ18/AG18-1),"NA")</f>
        <v>0.34313725490195979</v>
      </c>
      <c r="AK19" s="434">
        <f>AK18/AH18-1</f>
        <v>0.31207695048093997</v>
      </c>
      <c r="AL19" s="358">
        <f>IFERROR((AL18/AI18-1),"NA")</f>
        <v>0.31908436660019079</v>
      </c>
      <c r="AM19" s="358">
        <f>IFERROR((AM18/AJ18-1),"NA")</f>
        <v>0.14830151600224695</v>
      </c>
      <c r="AN19" s="434">
        <f>AN18/AK18-1</f>
        <v>0.22470036073077138</v>
      </c>
      <c r="AO19" s="358">
        <f>IFERROR((AO18/AL18-1),"NA")</f>
        <v>0.1979885624137252</v>
      </c>
      <c r="AP19" s="358">
        <f>IFERROR((AP18/AM18-1),"NA")</f>
        <v>-2.016991626430098E-3</v>
      </c>
      <c r="AQ19" s="434">
        <f>O19</f>
        <v>9.4349781465762339E-2</v>
      </c>
      <c r="AR19" s="358">
        <f>IFERROR((AR18/AO18-1),"NA")</f>
        <v>-6.3016078021981947E-2</v>
      </c>
      <c r="AS19" s="358">
        <f>IFERROR((AS18/AP18-1),"NA")</f>
        <v>4.5843457744328742E-2</v>
      </c>
      <c r="AT19" s="434">
        <f>P19</f>
        <v>-1.1574567878367192E-2</v>
      </c>
      <c r="AU19" s="434">
        <f>Q19</f>
        <v>7.4933096503893015E-2</v>
      </c>
      <c r="AW19" s="391"/>
      <c r="AX19" s="358"/>
      <c r="AY19" s="358"/>
      <c r="AZ19" s="434"/>
      <c r="BA19" s="358"/>
      <c r="BB19" s="358"/>
      <c r="BC19" s="434"/>
      <c r="BD19" s="358"/>
      <c r="BE19" s="358"/>
      <c r="BF19" s="434"/>
      <c r="BG19" s="358"/>
      <c r="BH19" s="358"/>
      <c r="BI19" s="434"/>
      <c r="BJ19" s="358"/>
      <c r="BK19" s="358"/>
      <c r="BL19" s="434"/>
      <c r="BN19" s="373" t="s">
        <v>301</v>
      </c>
      <c r="BO19" s="608" t="s">
        <v>112</v>
      </c>
      <c r="BP19" s="678">
        <f>BP18/BP16</f>
        <v>55.939704260746382</v>
      </c>
      <c r="BQ19" s="678">
        <f>BQ18/BQ16</f>
        <v>38.533700987127368</v>
      </c>
      <c r="BR19" s="678">
        <f>BR18/BR16</f>
        <v>31.518996501805379</v>
      </c>
      <c r="BS19" s="678">
        <f>BS18/BS16</f>
        <v>25.995891613960282</v>
      </c>
      <c r="BT19" s="673"/>
    </row>
    <row r="20" spans="1:72" s="187" customFormat="1" ht="13.95" customHeight="1">
      <c r="B20" s="391" t="s">
        <v>224</v>
      </c>
      <c r="C20" s="392" t="s">
        <v>122</v>
      </c>
      <c r="D20" s="358"/>
      <c r="E20" s="358"/>
      <c r="F20" s="358"/>
      <c r="G20" s="460" t="str">
        <f t="shared" ref="G20:U20" si="61">IFERROR((G18/G9),"NA")</f>
        <v>NA</v>
      </c>
      <c r="H20" s="460" t="str">
        <f t="shared" si="61"/>
        <v>NA</v>
      </c>
      <c r="I20" s="460">
        <f t="shared" si="61"/>
        <v>162.875</v>
      </c>
      <c r="J20" s="460">
        <f t="shared" si="61"/>
        <v>2.0288557213930347</v>
      </c>
      <c r="K20" s="460">
        <f t="shared" si="61"/>
        <v>0.47544431490527028</v>
      </c>
      <c r="L20" s="460">
        <f t="shared" si="61"/>
        <v>0.34212634071597714</v>
      </c>
      <c r="M20" s="460">
        <f t="shared" si="61"/>
        <v>0.29943089430894299</v>
      </c>
      <c r="N20" s="460">
        <f t="shared" ref="N20" si="62">IFERROR((N18/N9),"NA")</f>
        <v>0.26971340708153596</v>
      </c>
      <c r="O20" s="512">
        <f t="shared" si="61"/>
        <v>0.22851455289768322</v>
      </c>
      <c r="P20" s="460">
        <f t="shared" si="61"/>
        <v>0.18860139006470439</v>
      </c>
      <c r="Q20" s="460">
        <f t="shared" si="61"/>
        <v>0.17127281989935916</v>
      </c>
      <c r="R20" s="460">
        <f t="shared" si="61"/>
        <v>0.14323268132673955</v>
      </c>
      <c r="S20" s="460">
        <f t="shared" si="61"/>
        <v>0.11789223305591529</v>
      </c>
      <c r="T20" s="460">
        <f t="shared" si="61"/>
        <v>9.6946764412806238E-2</v>
      </c>
      <c r="U20" s="460">
        <f t="shared" si="61"/>
        <v>7.6918710927034339E-2</v>
      </c>
      <c r="V20" s="460">
        <f t="shared" ref="V20:W20" si="63">IFERROR((V18/V9),"NA")</f>
        <v>5.7524770205539096E-2</v>
      </c>
      <c r="W20" s="460">
        <f t="shared" si="63"/>
        <v>3.856703407959592E-2</v>
      </c>
      <c r="X20" s="460">
        <f t="shared" ref="X20" si="64">IFERROR((X18/X9),"NA")</f>
        <v>1.9903910430384794E-2</v>
      </c>
      <c r="AA20" s="391" t="s">
        <v>224</v>
      </c>
      <c r="AB20" s="392" t="str">
        <f t="shared" si="13"/>
        <v>%</v>
      </c>
      <c r="AC20" s="358"/>
      <c r="AD20" s="358"/>
      <c r="AE20" s="434">
        <f>IFERROR((AE18/AE$9),"NA")</f>
        <v>0.47544431490527028</v>
      </c>
      <c r="AF20" s="358">
        <f t="shared" ref="AF20" si="65">IFERROR((AF18/AF$9),"NA")</f>
        <v>0.35316406249999999</v>
      </c>
      <c r="AG20" s="358">
        <f>AG18/AG9</f>
        <v>0.33324956019100277</v>
      </c>
      <c r="AH20" s="434">
        <f>IFERROR((AH18/AH$9),"NA")</f>
        <v>0.34212634071597714</v>
      </c>
      <c r="AI20" s="358">
        <f t="shared" ref="AI20" si="66">IFERROR((AI18/AI$9),"NA")</f>
        <v>0.2911932535474423</v>
      </c>
      <c r="AJ20" s="358">
        <f>AJ18/AJ9</f>
        <v>0.3064481438465177</v>
      </c>
      <c r="AK20" s="434">
        <f>IFERROR((AK18/AK$9),"NA")</f>
        <v>0.29943089430894299</v>
      </c>
      <c r="AL20" s="358">
        <f t="shared" ref="AL20" si="67">IFERROR((AL18/AL$9),"NA")</f>
        <v>0.27804075664808553</v>
      </c>
      <c r="AM20" s="358">
        <f>AM18/AM9</f>
        <v>0.2624057738572575</v>
      </c>
      <c r="AN20" s="434">
        <f>IFERROR((AN18/AN$9),"NA")</f>
        <v>0.26971340708153596</v>
      </c>
      <c r="AO20" s="358">
        <f>AQ20+(AL20-AN20)</f>
        <v>0.23684190246423278</v>
      </c>
      <c r="AP20" s="358">
        <f>AP18/AP9</f>
        <v>0.20920995310457913</v>
      </c>
      <c r="AQ20" s="434">
        <f>IFERROR((AQ18/AQ$9),"NA")</f>
        <v>0.22851455289768322</v>
      </c>
      <c r="AR20" s="358">
        <f>AT20+(AO20-AQ20)</f>
        <v>0.19692873963125396</v>
      </c>
      <c r="AS20" s="358">
        <f>AS18/AS9</f>
        <v>0.1851290848981777</v>
      </c>
      <c r="AT20" s="434">
        <f>IFERROR((AT18/AT$9),"NA")</f>
        <v>0.18860139006470439</v>
      </c>
      <c r="AU20" s="434">
        <f>IFERROR((AU18/AU$9),"NA")</f>
        <v>0.17127281989935916</v>
      </c>
      <c r="AW20" s="391"/>
      <c r="AX20" s="358"/>
      <c r="AY20" s="358"/>
      <c r="AZ20" s="434"/>
      <c r="BA20" s="358"/>
      <c r="BB20" s="358"/>
      <c r="BC20" s="434"/>
      <c r="BD20" s="358"/>
      <c r="BE20" s="358"/>
      <c r="BF20" s="434"/>
      <c r="BG20" s="358"/>
      <c r="BH20" s="358"/>
      <c r="BI20" s="434"/>
      <c r="BJ20" s="358"/>
      <c r="BK20" s="358"/>
      <c r="BL20" s="434"/>
      <c r="BO20" s="189"/>
      <c r="BT20" s="673"/>
    </row>
    <row r="21" spans="1:72" s="20" customFormat="1" ht="13.95" customHeight="1">
      <c r="B21" s="18"/>
      <c r="C21" s="30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257"/>
      <c r="P21" s="19"/>
      <c r="Q21" s="19"/>
      <c r="R21" s="19"/>
      <c r="S21" s="19"/>
      <c r="T21" s="19"/>
      <c r="U21" s="19"/>
      <c r="V21" s="19"/>
      <c r="W21" s="19"/>
      <c r="X21" s="19"/>
      <c r="AA21" s="18"/>
      <c r="AB21" s="30"/>
      <c r="AC21" s="19"/>
      <c r="AD21" s="19"/>
      <c r="AE21" s="438"/>
      <c r="AF21" s="19"/>
      <c r="AG21" s="19"/>
      <c r="AH21" s="438"/>
      <c r="AI21" s="19"/>
      <c r="AJ21" s="19"/>
      <c r="AK21" s="438"/>
      <c r="AL21" s="19"/>
      <c r="AM21" s="19"/>
      <c r="AN21" s="438"/>
      <c r="AO21" s="19"/>
      <c r="AP21" s="19"/>
      <c r="AQ21" s="438"/>
      <c r="AR21" s="19"/>
      <c r="AS21" s="19"/>
      <c r="AT21" s="438"/>
      <c r="AU21" s="438"/>
      <c r="AW21" s="18"/>
      <c r="AX21" s="19"/>
      <c r="AY21" s="19"/>
      <c r="AZ21" s="438"/>
      <c r="BA21" s="19"/>
      <c r="BB21" s="19"/>
      <c r="BC21" s="438"/>
      <c r="BD21" s="19"/>
      <c r="BE21" s="19"/>
      <c r="BF21" s="438"/>
      <c r="BG21" s="19"/>
      <c r="BH21" s="19"/>
      <c r="BI21" s="438"/>
      <c r="BJ21" s="19"/>
      <c r="BK21" s="19"/>
      <c r="BL21" s="438"/>
      <c r="BN21" s="1" t="s">
        <v>298</v>
      </c>
      <c r="BO21" s="2" t="s">
        <v>302</v>
      </c>
      <c r="BP21" s="670">
        <f>BP18+N57</f>
        <v>2011.2085604705885</v>
      </c>
      <c r="BQ21" s="670">
        <f>BQ18+O57</f>
        <v>2008.2820836974793</v>
      </c>
      <c r="BR21" s="670">
        <f>BR18+P57</f>
        <v>1975.6684176617464</v>
      </c>
      <c r="BS21" s="670">
        <f>BS18+Q57</f>
        <v>1925.8589613360227</v>
      </c>
      <c r="BT21" s="675"/>
    </row>
    <row r="22" spans="1:72" ht="13.95" customHeight="1">
      <c r="A22" s="26"/>
      <c r="B22" s="725" t="s">
        <v>190</v>
      </c>
      <c r="C22" s="726" t="s">
        <v>256</v>
      </c>
      <c r="D22" s="727"/>
      <c r="E22" s="727"/>
      <c r="F22" s="727"/>
      <c r="G22" s="727">
        <f t="shared" ref="G22:U22" si="68">G14-G18</f>
        <v>-0.311</v>
      </c>
      <c r="H22" s="727">
        <f t="shared" si="68"/>
        <v>-1.427</v>
      </c>
      <c r="I22" s="727">
        <f t="shared" si="68"/>
        <v>-2.59</v>
      </c>
      <c r="J22" s="727">
        <f t="shared" si="68"/>
        <v>-2.6639999999999997</v>
      </c>
      <c r="K22" s="727">
        <f t="shared" si="68"/>
        <v>-0.5</v>
      </c>
      <c r="L22" s="727">
        <f t="shared" si="68"/>
        <v>15.5</v>
      </c>
      <c r="M22" s="727">
        <f t="shared" si="68"/>
        <v>31.1</v>
      </c>
      <c r="N22" s="727">
        <f t="shared" ref="N22" si="69">N14-N18</f>
        <v>49.74</v>
      </c>
      <c r="O22" s="728">
        <f t="shared" si="68"/>
        <v>68.317000000000007</v>
      </c>
      <c r="P22" s="727">
        <f>P14-P18</f>
        <v>81.295729238638387</v>
      </c>
      <c r="Q22" s="727">
        <f t="shared" si="68"/>
        <v>96.44326856862007</v>
      </c>
      <c r="R22" s="727">
        <f t="shared" si="68"/>
        <v>115.02244701390089</v>
      </c>
      <c r="S22" s="727">
        <f t="shared" si="68"/>
        <v>134.33486119469703</v>
      </c>
      <c r="T22" s="727">
        <f t="shared" si="68"/>
        <v>153.70995391724543</v>
      </c>
      <c r="U22" s="727">
        <f t="shared" si="68"/>
        <v>173.71445019047735</v>
      </c>
      <c r="V22" s="727">
        <f t="shared" ref="V22:W22" si="70">V14-V18</f>
        <v>194.33854698069538</v>
      </c>
      <c r="W22" s="727">
        <f t="shared" si="70"/>
        <v>215.56394741975117</v>
      </c>
      <c r="X22" s="727">
        <f t="shared" ref="X22" si="71">X14-X18</f>
        <v>237.37061733731355</v>
      </c>
      <c r="Y22" s="246">
        <f>(Q22/N22)^(1/3)-1</f>
        <v>0.24696820461550328</v>
      </c>
      <c r="Z22" s="246"/>
      <c r="AA22" s="725" t="s">
        <v>190</v>
      </c>
      <c r="AB22" s="726" t="str">
        <f t="shared" si="13"/>
        <v>S$m</v>
      </c>
      <c r="AC22" s="738">
        <v>-2.2999999999999998</v>
      </c>
      <c r="AD22" s="739">
        <f>AE22-AC22</f>
        <v>1.7999999999999998</v>
      </c>
      <c r="AE22" s="727">
        <f>K22</f>
        <v>-0.5</v>
      </c>
      <c r="AF22" s="738">
        <v>6.3</v>
      </c>
      <c r="AG22" s="739">
        <f>AH22-AF22</f>
        <v>9.1999999999999993</v>
      </c>
      <c r="AH22" s="727">
        <f>L22</f>
        <v>15.5</v>
      </c>
      <c r="AI22" s="738">
        <v>14.3</v>
      </c>
      <c r="AJ22" s="739">
        <f>AK22-AI22</f>
        <v>16.8</v>
      </c>
      <c r="AK22" s="730">
        <f>M22</f>
        <v>31.1</v>
      </c>
      <c r="AL22" s="745">
        <v>22.4</v>
      </c>
      <c r="AM22" s="745">
        <f>AN22-AL22</f>
        <v>27.340000000000003</v>
      </c>
      <c r="AN22" s="723">
        <f>N22</f>
        <v>49.74</v>
      </c>
      <c r="AO22" s="738">
        <v>33.1</v>
      </c>
      <c r="AP22" s="739">
        <f>AQ22-AO22</f>
        <v>35.217000000000006</v>
      </c>
      <c r="AQ22" s="727">
        <f>O22</f>
        <v>68.317000000000007</v>
      </c>
      <c r="AR22" s="745">
        <f>AR14-AR18</f>
        <v>40.262372070153425</v>
      </c>
      <c r="AS22" s="739">
        <f>AT22-AR22</f>
        <v>41.033357168484962</v>
      </c>
      <c r="AT22" s="727">
        <f t="shared" ref="AT22:AU24" si="72">P22</f>
        <v>81.295729238638387</v>
      </c>
      <c r="AU22" s="727">
        <f t="shared" si="72"/>
        <v>96.44326856862007</v>
      </c>
      <c r="AV22" s="207"/>
      <c r="AW22" s="725" t="s">
        <v>190</v>
      </c>
      <c r="AX22" s="741">
        <f>AF22/AH22</f>
        <v>0.40645161290322579</v>
      </c>
      <c r="AY22" s="741">
        <f>AG22/AH22</f>
        <v>0.59354838709677415</v>
      </c>
      <c r="AZ22" s="727"/>
      <c r="BA22" s="741">
        <f>AI22/AK22</f>
        <v>0.45980707395498394</v>
      </c>
      <c r="BB22" s="741">
        <f>AJ22/AK22</f>
        <v>0.54019292604501612</v>
      </c>
      <c r="BC22" s="727"/>
      <c r="BD22" s="741">
        <f>AL22/AN22</f>
        <v>0.45034177724165658</v>
      </c>
      <c r="BE22" s="741">
        <f>AM22/AN22</f>
        <v>0.54965822275834342</v>
      </c>
      <c r="BF22" s="727"/>
      <c r="BG22" s="741">
        <f>AO22/AQ22</f>
        <v>0.48450605266624702</v>
      </c>
      <c r="BH22" s="741">
        <f>AP22/AQ22</f>
        <v>0.51549394733375298</v>
      </c>
      <c r="BI22" s="727"/>
      <c r="BJ22" s="741">
        <f>BG22</f>
        <v>0.48450605266624702</v>
      </c>
      <c r="BK22" s="741">
        <f>1-BJ22</f>
        <v>0.51549394733375298</v>
      </c>
      <c r="BL22" s="727"/>
      <c r="BN22" s="373" t="s">
        <v>303</v>
      </c>
      <c r="BO22" s="608" t="s">
        <v>112</v>
      </c>
      <c r="BP22" s="678">
        <f>BP21/BP16</f>
        <v>54.441882143316995</v>
      </c>
      <c r="BQ22" s="678">
        <f>BQ21/BQ16</f>
        <v>37.045326287945556</v>
      </c>
      <c r="BR22" s="678">
        <f>BR21/BR16</f>
        <v>29.809481830524756</v>
      </c>
      <c r="BS22" s="678">
        <f>BS21/BS16</f>
        <v>23.966089882982498</v>
      </c>
    </row>
    <row r="23" spans="1:72" s="187" customFormat="1" ht="13.95" customHeight="1">
      <c r="B23" s="391" t="s">
        <v>17</v>
      </c>
      <c r="C23" s="392" t="s">
        <v>122</v>
      </c>
      <c r="D23" s="358"/>
      <c r="E23" s="358"/>
      <c r="F23" s="358"/>
      <c r="G23" s="460" t="str">
        <f t="shared" ref="G23:O23" si="73">IFERROR((G22/F22-1),"NA")</f>
        <v>NA</v>
      </c>
      <c r="H23" s="460">
        <f t="shared" si="73"/>
        <v>3.5884244372990359</v>
      </c>
      <c r="I23" s="460">
        <f t="shared" si="73"/>
        <v>0.81499649614576009</v>
      </c>
      <c r="J23" s="460">
        <f t="shared" si="73"/>
        <v>2.857142857142847E-2</v>
      </c>
      <c r="K23" s="460">
        <f t="shared" si="73"/>
        <v>-0.81231231231231227</v>
      </c>
      <c r="L23" s="460">
        <f t="shared" si="73"/>
        <v>-32</v>
      </c>
      <c r="M23" s="460">
        <f t="shared" si="73"/>
        <v>1.0064516129032257</v>
      </c>
      <c r="N23" s="460">
        <f t="shared" si="73"/>
        <v>0.59935691318327966</v>
      </c>
      <c r="O23" s="512">
        <f t="shared" si="73"/>
        <v>0.37348210695617223</v>
      </c>
      <c r="P23" s="460">
        <f t="shared" ref="P23:X23" si="74">IFERROR((P22/O22-1),"NA")</f>
        <v>0.1899780323878153</v>
      </c>
      <c r="Q23" s="460">
        <f t="shared" si="74"/>
        <v>0.18632638481557939</v>
      </c>
      <c r="R23" s="460">
        <f t="shared" si="74"/>
        <v>0.19264359992176749</v>
      </c>
      <c r="S23" s="460">
        <f t="shared" si="74"/>
        <v>0.16790126346783563</v>
      </c>
      <c r="T23" s="460">
        <f t="shared" si="74"/>
        <v>0.14422981905245935</v>
      </c>
      <c r="U23" s="460">
        <f t="shared" si="74"/>
        <v>0.13014444259089397</v>
      </c>
      <c r="V23" s="460">
        <f t="shared" si="74"/>
        <v>0.11872412898065643</v>
      </c>
      <c r="W23" s="460">
        <f t="shared" si="74"/>
        <v>0.10921868444948402</v>
      </c>
      <c r="X23" s="460">
        <f t="shared" si="74"/>
        <v>0.10116102520195502</v>
      </c>
      <c r="AA23" s="391" t="s">
        <v>17</v>
      </c>
      <c r="AB23" s="392" t="str">
        <f t="shared" si="13"/>
        <v>%</v>
      </c>
      <c r="AC23" s="358" t="str">
        <f>IFERROR((AC22/Z22-1),"NA")</f>
        <v>NA</v>
      </c>
      <c r="AD23" s="460" t="str">
        <f>IFERROR((AD22/AA22-1),"NA")</f>
        <v>NA</v>
      </c>
      <c r="AE23" s="434">
        <f>K23</f>
        <v>-0.81231231231231227</v>
      </c>
      <c r="AF23" s="358">
        <f>IFERROR((AF22/AC22-1),"NA")</f>
        <v>-3.7391304347826089</v>
      </c>
      <c r="AG23" s="460">
        <f>IFERROR((AG22/AD22-1),"NA")</f>
        <v>4.1111111111111116</v>
      </c>
      <c r="AH23" s="630">
        <f>L23</f>
        <v>-32</v>
      </c>
      <c r="AI23" s="358">
        <f>IFERROR((AI22/AF22-1),"NA")</f>
        <v>1.2698412698412702</v>
      </c>
      <c r="AJ23" s="460">
        <f>IFERROR((AJ22/AG22-1),"NA")</f>
        <v>0.82608695652173925</v>
      </c>
      <c r="AK23" s="434">
        <f>AK22/AH22-1</f>
        <v>1.0064516129032257</v>
      </c>
      <c r="AL23" s="358">
        <f>IFERROR((AL22/AI22-1),"NA")</f>
        <v>0.56643356643356624</v>
      </c>
      <c r="AM23" s="358">
        <f>IFERROR((AM22/AJ22-1),"NA")</f>
        <v>0.62738095238095259</v>
      </c>
      <c r="AN23" s="434">
        <f>AN22/AK22-1</f>
        <v>0.59935691318327966</v>
      </c>
      <c r="AO23" s="358">
        <f>IFERROR((AO22/AL22-1),"NA")</f>
        <v>0.47767857142857162</v>
      </c>
      <c r="AP23" s="358">
        <f>IFERROR((AP22/AM22-1),"NA")</f>
        <v>0.28811265544989029</v>
      </c>
      <c r="AQ23" s="434">
        <f>O23</f>
        <v>0.37348210695617223</v>
      </c>
      <c r="AR23" s="358">
        <f>IFERROR((AR22/AO22-1),"NA")</f>
        <v>0.21638586314662911</v>
      </c>
      <c r="AS23" s="358">
        <f>IFERROR((AS22/AP22-1),"NA")</f>
        <v>0.16515765591858922</v>
      </c>
      <c r="AT23" s="434">
        <f t="shared" si="72"/>
        <v>0.1899780323878153</v>
      </c>
      <c r="AU23" s="434">
        <f t="shared" si="72"/>
        <v>0.18632638481557939</v>
      </c>
      <c r="AW23" s="391"/>
      <c r="AX23" s="358"/>
      <c r="AY23" s="358"/>
      <c r="AZ23" s="434"/>
      <c r="BA23" s="358"/>
      <c r="BB23" s="358"/>
      <c r="BC23" s="434"/>
      <c r="BD23" s="358"/>
      <c r="BE23" s="358"/>
      <c r="BF23" s="434"/>
      <c r="BG23" s="358"/>
      <c r="BH23" s="358"/>
      <c r="BI23" s="434"/>
      <c r="BJ23" s="358"/>
      <c r="BK23" s="358"/>
      <c r="BL23" s="434"/>
      <c r="BO23" s="189"/>
      <c r="BT23" s="673"/>
    </row>
    <row r="24" spans="1:72" s="187" customFormat="1" ht="13.95" customHeight="1">
      <c r="B24" s="391" t="s">
        <v>168</v>
      </c>
      <c r="C24" s="392" t="s">
        <v>122</v>
      </c>
      <c r="D24" s="358"/>
      <c r="E24" s="358"/>
      <c r="F24" s="358"/>
      <c r="G24" s="460" t="str">
        <f t="shared" ref="G24:U24" si="75">IFERROR((G22/G9),"NA")</f>
        <v>NA</v>
      </c>
      <c r="H24" s="460" t="str">
        <f t="shared" si="75"/>
        <v>NA</v>
      </c>
      <c r="I24" s="460">
        <f t="shared" si="75"/>
        <v>-161.875</v>
      </c>
      <c r="J24" s="460">
        <f t="shared" si="75"/>
        <v>-1.3253731343283581</v>
      </c>
      <c r="K24" s="460">
        <f t="shared" si="75"/>
        <v>-1.5479876160990714E-2</v>
      </c>
      <c r="L24" s="358">
        <f t="shared" si="75"/>
        <v>0.26988438501184009</v>
      </c>
      <c r="M24" s="358">
        <f t="shared" si="75"/>
        <v>0.36120789779326368</v>
      </c>
      <c r="N24" s="358">
        <f t="shared" ref="N24" si="76">IFERROR((N22/N9),"NA")</f>
        <v>0.42489215393157648</v>
      </c>
      <c r="O24" s="393">
        <f t="shared" si="75"/>
        <v>0.45181109340176057</v>
      </c>
      <c r="P24" s="358">
        <f t="shared" si="75"/>
        <v>0.44893446633191714</v>
      </c>
      <c r="Q24" s="358">
        <f t="shared" si="75"/>
        <v>0.44993446633191714</v>
      </c>
      <c r="R24" s="358">
        <f t="shared" si="75"/>
        <v>0.46493446633191715</v>
      </c>
      <c r="S24" s="358">
        <f t="shared" si="75"/>
        <v>0.47993446633191716</v>
      </c>
      <c r="T24" s="358">
        <f t="shared" si="75"/>
        <v>0.49493446633191723</v>
      </c>
      <c r="U24" s="358">
        <f t="shared" si="75"/>
        <v>0.50993446633191719</v>
      </c>
      <c r="V24" s="358">
        <f t="shared" ref="V24:W24" si="77">IFERROR((V22/V9),"NA")</f>
        <v>0.5249344663319172</v>
      </c>
      <c r="W24" s="358">
        <f t="shared" si="77"/>
        <v>0.53993446633191722</v>
      </c>
      <c r="X24" s="358">
        <f t="shared" ref="X24" si="78">IFERROR((X22/X9),"NA")</f>
        <v>0.55493446633191723</v>
      </c>
      <c r="AA24" s="391" t="s">
        <v>168</v>
      </c>
      <c r="AB24" s="392" t="str">
        <f t="shared" si="13"/>
        <v>%</v>
      </c>
      <c r="AC24" s="358">
        <f>IFERROR((AC22/AC$9),"NA")</f>
        <v>-0.19166666666666665</v>
      </c>
      <c r="AD24" s="358">
        <f>IFERROR((AD22/AD$9),"NA")</f>
        <v>8.8669950738916259E-2</v>
      </c>
      <c r="AE24" s="434">
        <f>K24</f>
        <v>-1.5479876160990714E-2</v>
      </c>
      <c r="AF24" s="358">
        <f>IFERROR((AF22/AF$9),"NA")</f>
        <v>0.24609374999999997</v>
      </c>
      <c r="AG24" s="358">
        <f>IFERROR((AG22/AG$9),"NA")</f>
        <v>0.28901734104046239</v>
      </c>
      <c r="AH24" s="434">
        <f>L24</f>
        <v>0.26988438501184009</v>
      </c>
      <c r="AI24" s="358">
        <f>IFERROR((AI22/AI$9),"NA")</f>
        <v>0.36105640559511187</v>
      </c>
      <c r="AJ24" s="358">
        <f>IFERROR((AJ22/AJ$9),"NA")</f>
        <v>0.36133694670280042</v>
      </c>
      <c r="AK24" s="434">
        <f>M24</f>
        <v>0.36120789779326368</v>
      </c>
      <c r="AL24" s="358">
        <f>IFERROR((AL22/AL$9),"NA")</f>
        <v>0.40939413323585849</v>
      </c>
      <c r="AM24" s="358">
        <f>IFERROR((AM22/AM$9),"NA")</f>
        <v>0.43849238171611876</v>
      </c>
      <c r="AN24" s="434">
        <f>N24</f>
        <v>0.42489215393157648</v>
      </c>
      <c r="AO24" s="358">
        <f>IFERROR((AO22/AO$9),"NA")</f>
        <v>0.45242683943631173</v>
      </c>
      <c r="AP24" s="358">
        <f>IFERROR((AP22/AP$9),"NA")</f>
        <v>0.4512338877072497</v>
      </c>
      <c r="AQ24" s="434">
        <f>O24</f>
        <v>0.45181109340176057</v>
      </c>
      <c r="AR24" s="358">
        <f>IFERROR((AR22/AR$9),"NA")</f>
        <v>0.4531767440494664</v>
      </c>
      <c r="AS24" s="358">
        <f>IFERROR((AS22/AS$9),"NA")</f>
        <v>0.44484839618878108</v>
      </c>
      <c r="AT24" s="434">
        <f t="shared" si="72"/>
        <v>0.44893446633191714</v>
      </c>
      <c r="AU24" s="434">
        <f t="shared" si="72"/>
        <v>0.44993446633191714</v>
      </c>
      <c r="AW24" s="391"/>
      <c r="AX24" s="358"/>
      <c r="AY24" s="358"/>
      <c r="AZ24" s="434"/>
      <c r="BA24" s="358"/>
      <c r="BB24" s="358"/>
      <c r="BC24" s="434"/>
      <c r="BD24" s="358"/>
      <c r="BE24" s="358"/>
      <c r="BF24" s="434"/>
      <c r="BG24" s="358"/>
      <c r="BH24" s="358"/>
      <c r="BI24" s="434"/>
      <c r="BJ24" s="358"/>
      <c r="BK24" s="358"/>
      <c r="BL24" s="434"/>
      <c r="BO24" s="189"/>
      <c r="BT24" s="673"/>
    </row>
    <row r="25" spans="1:72" s="20" customFormat="1" ht="13.95" customHeight="1">
      <c r="A25" s="32"/>
      <c r="B25" s="241"/>
      <c r="C25" s="242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54"/>
      <c r="P25" s="243"/>
      <c r="Q25" s="243"/>
      <c r="R25" s="243"/>
      <c r="S25" s="243"/>
      <c r="T25" s="243"/>
      <c r="U25" s="243"/>
      <c r="V25" s="243"/>
      <c r="W25" s="243"/>
      <c r="X25" s="243"/>
      <c r="AA25" s="241"/>
      <c r="AB25" s="242"/>
      <c r="AC25" s="243"/>
      <c r="AD25" s="243"/>
      <c r="AE25" s="439"/>
      <c r="AF25" s="243"/>
      <c r="AG25" s="243"/>
      <c r="AH25" s="439"/>
      <c r="AI25" s="243"/>
      <c r="AJ25" s="243"/>
      <c r="AK25" s="439"/>
      <c r="AL25" s="243"/>
      <c r="AM25" s="243"/>
      <c r="AN25" s="439"/>
      <c r="AO25" s="243"/>
      <c r="AP25" s="243"/>
      <c r="AQ25" s="439"/>
      <c r="AR25" s="243"/>
      <c r="AS25" s="243"/>
      <c r="AT25" s="439"/>
      <c r="AU25" s="439"/>
      <c r="AW25" s="241"/>
      <c r="AX25" s="243"/>
      <c r="AY25" s="243"/>
      <c r="AZ25" s="439"/>
      <c r="BA25" s="243"/>
      <c r="BB25" s="243"/>
      <c r="BC25" s="439"/>
      <c r="BD25" s="243"/>
      <c r="BE25" s="243"/>
      <c r="BF25" s="439"/>
      <c r="BG25" s="243"/>
      <c r="BH25" s="243"/>
      <c r="BI25" s="439"/>
      <c r="BJ25" s="243"/>
      <c r="BK25" s="243"/>
      <c r="BL25" s="439"/>
      <c r="BO25" s="671"/>
      <c r="BT25" s="675"/>
    </row>
    <row r="26" spans="1:72" ht="13.95" customHeight="1">
      <c r="A26" s="26"/>
      <c r="B26" s="110" t="s">
        <v>18</v>
      </c>
      <c r="C26" s="21" t="s">
        <v>256</v>
      </c>
      <c r="D26" s="36"/>
      <c r="E26" s="36"/>
      <c r="F26" s="36"/>
      <c r="G26" s="36">
        <f>'1.Assumptions'!H129</f>
        <v>8.0000000000000002E-3</v>
      </c>
      <c r="H26" s="36">
        <f>'1.Assumptions'!I129</f>
        <v>8.5999999999999993E-2</v>
      </c>
      <c r="I26" s="367">
        <f>'1.Assumptions'!J129</f>
        <v>0.187</v>
      </c>
      <c r="J26" s="367">
        <f>'1.Assumptions'!K129</f>
        <v>0.90200000000000002</v>
      </c>
      <c r="K26" s="36">
        <f>'1.Assumptions'!L129</f>
        <v>22.44258298277397</v>
      </c>
      <c r="L26" s="36">
        <f>'1.Assumptions'!M129</f>
        <v>31.067</v>
      </c>
      <c r="M26" s="36">
        <f>'1.Assumptions'!N129</f>
        <v>33.707999999999998</v>
      </c>
      <c r="N26" s="36">
        <f>'1.Assumptions'!O129</f>
        <v>39.692999999999998</v>
      </c>
      <c r="O26" s="510">
        <f>'1.Assumptions'!P129</f>
        <v>44.195</v>
      </c>
      <c r="P26" s="36">
        <f>'1.Assumptions'!Q129</f>
        <v>48.493488061579924</v>
      </c>
      <c r="Q26" s="36">
        <f>'1.Assumptions'!R129</f>
        <v>51.816728583702016</v>
      </c>
      <c r="R26" s="36">
        <f>'1.Assumptions'!S129</f>
        <v>54.472723052725819</v>
      </c>
      <c r="S26" s="36">
        <f>'1.Assumptions'!T129</f>
        <v>55.898663920870838</v>
      </c>
      <c r="T26" s="36">
        <f>'1.Assumptions'!U129</f>
        <v>55.566073592156577</v>
      </c>
      <c r="U26" s="36">
        <f>'1.Assumptions'!V129</f>
        <v>55.46632076886187</v>
      </c>
      <c r="V26" s="36">
        <f>'1.Assumptions'!W129</f>
        <v>55.434191523877324</v>
      </c>
      <c r="W26" s="36">
        <f>'1.Assumptions'!X129</f>
        <v>55.320315784255492</v>
      </c>
      <c r="X26" s="36">
        <f>'1.Assumptions'!Y129</f>
        <v>54.991650122952009</v>
      </c>
      <c r="AA26" s="110" t="s">
        <v>18</v>
      </c>
      <c r="AB26" s="21" t="str">
        <f t="shared" si="13"/>
        <v>S$m</v>
      </c>
      <c r="AC26" s="36"/>
      <c r="AD26" s="36"/>
      <c r="AE26" s="440">
        <f>K26</f>
        <v>22.44258298277397</v>
      </c>
      <c r="AF26" s="450">
        <v>14.691000000000001</v>
      </c>
      <c r="AG26" s="36">
        <f>AH26-AF26</f>
        <v>16.375999999999998</v>
      </c>
      <c r="AH26" s="440">
        <f>L26</f>
        <v>31.067</v>
      </c>
      <c r="AI26" s="450">
        <v>16.498000000000001</v>
      </c>
      <c r="AJ26" s="36">
        <f>AK26-AI26</f>
        <v>17.209999999999997</v>
      </c>
      <c r="AK26" s="440">
        <f t="shared" ref="AK26:AK28" si="79">M26</f>
        <v>33.707999999999998</v>
      </c>
      <c r="AL26" s="223">
        <v>19.045000000000002</v>
      </c>
      <c r="AM26" s="223">
        <f>AN26-AL26</f>
        <v>20.647999999999996</v>
      </c>
      <c r="AN26" s="811">
        <f>N26</f>
        <v>39.692999999999998</v>
      </c>
      <c r="AO26" s="450">
        <v>21.257999999999999</v>
      </c>
      <c r="AP26" s="36">
        <f>AQ26-AO26</f>
        <v>22.937000000000001</v>
      </c>
      <c r="AQ26" s="440">
        <f t="shared" ref="AQ26:AQ28" si="80">O26</f>
        <v>44.195</v>
      </c>
      <c r="AR26" s="223">
        <v>21.257999999999999</v>
      </c>
      <c r="AS26" s="36">
        <f>AT26-AR26</f>
        <v>27.235488061579925</v>
      </c>
      <c r="AT26" s="440">
        <f t="shared" ref="AT26:AU29" si="81">P26</f>
        <v>48.493488061579924</v>
      </c>
      <c r="AU26" s="440">
        <f t="shared" si="81"/>
        <v>51.816728583702016</v>
      </c>
      <c r="AW26" s="110" t="s">
        <v>18</v>
      </c>
      <c r="AX26" s="36"/>
      <c r="AY26" s="36"/>
      <c r="AZ26" s="440"/>
      <c r="BA26" s="36"/>
      <c r="BB26" s="36"/>
      <c r="BC26" s="440"/>
      <c r="BD26" s="36"/>
      <c r="BE26" s="36"/>
      <c r="BF26" s="440"/>
      <c r="BG26" s="36"/>
      <c r="BH26" s="36"/>
      <c r="BI26" s="440"/>
      <c r="BJ26" s="36"/>
      <c r="BK26" s="36"/>
      <c r="BL26" s="440"/>
    </row>
    <row r="27" spans="1:72" ht="13.95" customHeight="1">
      <c r="A27" s="26"/>
      <c r="B27" s="276" t="s">
        <v>125</v>
      </c>
      <c r="C27" s="29" t="s">
        <v>256</v>
      </c>
      <c r="D27" s="215"/>
      <c r="E27" s="215"/>
      <c r="F27" s="215"/>
      <c r="G27" s="215">
        <f>'1.Assumptions'!H146</f>
        <v>0</v>
      </c>
      <c r="H27" s="215">
        <f>'1.Assumptions'!I146</f>
        <v>0</v>
      </c>
      <c r="I27" s="368">
        <f>'1.Assumptions'!J146</f>
        <v>1.0999999999999999E-2</v>
      </c>
      <c r="J27" s="215">
        <f>'1.Assumptions'!K146</f>
        <v>1.4E-2</v>
      </c>
      <c r="K27" s="215">
        <f>'1.Assumptions'!L146</f>
        <v>10.278318543310712</v>
      </c>
      <c r="L27" s="215">
        <f>'1.Assumptions'!M146</f>
        <v>10.988</v>
      </c>
      <c r="M27" s="215">
        <f>'1.Assumptions'!N146</f>
        <v>11.292999999999999</v>
      </c>
      <c r="N27" s="215">
        <f>'1.Assumptions'!O146</f>
        <v>13.547000000000001</v>
      </c>
      <c r="O27" s="465">
        <f>'1.Assumptions'!P146</f>
        <v>13.883063877551022</v>
      </c>
      <c r="P27" s="215">
        <f>'1.Assumptions'!Q146</f>
        <v>14.004772164536387</v>
      </c>
      <c r="Q27" s="215">
        <f>'1.Assumptions'!R146</f>
        <v>14.074070820949396</v>
      </c>
      <c r="R27" s="215">
        <f>'1.Assumptions'!S146</f>
        <v>12.606631927892607</v>
      </c>
      <c r="S27" s="215">
        <f>'1.Assumptions'!T146</f>
        <v>11.350369062017247</v>
      </c>
      <c r="T27" s="215">
        <f>'1.Assumptions'!U146</f>
        <v>10.274892327929958</v>
      </c>
      <c r="U27" s="215">
        <f>'1.Assumptions'!V146</f>
        <v>9.35418517580292</v>
      </c>
      <c r="V27" s="215">
        <f>'1.Assumptions'!W146</f>
        <v>8.5659750424639665</v>
      </c>
      <c r="W27" s="215">
        <f>'1.Assumptions'!X146</f>
        <v>7.8911945621962438</v>
      </c>
      <c r="X27" s="215">
        <f>'1.Assumptions'!Y146</f>
        <v>7.3135203135520248</v>
      </c>
      <c r="AA27" s="276" t="s">
        <v>125</v>
      </c>
      <c r="AB27" s="29" t="str">
        <f t="shared" si="13"/>
        <v>S$m</v>
      </c>
      <c r="AC27" s="215"/>
      <c r="AD27" s="215"/>
      <c r="AE27" s="441">
        <f>K27</f>
        <v>10.278318543310712</v>
      </c>
      <c r="AF27" s="451">
        <v>5.4930000000000003</v>
      </c>
      <c r="AG27" s="215">
        <f>AH27-AF27</f>
        <v>5.4949999999999992</v>
      </c>
      <c r="AH27" s="441">
        <f>L27</f>
        <v>10.988</v>
      </c>
      <c r="AI27" s="451">
        <v>5.641</v>
      </c>
      <c r="AJ27" s="215">
        <f>AK27-AI27</f>
        <v>5.6519999999999992</v>
      </c>
      <c r="AK27" s="441">
        <f t="shared" si="79"/>
        <v>11.292999999999999</v>
      </c>
      <c r="AL27" s="339">
        <v>6.68</v>
      </c>
      <c r="AM27" s="339">
        <f>AN27-AL27</f>
        <v>6.8670000000000009</v>
      </c>
      <c r="AN27" s="812">
        <f>N27</f>
        <v>13.547000000000001</v>
      </c>
      <c r="AO27" s="451">
        <v>6.9139999999999997</v>
      </c>
      <c r="AP27" s="215">
        <f>AQ27-AO27</f>
        <v>6.9690638775510223</v>
      </c>
      <c r="AQ27" s="441">
        <f t="shared" si="80"/>
        <v>13.883063877551022</v>
      </c>
      <c r="AR27" s="339">
        <v>6.9139999999999997</v>
      </c>
      <c r="AS27" s="215">
        <f>AT27-AR27</f>
        <v>7.0907721645363875</v>
      </c>
      <c r="AT27" s="441">
        <f t="shared" si="81"/>
        <v>14.004772164536387</v>
      </c>
      <c r="AU27" s="441">
        <f t="shared" si="81"/>
        <v>14.074070820949396</v>
      </c>
      <c r="AW27" s="276" t="s">
        <v>125</v>
      </c>
      <c r="AX27" s="215"/>
      <c r="AY27" s="215"/>
      <c r="AZ27" s="441"/>
      <c r="BA27" s="215"/>
      <c r="BB27" s="215"/>
      <c r="BC27" s="441"/>
      <c r="BD27" s="215"/>
      <c r="BE27" s="215"/>
      <c r="BF27" s="441"/>
      <c r="BG27" s="215"/>
      <c r="BH27" s="215"/>
      <c r="BI27" s="441"/>
      <c r="BJ27" s="215"/>
      <c r="BK27" s="215"/>
      <c r="BL27" s="441"/>
    </row>
    <row r="28" spans="1:72" ht="13.95" customHeight="1">
      <c r="A28" s="26"/>
      <c r="B28" s="33" t="s">
        <v>19</v>
      </c>
      <c r="C28" s="27" t="s">
        <v>256</v>
      </c>
      <c r="D28" s="37"/>
      <c r="E28" s="37"/>
      <c r="F28" s="37"/>
      <c r="G28" s="37">
        <f t="shared" ref="G28" si="82">G26+G27</f>
        <v>8.0000000000000002E-3</v>
      </c>
      <c r="H28" s="37">
        <f t="shared" ref="H28:L28" si="83">H26+H27</f>
        <v>8.5999999999999993E-2</v>
      </c>
      <c r="I28" s="382">
        <f t="shared" si="83"/>
        <v>0.19800000000000001</v>
      </c>
      <c r="J28" s="37">
        <f t="shared" si="83"/>
        <v>0.91600000000000004</v>
      </c>
      <c r="K28" s="37">
        <f t="shared" si="83"/>
        <v>32.720901526084681</v>
      </c>
      <c r="L28" s="37">
        <f t="shared" si="83"/>
        <v>42.055</v>
      </c>
      <c r="M28" s="37">
        <f t="shared" ref="M28:T28" si="84">M26+M27</f>
        <v>45.000999999999998</v>
      </c>
      <c r="N28" s="37">
        <f t="shared" si="84"/>
        <v>53.239999999999995</v>
      </c>
      <c r="O28" s="484">
        <f t="shared" si="84"/>
        <v>58.078063877551024</v>
      </c>
      <c r="P28" s="37">
        <f t="shared" si="84"/>
        <v>62.498260226116315</v>
      </c>
      <c r="Q28" s="37">
        <f t="shared" si="84"/>
        <v>65.890799404651418</v>
      </c>
      <c r="R28" s="37">
        <f t="shared" si="84"/>
        <v>67.079354980618433</v>
      </c>
      <c r="S28" s="37">
        <f t="shared" si="84"/>
        <v>67.249032982888082</v>
      </c>
      <c r="T28" s="37">
        <f t="shared" si="84"/>
        <v>65.840965920086532</v>
      </c>
      <c r="U28" s="37">
        <f t="shared" ref="U28" si="85">U26+U27</f>
        <v>64.820505944664788</v>
      </c>
      <c r="V28" s="37">
        <f t="shared" ref="V28:W28" si="86">V26+V27</f>
        <v>64.000166566341292</v>
      </c>
      <c r="W28" s="37">
        <f t="shared" si="86"/>
        <v>63.211510346451732</v>
      </c>
      <c r="X28" s="37">
        <f t="shared" ref="X28" si="87">X26+X27</f>
        <v>62.305170436504035</v>
      </c>
      <c r="AA28" s="628" t="s">
        <v>19</v>
      </c>
      <c r="AB28" s="196" t="str">
        <f t="shared" si="13"/>
        <v>S$m</v>
      </c>
      <c r="AC28" s="822"/>
      <c r="AD28" s="627"/>
      <c r="AE28" s="810">
        <f>K28</f>
        <v>32.720901526084681</v>
      </c>
      <c r="AF28" s="627">
        <f>SUM(AF26:AF27)</f>
        <v>20.184000000000001</v>
      </c>
      <c r="AG28" s="627">
        <f>AH28-AF28</f>
        <v>21.870999999999999</v>
      </c>
      <c r="AH28" s="810">
        <f>L28</f>
        <v>42.055</v>
      </c>
      <c r="AI28" s="627">
        <f>SUM(AI26:AI27)</f>
        <v>22.139000000000003</v>
      </c>
      <c r="AJ28" s="627">
        <f>AK28-AI28</f>
        <v>22.861999999999995</v>
      </c>
      <c r="AK28" s="810">
        <f t="shared" si="79"/>
        <v>45.000999999999998</v>
      </c>
      <c r="AL28" s="627">
        <f>SUM(AL26:AL27)</f>
        <v>25.725000000000001</v>
      </c>
      <c r="AM28" s="627">
        <f>AN28-AL28</f>
        <v>27.514999999999993</v>
      </c>
      <c r="AN28" s="810">
        <f>N28</f>
        <v>53.239999999999995</v>
      </c>
      <c r="AO28" s="627">
        <f>SUM(AO26:AO27)</f>
        <v>28.171999999999997</v>
      </c>
      <c r="AP28" s="627">
        <f>AQ28-AO28</f>
        <v>29.906063877551027</v>
      </c>
      <c r="AQ28" s="810">
        <f t="shared" si="80"/>
        <v>58.078063877551024</v>
      </c>
      <c r="AR28" s="627">
        <f>BJ28*AT28</f>
        <v>30.316110240904816</v>
      </c>
      <c r="AS28" s="627">
        <f>AT28-AR28</f>
        <v>32.182149985211495</v>
      </c>
      <c r="AT28" s="810">
        <f t="shared" si="81"/>
        <v>62.498260226116315</v>
      </c>
      <c r="AU28" s="810">
        <f t="shared" si="81"/>
        <v>65.890799404651418</v>
      </c>
      <c r="AV28" s="6">
        <f>AM28-AL28</f>
        <v>1.789999999999992</v>
      </c>
      <c r="AW28" s="33" t="s">
        <v>19</v>
      </c>
      <c r="AX28" s="50">
        <f>AF28/AH28</f>
        <v>0.4799429318749257</v>
      </c>
      <c r="AY28" s="24">
        <f>1-AX28</f>
        <v>0.52005706812507424</v>
      </c>
      <c r="AZ28" s="437"/>
      <c r="BA28" s="50">
        <f>AI28/AK28</f>
        <v>0.4919668451812183</v>
      </c>
      <c r="BB28" s="24">
        <f>1-BA28</f>
        <v>0.50803315481878175</v>
      </c>
      <c r="BC28" s="437"/>
      <c r="BD28" s="50">
        <f>AL28/AN28</f>
        <v>0.48318933132982728</v>
      </c>
      <c r="BE28" s="24">
        <f>1-BD28</f>
        <v>0.51681066867017278</v>
      </c>
      <c r="BF28" s="437"/>
      <c r="BG28" s="50">
        <f>AO28/AQ28</f>
        <v>0.48507126648361554</v>
      </c>
      <c r="BH28" s="24">
        <f>1-BG28</f>
        <v>0.51492873351638446</v>
      </c>
      <c r="BI28" s="437"/>
      <c r="BJ28" s="50">
        <f>BG28</f>
        <v>0.48507126648361554</v>
      </c>
      <c r="BK28" s="24">
        <f>1-BJ28</f>
        <v>0.51492873351638446</v>
      </c>
      <c r="BL28" s="437"/>
    </row>
    <row r="29" spans="1:72" s="187" customFormat="1" ht="13.95" customHeight="1">
      <c r="B29" s="391" t="s">
        <v>17</v>
      </c>
      <c r="C29" s="392" t="s">
        <v>122</v>
      </c>
      <c r="D29" s="358"/>
      <c r="E29" s="358"/>
      <c r="F29" s="358"/>
      <c r="G29" s="460" t="str">
        <f t="shared" ref="G29" si="88">IFERROR((G28/F28-1),"NA")</f>
        <v>NA</v>
      </c>
      <c r="H29" s="460">
        <f t="shared" ref="H29" si="89">IFERROR((H28/G28-1),"NA")</f>
        <v>9.7499999999999982</v>
      </c>
      <c r="I29" s="460">
        <f t="shared" ref="I29" si="90">IFERROR((I28/H28-1),"NA")</f>
        <v>1.3023255813953489</v>
      </c>
      <c r="J29" s="460">
        <f t="shared" ref="J29" si="91">IFERROR((J28/I28-1),"NA")</f>
        <v>3.6262626262626263</v>
      </c>
      <c r="K29" s="460">
        <f t="shared" ref="K29" si="92">IFERROR((K28/J28-1),"NA")</f>
        <v>34.721508216249653</v>
      </c>
      <c r="L29" s="460">
        <f t="shared" ref="L29" si="93">IFERROR((L28/K28-1),"NA")</f>
        <v>0.28526409843794487</v>
      </c>
      <c r="M29" s="460">
        <f t="shared" ref="M29" si="94">IFERROR((M28/L28-1),"NA")</f>
        <v>7.0051123528712456E-2</v>
      </c>
      <c r="N29" s="460">
        <f t="shared" ref="N29" si="95">IFERROR((N28/M28-1),"NA")</f>
        <v>0.18308482033732587</v>
      </c>
      <c r="O29" s="512">
        <f t="shared" ref="O29" si="96">IFERROR((O28/N28-1),"NA")</f>
        <v>9.0872724972784091E-2</v>
      </c>
      <c r="P29" s="460">
        <f t="shared" ref="P29" si="97">IFERROR((P28/O28-1),"NA")</f>
        <v>7.610784612043231E-2</v>
      </c>
      <c r="Q29" s="460">
        <f t="shared" ref="Q29" si="98">IFERROR((Q28/P28-1),"NA")</f>
        <v>5.4282137874894776E-2</v>
      </c>
      <c r="R29" s="460">
        <f t="shared" ref="R29" si="99">IFERROR((R28/Q28-1),"NA")</f>
        <v>1.803826310662604E-2</v>
      </c>
      <c r="S29" s="460">
        <f t="shared" ref="S29" si="100">IFERROR((S28/R28-1),"NA")</f>
        <v>2.5295115362793386E-3</v>
      </c>
      <c r="T29" s="460">
        <f t="shared" ref="T29" si="101">IFERROR((T28/S28-1),"NA")</f>
        <v>-2.0938101268457521E-2</v>
      </c>
      <c r="U29" s="460">
        <f t="shared" ref="U29" si="102">IFERROR((U28/T28-1),"NA")</f>
        <v>-1.5498860947154247E-2</v>
      </c>
      <c r="V29" s="460">
        <f t="shared" ref="V29" si="103">IFERROR((V28/U28-1),"NA")</f>
        <v>-1.2655553460563795E-2</v>
      </c>
      <c r="W29" s="460">
        <f t="shared" ref="W29" si="104">IFERROR((W28/V28-1),"NA")</f>
        <v>-1.2322721364671052E-2</v>
      </c>
      <c r="X29" s="460">
        <f t="shared" ref="X29" si="105">IFERROR((X28/W28-1),"NA")</f>
        <v>-1.433821000289659E-2</v>
      </c>
      <c r="AA29" s="391" t="s">
        <v>17</v>
      </c>
      <c r="AB29" s="392" t="str">
        <f t="shared" ref="AB29" si="106">C29</f>
        <v>%</v>
      </c>
      <c r="AC29" s="358" t="str">
        <f>IFERROR((AC28/Z28-1),"NA")</f>
        <v>NA</v>
      </c>
      <c r="AD29" s="460" t="str">
        <f>IFERROR((AD28/AA28-1),"NA")</f>
        <v>NA</v>
      </c>
      <c r="AE29" s="434">
        <f>K29</f>
        <v>34.721508216249653</v>
      </c>
      <c r="AF29" s="358" t="str">
        <f>IFERROR((AF28/AC28-1),"NA")</f>
        <v>NA</v>
      </c>
      <c r="AG29" s="460" t="str">
        <f>IFERROR((AG28/AD28-1),"NA")</f>
        <v>NA</v>
      </c>
      <c r="AH29" s="630">
        <f>L29</f>
        <v>0.28526409843794487</v>
      </c>
      <c r="AI29" s="358">
        <f>IFERROR((AI28/AF28-1),"NA")</f>
        <v>9.6858898137138327E-2</v>
      </c>
      <c r="AJ29" s="460">
        <f>IFERROR((AJ28/AG28-1),"NA")</f>
        <v>4.5311142608934096E-2</v>
      </c>
      <c r="AK29" s="434">
        <f>AK28/AH28-1</f>
        <v>7.0051123528712456E-2</v>
      </c>
      <c r="AL29" s="358">
        <f>IFERROR((AL28/AI28-1),"NA")</f>
        <v>0.16197660237589773</v>
      </c>
      <c r="AM29" s="460">
        <f>IFERROR((AM28/AJ28-1),"NA")</f>
        <v>0.20352550083107346</v>
      </c>
      <c r="AN29" s="434">
        <f>AN28/AK28-1</f>
        <v>0.18308482033732587</v>
      </c>
      <c r="AO29" s="358">
        <f>IFERROR((AO28/AL28-1),"NA")</f>
        <v>9.5121477162293244E-2</v>
      </c>
      <c r="AP29" s="460">
        <f>IFERROR((AP28/AM28-1),"NA")</f>
        <v>8.6900377159768727E-2</v>
      </c>
      <c r="AQ29" s="434">
        <f>O29</f>
        <v>9.0872724972784091E-2</v>
      </c>
      <c r="AR29" s="358">
        <f>IFERROR((AR28/AO28-1),"NA")</f>
        <v>7.610784612043231E-2</v>
      </c>
      <c r="AS29" s="460">
        <f>IFERROR((AS28/AP28-1),"NA")</f>
        <v>7.6107846120432088E-2</v>
      </c>
      <c r="AT29" s="434">
        <f t="shared" si="81"/>
        <v>7.610784612043231E-2</v>
      </c>
      <c r="AU29" s="434">
        <f t="shared" si="81"/>
        <v>5.4282137874894776E-2</v>
      </c>
      <c r="AV29" s="195">
        <f>AO28+AV28</f>
        <v>29.961999999999989</v>
      </c>
      <c r="AW29" s="391"/>
      <c r="AX29" s="358"/>
      <c r="AY29" s="358"/>
      <c r="AZ29" s="434"/>
      <c r="BA29" s="358"/>
      <c r="BB29" s="358"/>
      <c r="BC29" s="434"/>
      <c r="BD29" s="358"/>
      <c r="BE29" s="358"/>
      <c r="BF29" s="434"/>
      <c r="BG29" s="358"/>
      <c r="BH29" s="358"/>
      <c r="BI29" s="434"/>
      <c r="BJ29" s="358"/>
      <c r="BK29" s="358"/>
      <c r="BL29" s="434"/>
      <c r="BO29" s="189"/>
      <c r="BT29" s="673"/>
    </row>
    <row r="30" spans="1:72" ht="13.95" customHeight="1">
      <c r="B30" s="35"/>
      <c r="D30" s="162"/>
      <c r="E30" s="162"/>
      <c r="F30" s="162"/>
      <c r="G30" s="162"/>
      <c r="H30" s="162"/>
      <c r="I30" s="476"/>
      <c r="J30" s="162"/>
      <c r="K30" s="162"/>
      <c r="L30" s="162"/>
      <c r="M30" s="162"/>
      <c r="N30" s="162"/>
      <c r="O30" s="255"/>
      <c r="P30" s="162"/>
      <c r="Q30" s="162"/>
      <c r="R30" s="162"/>
      <c r="S30" s="162"/>
      <c r="T30" s="162"/>
      <c r="U30" s="162"/>
      <c r="V30" s="162"/>
      <c r="W30" s="162"/>
      <c r="X30" s="162"/>
      <c r="AA30" s="35"/>
      <c r="AC30" s="162"/>
      <c r="AD30" s="162"/>
      <c r="AE30" s="435"/>
      <c r="AF30" s="162"/>
      <c r="AG30" s="162"/>
      <c r="AH30" s="435"/>
      <c r="AI30" s="162"/>
      <c r="AJ30" s="162"/>
      <c r="AK30" s="435"/>
      <c r="AL30" s="459"/>
      <c r="AM30" s="459"/>
      <c r="AN30" s="802"/>
      <c r="AO30" s="459"/>
      <c r="AP30" s="162"/>
      <c r="AQ30" s="435"/>
      <c r="AR30" s="459"/>
      <c r="AS30" s="162"/>
      <c r="AT30" s="435"/>
      <c r="AU30" s="435"/>
      <c r="AV30" s="6">
        <f>AV29+AO28</f>
        <v>58.133999999999986</v>
      </c>
      <c r="AW30" s="35"/>
      <c r="AX30" s="162"/>
      <c r="AY30" s="162"/>
      <c r="AZ30" s="435"/>
      <c r="BA30" s="162"/>
      <c r="BB30" s="162"/>
      <c r="BC30" s="435"/>
      <c r="BD30" s="162"/>
      <c r="BE30" s="162"/>
      <c r="BF30" s="435"/>
      <c r="BG30" s="162"/>
      <c r="BH30" s="162"/>
      <c r="BI30" s="435"/>
      <c r="BJ30" s="162"/>
      <c r="BK30" s="162"/>
      <c r="BL30" s="435"/>
    </row>
    <row r="31" spans="1:72" s="378" customFormat="1" ht="13.95" customHeight="1">
      <c r="A31" s="190"/>
      <c r="B31" s="190" t="s">
        <v>93</v>
      </c>
      <c r="C31" s="381" t="str">
        <f>C27</f>
        <v>S$m</v>
      </c>
      <c r="D31" s="382"/>
      <c r="E31" s="382"/>
      <c r="F31" s="382"/>
      <c r="G31" s="382">
        <f t="shared" ref="G31" si="107">G22-G28</f>
        <v>-0.31900000000000001</v>
      </c>
      <c r="H31" s="382">
        <f t="shared" ref="H31:O31" si="108">H22-H28</f>
        <v>-1.5130000000000001</v>
      </c>
      <c r="I31" s="382">
        <f t="shared" si="108"/>
        <v>-2.7879999999999998</v>
      </c>
      <c r="J31" s="382">
        <f t="shared" si="108"/>
        <v>-3.5799999999999996</v>
      </c>
      <c r="K31" s="382">
        <f t="shared" si="108"/>
        <v>-33.220901526084681</v>
      </c>
      <c r="L31" s="382">
        <f t="shared" si="108"/>
        <v>-26.555</v>
      </c>
      <c r="M31" s="382">
        <f t="shared" si="108"/>
        <v>-13.900999999999996</v>
      </c>
      <c r="N31" s="382">
        <f t="shared" si="108"/>
        <v>-3.4999999999999929</v>
      </c>
      <c r="O31" s="259">
        <f t="shared" si="108"/>
        <v>10.238936122448983</v>
      </c>
      <c r="P31" s="382">
        <f t="shared" ref="P31:U31" si="109">P22-P28</f>
        <v>18.797469012522072</v>
      </c>
      <c r="Q31" s="382">
        <f t="shared" si="109"/>
        <v>30.552469163968652</v>
      </c>
      <c r="R31" s="382">
        <f t="shared" si="109"/>
        <v>47.943092033282454</v>
      </c>
      <c r="S31" s="382">
        <f t="shared" si="109"/>
        <v>67.085828211808945</v>
      </c>
      <c r="T31" s="382">
        <f t="shared" si="109"/>
        <v>87.868987997158897</v>
      </c>
      <c r="U31" s="382">
        <f t="shared" si="109"/>
        <v>108.89394424581256</v>
      </c>
      <c r="V31" s="382">
        <f t="shared" ref="V31:W31" si="110">V22-V28</f>
        <v>130.33838041435411</v>
      </c>
      <c r="W31" s="382">
        <f t="shared" si="110"/>
        <v>152.35243707329943</v>
      </c>
      <c r="X31" s="382">
        <f t="shared" ref="X31" si="111">X22-X28</f>
        <v>175.06544690080952</v>
      </c>
      <c r="Y31" s="246"/>
      <c r="AA31" s="190" t="s">
        <v>93</v>
      </c>
      <c r="AB31" s="381" t="str">
        <f t="shared" si="13"/>
        <v>S$m</v>
      </c>
      <c r="AC31" s="453"/>
      <c r="AD31" s="453"/>
      <c r="AE31" s="437">
        <f>K31</f>
        <v>-33.220901526084681</v>
      </c>
      <c r="AF31" s="453">
        <f>AF22-AF28</f>
        <v>-13.884</v>
      </c>
      <c r="AG31" s="453">
        <f>AH31-AF31</f>
        <v>-12.670999999999999</v>
      </c>
      <c r="AH31" s="437">
        <f>L31</f>
        <v>-26.555</v>
      </c>
      <c r="AI31" s="453">
        <f>AI22-AI28</f>
        <v>-7.8390000000000022</v>
      </c>
      <c r="AJ31" s="453">
        <f>AK31-AI31</f>
        <v>-6.0619999999999941</v>
      </c>
      <c r="AK31" s="437">
        <f>M31</f>
        <v>-13.900999999999996</v>
      </c>
      <c r="AL31" s="321">
        <f>AL22-AL28</f>
        <v>-3.3250000000000028</v>
      </c>
      <c r="AM31" s="321">
        <f>AN31-AL31</f>
        <v>-0.17499999999999005</v>
      </c>
      <c r="AN31" s="810">
        <f>N31</f>
        <v>-3.4999999999999929</v>
      </c>
      <c r="AO31" s="321">
        <f>AO22-AO28</f>
        <v>4.9280000000000044</v>
      </c>
      <c r="AP31" s="453">
        <f>AQ31-AO31</f>
        <v>5.3109361224489788</v>
      </c>
      <c r="AQ31" s="437">
        <f>O31</f>
        <v>10.238936122448983</v>
      </c>
      <c r="AR31" s="321">
        <f>AR22-AR28</f>
        <v>9.9462618292486091</v>
      </c>
      <c r="AS31" s="453">
        <f>AT31-AR31</f>
        <v>8.8512071832734627</v>
      </c>
      <c r="AT31" s="437">
        <f>P31</f>
        <v>18.797469012522072</v>
      </c>
      <c r="AU31" s="437">
        <f>Q31</f>
        <v>30.552469163968652</v>
      </c>
      <c r="AW31" s="190" t="s">
        <v>93</v>
      </c>
      <c r="AX31" s="213">
        <f>AF31/AH31</f>
        <v>0.52283938994539636</v>
      </c>
      <c r="AY31" s="452">
        <f>1-AX31</f>
        <v>0.47716061005460364</v>
      </c>
      <c r="AZ31" s="437"/>
      <c r="BA31" s="213">
        <f>AI31/AK31</f>
        <v>0.56391626501690562</v>
      </c>
      <c r="BB31" s="452">
        <f>1-BA31</f>
        <v>0.43608373498309438</v>
      </c>
      <c r="BC31" s="437"/>
      <c r="BD31" s="213">
        <f>AL31/AN31</f>
        <v>0.95000000000000273</v>
      </c>
      <c r="BE31" s="452">
        <f>1-BD31</f>
        <v>4.9999999999997269E-2</v>
      </c>
      <c r="BF31" s="437"/>
      <c r="BG31" s="213">
        <f>AO31/AQ31</f>
        <v>0.48130000432323322</v>
      </c>
      <c r="BH31" s="452">
        <f>1-BG31</f>
        <v>0.51869999567676683</v>
      </c>
      <c r="BI31" s="437"/>
      <c r="BJ31" s="213">
        <f>BG31</f>
        <v>0.48130000432323322</v>
      </c>
      <c r="BK31" s="452">
        <f>1-BJ31</f>
        <v>0.51869999567676683</v>
      </c>
      <c r="BL31" s="437"/>
      <c r="BO31" s="636"/>
      <c r="BT31" s="676"/>
    </row>
    <row r="32" spans="1:72" s="163" customFormat="1" ht="13.95" customHeight="1">
      <c r="B32" s="241" t="s">
        <v>17</v>
      </c>
      <c r="C32" s="242" t="s">
        <v>122</v>
      </c>
      <c r="D32" s="365"/>
      <c r="E32" s="365"/>
      <c r="F32" s="365"/>
      <c r="G32" s="243" t="str">
        <f t="shared" ref="G32:O32" si="112">IFERROR((G31/F31-1),"NA")</f>
        <v>NA</v>
      </c>
      <c r="H32" s="243">
        <f t="shared" si="112"/>
        <v>3.7429467084639505</v>
      </c>
      <c r="I32" s="243">
        <f t="shared" si="112"/>
        <v>0.84269662921348276</v>
      </c>
      <c r="J32" s="243">
        <f t="shared" si="112"/>
        <v>0.28407460545193675</v>
      </c>
      <c r="K32" s="243">
        <f t="shared" si="112"/>
        <v>8.2795814318672303</v>
      </c>
      <c r="L32" s="243">
        <f t="shared" si="112"/>
        <v>-0.20065384200518133</v>
      </c>
      <c r="M32" s="243">
        <f t="shared" si="112"/>
        <v>-0.47652042929768423</v>
      </c>
      <c r="N32" s="243">
        <f t="shared" si="112"/>
        <v>-0.74821955255017669</v>
      </c>
      <c r="O32" s="254">
        <f t="shared" si="112"/>
        <v>-3.9254103206997155</v>
      </c>
      <c r="P32" s="243">
        <f t="shared" ref="P32:X32" si="113">IFERROR((P31/O31-1),"NA")</f>
        <v>0.8358810708183253</v>
      </c>
      <c r="Q32" s="243">
        <f t="shared" si="113"/>
        <v>0.62535015451366882</v>
      </c>
      <c r="R32" s="243">
        <f t="shared" si="113"/>
        <v>0.56920515248643255</v>
      </c>
      <c r="S32" s="243">
        <f t="shared" si="113"/>
        <v>0.39928038361058271</v>
      </c>
      <c r="T32" s="243">
        <f t="shared" si="113"/>
        <v>0.30979955587239139</v>
      </c>
      <c r="U32" s="243">
        <f t="shared" si="113"/>
        <v>0.23927618523765726</v>
      </c>
      <c r="V32" s="243">
        <f t="shared" si="113"/>
        <v>0.19692955670825718</v>
      </c>
      <c r="W32" s="243">
        <f t="shared" si="113"/>
        <v>0.16889926504350616</v>
      </c>
      <c r="X32" s="243">
        <f t="shared" si="113"/>
        <v>0.14908202496677148</v>
      </c>
      <c r="Y32" s="187"/>
      <c r="AA32" s="241" t="s">
        <v>17</v>
      </c>
      <c r="AB32" s="242" t="str">
        <f t="shared" si="13"/>
        <v>%</v>
      </c>
      <c r="AC32" s="358"/>
      <c r="AD32" s="358"/>
      <c r="AE32" s="442">
        <f>K32</f>
        <v>8.2795814318672303</v>
      </c>
      <c r="AF32" s="358" t="str">
        <f>IFERROR((AF31/AC31-1),"NA")</f>
        <v>NA</v>
      </c>
      <c r="AG32" s="358" t="str">
        <f>IFERROR((AG31/AD31-1),"NA")</f>
        <v>NA</v>
      </c>
      <c r="AH32" s="442">
        <f>L32</f>
        <v>-0.20065384200518133</v>
      </c>
      <c r="AI32" s="358">
        <f>IFERROR((AI31/AF31-1),"NA")</f>
        <v>-0.43539325842696619</v>
      </c>
      <c r="AJ32" s="358">
        <f>IFERROR((AJ31/AG31-1),"NA")</f>
        <v>-0.52158472101649478</v>
      </c>
      <c r="AK32" s="434">
        <f>AK31/AH31-1</f>
        <v>-0.47652042929768423</v>
      </c>
      <c r="AL32" s="358">
        <f>IFERROR((AL31/AI31-1),"NA")</f>
        <v>-0.57583875494323233</v>
      </c>
      <c r="AM32" s="358">
        <f>IFERROR((AM31/AJ31-1),"NA")</f>
        <v>-0.97113163972286531</v>
      </c>
      <c r="AN32" s="434">
        <f>AN31/AK31-1</f>
        <v>-0.74821955255017669</v>
      </c>
      <c r="AO32" s="358">
        <f>IFERROR((AO31/AL31-1),"NA")</f>
        <v>-2.4821052631578948</v>
      </c>
      <c r="AP32" s="460">
        <f>IFERROR((AP31/AM31-1),"NA")</f>
        <v>-31.348206413995889</v>
      </c>
      <c r="AQ32" s="434">
        <f>AQ31/AN31-1</f>
        <v>-3.9254103206997155</v>
      </c>
      <c r="AR32" s="358">
        <f>IFERROR((AR31/AO31-1),"NA")</f>
        <v>1.0183161179481739</v>
      </c>
      <c r="AS32" s="460">
        <f>IFERROR((AS31/AP31-1),"NA")</f>
        <v>0.66660019612361565</v>
      </c>
      <c r="AT32" s="434">
        <f>AT31/AQ31-1</f>
        <v>0.8358810708183253</v>
      </c>
      <c r="AU32" s="434">
        <f>AU31/AT31-1</f>
        <v>0.62535015451366882</v>
      </c>
      <c r="AW32" s="241"/>
      <c r="AX32" s="365"/>
      <c r="AY32" s="365"/>
      <c r="AZ32" s="442"/>
      <c r="BA32" s="365"/>
      <c r="BB32" s="365"/>
      <c r="BC32" s="442"/>
      <c r="BD32" s="365"/>
      <c r="BE32" s="365"/>
      <c r="BF32" s="442"/>
      <c r="BG32" s="365"/>
      <c r="BH32" s="365"/>
      <c r="BI32" s="442"/>
      <c r="BJ32" s="365"/>
      <c r="BK32" s="365"/>
      <c r="BL32" s="442"/>
      <c r="BO32" s="672"/>
      <c r="BT32" s="673"/>
    </row>
    <row r="33" spans="1:72" s="163" customFormat="1" ht="13.95" customHeight="1">
      <c r="B33" s="241" t="s">
        <v>168</v>
      </c>
      <c r="C33" s="242" t="s">
        <v>122</v>
      </c>
      <c r="D33" s="365"/>
      <c r="E33" s="365"/>
      <c r="F33" s="365"/>
      <c r="G33" s="243" t="str">
        <f t="shared" ref="G33:U33" si="114">IFERROR((G31/G9),"NA")</f>
        <v>NA</v>
      </c>
      <c r="H33" s="243" t="str">
        <f t="shared" si="114"/>
        <v>NA</v>
      </c>
      <c r="I33" s="243">
        <f t="shared" si="114"/>
        <v>-174.24999999999997</v>
      </c>
      <c r="J33" s="243">
        <f t="shared" si="114"/>
        <v>-1.7810945273631842</v>
      </c>
      <c r="K33" s="243">
        <f t="shared" si="114"/>
        <v>-1.0285108831605165</v>
      </c>
      <c r="L33" s="243">
        <f t="shared" si="114"/>
        <v>-0.46237289316060731</v>
      </c>
      <c r="M33" s="243">
        <f t="shared" si="114"/>
        <v>-0.161451800232288</v>
      </c>
      <c r="N33" s="243">
        <f t="shared" si="114"/>
        <v>-2.9897919958997078E-2</v>
      </c>
      <c r="O33" s="254">
        <f t="shared" si="114"/>
        <v>6.7714696558022994E-2</v>
      </c>
      <c r="P33" s="243">
        <f t="shared" si="114"/>
        <v>0.10380412105973855</v>
      </c>
      <c r="Q33" s="243">
        <f t="shared" si="114"/>
        <v>0.1425357011685246</v>
      </c>
      <c r="R33" s="243">
        <f t="shared" si="114"/>
        <v>0.19379170316296862</v>
      </c>
      <c r="S33" s="243">
        <f t="shared" si="114"/>
        <v>0.23967569456602225</v>
      </c>
      <c r="T33" s="243">
        <f t="shared" si="114"/>
        <v>0.2829315185723974</v>
      </c>
      <c r="U33" s="243">
        <f t="shared" si="114"/>
        <v>0.31965547647233056</v>
      </c>
      <c r="V33" s="243">
        <f t="shared" ref="V33:W33" si="115">IFERROR((V31/V9),"NA")</f>
        <v>0.35206143726170697</v>
      </c>
      <c r="W33" s="243">
        <f t="shared" si="115"/>
        <v>0.38160523960604453</v>
      </c>
      <c r="X33" s="243">
        <f t="shared" ref="X33" si="116">IFERROR((X31/X9),"NA")</f>
        <v>0.40927496182480466</v>
      </c>
      <c r="Y33" s="187"/>
      <c r="AA33" s="241" t="s">
        <v>168</v>
      </c>
      <c r="AB33" s="242" t="str">
        <f t="shared" si="13"/>
        <v>%</v>
      </c>
      <c r="AC33" s="358"/>
      <c r="AD33" s="358"/>
      <c r="AE33" s="442">
        <f>K33</f>
        <v>-1.0285108831605165</v>
      </c>
      <c r="AF33" s="358">
        <f>IFERROR((AF31/AF$9),"NA")</f>
        <v>-0.54234375000000001</v>
      </c>
      <c r="AG33" s="358">
        <f>IFERROR((AG31/AG$9),"NA")</f>
        <v>-0.39805855742648905</v>
      </c>
      <c r="AH33" s="442">
        <f>L33</f>
        <v>-0.46237289316060731</v>
      </c>
      <c r="AI33" s="358">
        <f>IFERROR((AI31/AI$9),"NA")</f>
        <v>-0.19792455688532046</v>
      </c>
      <c r="AJ33" s="358">
        <f>IFERROR((AJ31/AJ$9),"NA")</f>
        <v>-0.13038241493526034</v>
      </c>
      <c r="AK33" s="442">
        <f>M33</f>
        <v>-0.161451800232288</v>
      </c>
      <c r="AL33" s="358">
        <f>IFERROR((AL31/AL$9),"NA")</f>
        <v>-6.0769441652197803E-2</v>
      </c>
      <c r="AM33" s="358">
        <f>IFERROR((AM31/AM$9),"NA")</f>
        <v>-2.8067361668001616E-3</v>
      </c>
      <c r="AN33" s="442">
        <f>N33</f>
        <v>-2.9897919958997078E-2</v>
      </c>
      <c r="AO33" s="358">
        <f>IFERROR((AO31/AO$9),"NA")</f>
        <v>6.7358291986167551E-2</v>
      </c>
      <c r="AP33" s="358">
        <f>IFERROR((AP31/AP$9),"NA")</f>
        <v>6.8048793307139116E-2</v>
      </c>
      <c r="AQ33" s="442">
        <f>O33</f>
        <v>6.7714696558022994E-2</v>
      </c>
      <c r="AR33" s="358">
        <f>IFERROR((AR31/AR$9),"NA")</f>
        <v>0.11195104310765955</v>
      </c>
      <c r="AS33" s="358">
        <f>IFERROR((AS31/AS$9),"NA")</f>
        <v>9.5957181949468007E-2</v>
      </c>
      <c r="AT33" s="442">
        <f>P33</f>
        <v>0.10380412105973855</v>
      </c>
      <c r="AU33" s="442">
        <f>Q33</f>
        <v>0.1425357011685246</v>
      </c>
      <c r="AW33" s="241"/>
      <c r="AX33" s="365"/>
      <c r="AY33" s="365"/>
      <c r="AZ33" s="442"/>
      <c r="BA33" s="365"/>
      <c r="BB33" s="365"/>
      <c r="BC33" s="442"/>
      <c r="BD33" s="365"/>
      <c r="BE33" s="365"/>
      <c r="BF33" s="442"/>
      <c r="BG33" s="365"/>
      <c r="BH33" s="365"/>
      <c r="BI33" s="442"/>
      <c r="BJ33" s="365"/>
      <c r="BK33" s="365"/>
      <c r="BL33" s="442"/>
      <c r="BO33" s="672"/>
      <c r="BT33" s="673"/>
    </row>
    <row r="34" spans="1:72" s="163" customFormat="1" ht="13.95" customHeight="1">
      <c r="B34" s="241"/>
      <c r="C34" s="242"/>
      <c r="D34" s="243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54"/>
      <c r="P34" s="243"/>
      <c r="Q34" s="243"/>
      <c r="R34" s="243"/>
      <c r="S34" s="243"/>
      <c r="T34" s="243"/>
      <c r="U34" s="243"/>
      <c r="V34" s="243"/>
      <c r="W34" s="243"/>
      <c r="X34" s="243"/>
      <c r="Y34" s="187"/>
      <c r="AA34" s="241"/>
      <c r="AB34" s="242"/>
      <c r="AC34" s="243"/>
      <c r="AD34" s="243"/>
      <c r="AE34" s="439"/>
      <c r="AF34" s="243"/>
      <c r="AG34" s="243"/>
      <c r="AH34" s="439"/>
      <c r="AI34" s="243"/>
      <c r="AJ34" s="243"/>
      <c r="AK34" s="439"/>
      <c r="AL34" s="243"/>
      <c r="AM34" s="243"/>
      <c r="AN34" s="439"/>
      <c r="AO34" s="243"/>
      <c r="AP34" s="243"/>
      <c r="AQ34" s="439"/>
      <c r="AR34" s="243"/>
      <c r="AS34" s="243"/>
      <c r="AT34" s="439"/>
      <c r="AU34" s="439"/>
      <c r="AW34" s="241"/>
      <c r="AX34" s="243"/>
      <c r="AY34" s="243"/>
      <c r="AZ34" s="439"/>
      <c r="BA34" s="243"/>
      <c r="BB34" s="243"/>
      <c r="BC34" s="439"/>
      <c r="BD34" s="243"/>
      <c r="BE34" s="243"/>
      <c r="BF34" s="439"/>
      <c r="BG34" s="243"/>
      <c r="BH34" s="243"/>
      <c r="BI34" s="439"/>
      <c r="BJ34" s="243"/>
      <c r="BK34" s="243"/>
      <c r="BL34" s="439"/>
      <c r="BO34" s="672"/>
      <c r="BT34" s="673"/>
    </row>
    <row r="35" spans="1:72" ht="13.95" customHeight="1">
      <c r="B35" s="183" t="s">
        <v>20</v>
      </c>
      <c r="C35" s="29" t="str">
        <f>C31</f>
        <v>S$m</v>
      </c>
      <c r="D35" s="280"/>
      <c r="E35" s="280"/>
      <c r="F35" s="280"/>
      <c r="G35" s="280">
        <f>-'1.Assumptions'!H170</f>
        <v>0</v>
      </c>
      <c r="H35" s="280">
        <f>-'1.Assumptions'!I170</f>
        <v>0</v>
      </c>
      <c r="I35" s="477">
        <f>-'1.Assumptions'!J170</f>
        <v>0</v>
      </c>
      <c r="J35" s="280">
        <f>-'1.Assumptions'!K170</f>
        <v>0</v>
      </c>
      <c r="K35" s="280">
        <f>-'1.Assumptions'!L170</f>
        <v>1.2001084812623275</v>
      </c>
      <c r="L35" s="280">
        <f>'1.Assumptions'!M170</f>
        <v>-1.7449999999999999</v>
      </c>
      <c r="M35" s="280">
        <f>'1.Assumptions'!N170</f>
        <v>0.10400000000000009</v>
      </c>
      <c r="N35" s="280">
        <f>'1.Assumptions'!O170</f>
        <v>1.331</v>
      </c>
      <c r="O35" s="485">
        <f>'1.Assumptions'!P170</f>
        <v>0.96700000000000008</v>
      </c>
      <c r="P35" s="280">
        <f>'1.Assumptions'!Q170</f>
        <v>1.73865065332853</v>
      </c>
      <c r="Q35" s="280">
        <f>'1.Assumptions'!R170</f>
        <v>2.8021074691064971</v>
      </c>
      <c r="R35" s="280">
        <f>'1.Assumptions'!S170</f>
        <v>4.1892226348220198</v>
      </c>
      <c r="S35" s="280">
        <f>'1.Assumptions'!T170</f>
        <v>5.9927046534720363</v>
      </c>
      <c r="T35" s="280">
        <f>'1.Assumptions'!U170</f>
        <v>8.1135677693756527</v>
      </c>
      <c r="U35" s="280">
        <f>'1.Assumptions'!V170</f>
        <v>10.561981091835333</v>
      </c>
      <c r="V35" s="280">
        <f>'1.Assumptions'!W170</f>
        <v>13.367441407940529</v>
      </c>
      <c r="W35" s="280">
        <f>'1.Assumptions'!X170</f>
        <v>16.554648938912862</v>
      </c>
      <c r="X35" s="280">
        <f>'1.Assumptions'!Y170</f>
        <v>20.146903926054453</v>
      </c>
      <c r="AA35" s="183" t="s">
        <v>20</v>
      </c>
      <c r="AB35" s="29" t="str">
        <f t="shared" si="13"/>
        <v>S$m</v>
      </c>
      <c r="AC35" s="449"/>
      <c r="AD35" s="239"/>
      <c r="AE35" s="444">
        <f>K35</f>
        <v>1.2001084812623275</v>
      </c>
      <c r="AF35" s="449">
        <v>-0.80500000000000005</v>
      </c>
      <c r="AG35" s="239">
        <f>AH35-AF35</f>
        <v>-0.93999999999999984</v>
      </c>
      <c r="AH35" s="444">
        <f>L35</f>
        <v>-1.7449999999999999</v>
      </c>
      <c r="AI35" s="449">
        <v>-1.129</v>
      </c>
      <c r="AJ35" s="239">
        <f>AK35-AI35</f>
        <v>1.2330000000000001</v>
      </c>
      <c r="AK35" s="444">
        <f t="shared" ref="AK35:AK38" si="117">M35</f>
        <v>0.10400000000000009</v>
      </c>
      <c r="AL35" s="626">
        <v>0.61799999999999999</v>
      </c>
      <c r="AM35" s="626">
        <f>AN35-AL35</f>
        <v>0.71299999999999997</v>
      </c>
      <c r="AN35" s="445">
        <f>N35</f>
        <v>1.331</v>
      </c>
      <c r="AO35" s="449">
        <v>0.41599999999999998</v>
      </c>
      <c r="AP35" s="239">
        <f>AQ35-AO35</f>
        <v>0.55100000000000016</v>
      </c>
      <c r="AQ35" s="444">
        <f t="shared" ref="AQ35:AQ38" si="118">O35</f>
        <v>0.96700000000000008</v>
      </c>
      <c r="AR35" s="626">
        <f>BJ35*AT35</f>
        <v>0.69546026133141203</v>
      </c>
      <c r="AS35" s="239">
        <f>AT35-AR35</f>
        <v>1.0431903919971179</v>
      </c>
      <c r="AT35" s="444">
        <f t="shared" ref="AT35:AU38" si="119">P35</f>
        <v>1.73865065332853</v>
      </c>
      <c r="AU35" s="444">
        <f t="shared" si="119"/>
        <v>2.8021074691064971</v>
      </c>
      <c r="AW35" s="183" t="s">
        <v>20</v>
      </c>
      <c r="AX35" s="211">
        <f>AF35/AH35</f>
        <v>0.46131805157593131</v>
      </c>
      <c r="AY35" s="211">
        <f>1-AX35</f>
        <v>0.53868194842406869</v>
      </c>
      <c r="AZ35" s="444"/>
      <c r="BA35" s="211">
        <f>AI35/AK35</f>
        <v>-10.855769230769221</v>
      </c>
      <c r="BB35" s="211">
        <f>1-BA35</f>
        <v>11.855769230769221</v>
      </c>
      <c r="BC35" s="444"/>
      <c r="BD35" s="211">
        <f>AL35/AN35</f>
        <v>0.46431254695717505</v>
      </c>
      <c r="BE35" s="211">
        <f>1-BD35</f>
        <v>0.53568745304282495</v>
      </c>
      <c r="BF35" s="444"/>
      <c r="BG35" s="211">
        <f>AO35/AQ35</f>
        <v>0.43019648397104443</v>
      </c>
      <c r="BH35" s="211">
        <f>1-BG35</f>
        <v>0.56980351602895563</v>
      </c>
      <c r="BI35" s="444"/>
      <c r="BJ35" s="211">
        <v>0.4</v>
      </c>
      <c r="BK35" s="211">
        <f>1-BJ35</f>
        <v>0.6</v>
      </c>
      <c r="BL35" s="444"/>
    </row>
    <row r="36" spans="1:72" ht="13.95" customHeight="1">
      <c r="A36" s="26"/>
      <c r="B36" s="26" t="s">
        <v>21</v>
      </c>
      <c r="C36" s="21" t="str">
        <f>C35</f>
        <v>S$m</v>
      </c>
      <c r="D36" s="23"/>
      <c r="E36" s="23"/>
      <c r="F36" s="23"/>
      <c r="G36" s="23">
        <f t="shared" ref="G36" si="120">G31+G35</f>
        <v>-0.31900000000000001</v>
      </c>
      <c r="H36" s="23">
        <f t="shared" ref="H36:O36" si="121">H31+H35</f>
        <v>-1.5130000000000001</v>
      </c>
      <c r="I36" s="382">
        <f t="shared" si="121"/>
        <v>-2.7879999999999998</v>
      </c>
      <c r="J36" s="23">
        <f t="shared" si="121"/>
        <v>-3.5799999999999996</v>
      </c>
      <c r="K36" s="23">
        <f t="shared" si="121"/>
        <v>-32.020793044822355</v>
      </c>
      <c r="L36" s="23">
        <f t="shared" si="121"/>
        <v>-28.3</v>
      </c>
      <c r="M36" s="23">
        <f t="shared" si="121"/>
        <v>-13.796999999999997</v>
      </c>
      <c r="N36" s="23">
        <f t="shared" si="121"/>
        <v>-2.1689999999999929</v>
      </c>
      <c r="O36" s="256">
        <f t="shared" si="121"/>
        <v>11.205936122448984</v>
      </c>
      <c r="P36" s="23">
        <f t="shared" ref="P36:U36" si="122">P31+P35</f>
        <v>20.536119665850602</v>
      </c>
      <c r="Q36" s="23">
        <f t="shared" si="122"/>
        <v>33.354576633075148</v>
      </c>
      <c r="R36" s="23">
        <f t="shared" si="122"/>
        <v>52.13231466810447</v>
      </c>
      <c r="S36" s="23">
        <f t="shared" si="122"/>
        <v>73.078532865280977</v>
      </c>
      <c r="T36" s="23">
        <f t="shared" si="122"/>
        <v>95.982555766534546</v>
      </c>
      <c r="U36" s="23">
        <f t="shared" si="122"/>
        <v>119.4559253376479</v>
      </c>
      <c r="V36" s="23">
        <f t="shared" ref="V36:W36" si="123">V31+V35</f>
        <v>143.70582182229464</v>
      </c>
      <c r="W36" s="23">
        <f t="shared" si="123"/>
        <v>168.90708601221229</v>
      </c>
      <c r="X36" s="23">
        <f t="shared" ref="X36" si="124">X31+X35</f>
        <v>195.21235082686397</v>
      </c>
      <c r="Y36" s="246"/>
      <c r="AA36" s="26" t="s">
        <v>21</v>
      </c>
      <c r="AB36" s="21" t="str">
        <f t="shared" si="13"/>
        <v>S$m</v>
      </c>
      <c r="AC36" s="226"/>
      <c r="AD36" s="226"/>
      <c r="AE36" s="437">
        <f>K36</f>
        <v>-32.020793044822355</v>
      </c>
      <c r="AF36" s="226">
        <f>AF31+AF35</f>
        <v>-14.689</v>
      </c>
      <c r="AG36" s="226">
        <f>AH36-AF36</f>
        <v>-13.611000000000001</v>
      </c>
      <c r="AH36" s="437">
        <f>L36</f>
        <v>-28.3</v>
      </c>
      <c r="AI36" s="226">
        <f>AI31+AI35</f>
        <v>-8.9680000000000017</v>
      </c>
      <c r="AJ36" s="226">
        <f>AK36-AI36</f>
        <v>-4.8289999999999953</v>
      </c>
      <c r="AK36" s="437">
        <f t="shared" si="117"/>
        <v>-13.796999999999997</v>
      </c>
      <c r="AL36" s="226">
        <f>AL31+AL35</f>
        <v>-2.707000000000003</v>
      </c>
      <c r="AM36" s="226">
        <f>AN36-AL36</f>
        <v>0.53800000000001003</v>
      </c>
      <c r="AN36" s="810">
        <f>N36</f>
        <v>-2.1689999999999929</v>
      </c>
      <c r="AO36" s="226">
        <f>AO31+AO35</f>
        <v>5.3440000000000047</v>
      </c>
      <c r="AP36" s="226">
        <f>AQ36-AO36</f>
        <v>5.861936122448979</v>
      </c>
      <c r="AQ36" s="437">
        <f t="shared" si="118"/>
        <v>11.205936122448984</v>
      </c>
      <c r="AR36" s="226">
        <f>AR31+AR35</f>
        <v>10.641722090580021</v>
      </c>
      <c r="AS36" s="226">
        <f>AT36-AR36</f>
        <v>9.8943975752705811</v>
      </c>
      <c r="AT36" s="437">
        <f t="shared" si="119"/>
        <v>20.536119665850602</v>
      </c>
      <c r="AU36" s="437">
        <f t="shared" si="119"/>
        <v>33.354576633075148</v>
      </c>
      <c r="AW36" s="26" t="s">
        <v>21</v>
      </c>
      <c r="AX36" s="213">
        <f>AF36/AH36</f>
        <v>0.51904593639575969</v>
      </c>
      <c r="AY36" s="452">
        <f>1-AX36</f>
        <v>0.48095406360424031</v>
      </c>
      <c r="AZ36" s="437"/>
      <c r="BA36" s="213">
        <f>AI36/AK36</f>
        <v>0.64999637602377358</v>
      </c>
      <c r="BB36" s="452">
        <f>1-BA36</f>
        <v>0.35000362397622642</v>
      </c>
      <c r="BC36" s="437"/>
      <c r="BD36" s="213">
        <f>AL36/AN36</f>
        <v>1.2480405716920293</v>
      </c>
      <c r="BE36" s="452">
        <f>1-BD36</f>
        <v>-0.24804057169202931</v>
      </c>
      <c r="BF36" s="437"/>
      <c r="BG36" s="213">
        <f>AO36/AQ36</f>
        <v>0.47689010017595107</v>
      </c>
      <c r="BH36" s="452">
        <f>1-BG36</f>
        <v>0.52310989982404887</v>
      </c>
      <c r="BI36" s="437"/>
      <c r="BJ36" s="213">
        <f>BG36</f>
        <v>0.47689010017595107</v>
      </c>
      <c r="BK36" s="452">
        <f>1-BJ36</f>
        <v>0.52310989982404887</v>
      </c>
      <c r="BL36" s="437"/>
    </row>
    <row r="37" spans="1:72" ht="13.95" customHeight="1">
      <c r="B37" s="183" t="s">
        <v>22</v>
      </c>
      <c r="C37" s="29" t="str">
        <f t="shared" ref="C37:C41" si="125">C36</f>
        <v>S$m</v>
      </c>
      <c r="D37" s="281"/>
      <c r="E37" s="281"/>
      <c r="F37" s="281"/>
      <c r="G37" s="281">
        <f>-'1.Assumptions'!H172</f>
        <v>5.3999999999999999E-2</v>
      </c>
      <c r="H37" s="281">
        <f>-'1.Assumptions'!I172</f>
        <v>0.25700000000000001</v>
      </c>
      <c r="I37" s="281">
        <f>-'1.Assumptions'!J172</f>
        <v>0.27600000000000002</v>
      </c>
      <c r="J37" s="282">
        <f>-'1.Assumptions'!K172</f>
        <v>0.61399999999999999</v>
      </c>
      <c r="K37" s="282">
        <f>-'1.Assumptions'!L172</f>
        <v>3.8207930448223557</v>
      </c>
      <c r="L37" s="282">
        <f>-'1.Assumptions'!M172</f>
        <v>1.474</v>
      </c>
      <c r="M37" s="282">
        <f>-'1.Assumptions'!N172</f>
        <v>-1.581</v>
      </c>
      <c r="N37" s="282">
        <f>-'1.Assumptions'!O172</f>
        <v>-2.2029999999999998</v>
      </c>
      <c r="O37" s="486">
        <f>-'1.Assumptions'!P172</f>
        <v>-4.8019999999999996</v>
      </c>
      <c r="P37" s="282">
        <f>-'1.Assumptions'!Q172</f>
        <v>-3.4911403431946026</v>
      </c>
      <c r="Q37" s="282">
        <f>-'1.Assumptions'!R172</f>
        <v>-5.6702780276227758</v>
      </c>
      <c r="R37" s="282">
        <f>-'1.Assumptions'!S172</f>
        <v>-8.8624934935777606</v>
      </c>
      <c r="S37" s="282">
        <f>-'1.Assumptions'!T172</f>
        <v>-12.423350587097767</v>
      </c>
      <c r="T37" s="282">
        <f>-'1.Assumptions'!U172</f>
        <v>-16.317034480310873</v>
      </c>
      <c r="U37" s="282">
        <f>-'1.Assumptions'!V172</f>
        <v>-20.307507307400144</v>
      </c>
      <c r="V37" s="282">
        <f>-'1.Assumptions'!W172</f>
        <v>-24.429989709790089</v>
      </c>
      <c r="W37" s="282">
        <f>-'1.Assumptions'!X172</f>
        <v>-28.714204622076092</v>
      </c>
      <c r="X37" s="282">
        <f>-'1.Assumptions'!Y172</f>
        <v>-33.18609964056688</v>
      </c>
      <c r="AA37" s="183" t="s">
        <v>22</v>
      </c>
      <c r="AB37" s="29" t="str">
        <f t="shared" si="13"/>
        <v>S$m</v>
      </c>
      <c r="AC37" s="449"/>
      <c r="AD37" s="239"/>
      <c r="AE37" s="445">
        <f>K37</f>
        <v>3.8207930448223557</v>
      </c>
      <c r="AF37" s="449">
        <v>1.3380000000000001</v>
      </c>
      <c r="AG37" s="239">
        <f>AH37-AF37</f>
        <v>0.1359999999999999</v>
      </c>
      <c r="AH37" s="445">
        <f>L37</f>
        <v>1.474</v>
      </c>
      <c r="AI37" s="449">
        <v>1.4470000000000001</v>
      </c>
      <c r="AJ37" s="239">
        <f>AK37-AI37</f>
        <v>-3.028</v>
      </c>
      <c r="AK37" s="445">
        <f t="shared" si="117"/>
        <v>-1.581</v>
      </c>
      <c r="AL37" s="626">
        <v>-0.77100000000000002</v>
      </c>
      <c r="AM37" s="626">
        <f>AN37-AL37</f>
        <v>-1.4319999999999999</v>
      </c>
      <c r="AN37" s="445">
        <f>N37</f>
        <v>-2.2029999999999998</v>
      </c>
      <c r="AO37" s="449">
        <v>-2.2869999999999999</v>
      </c>
      <c r="AP37" s="239">
        <f>AQ37-AO37</f>
        <v>-2.5149999999999997</v>
      </c>
      <c r="AQ37" s="445">
        <f t="shared" si="118"/>
        <v>-4.8019999999999996</v>
      </c>
      <c r="AR37" s="626">
        <v>-2.2869999999999999</v>
      </c>
      <c r="AS37" s="239">
        <f>AT37-AR37</f>
        <v>-1.2041403431946027</v>
      </c>
      <c r="AT37" s="445">
        <f t="shared" si="119"/>
        <v>-3.4911403431946026</v>
      </c>
      <c r="AU37" s="445">
        <f t="shared" si="119"/>
        <v>-5.6702780276227758</v>
      </c>
      <c r="AW37" s="183" t="s">
        <v>22</v>
      </c>
      <c r="AX37" s="211">
        <f>AF37/AH37</f>
        <v>0.90773405698778842</v>
      </c>
      <c r="AY37" s="211">
        <f>1-AX37</f>
        <v>9.2265943012211582E-2</v>
      </c>
      <c r="AZ37" s="445"/>
      <c r="BA37" s="211">
        <f>AI37/AK37</f>
        <v>-0.91524351676154336</v>
      </c>
      <c r="BB37" s="211">
        <f>1-BA37</f>
        <v>1.9152435167615434</v>
      </c>
      <c r="BC37" s="445"/>
      <c r="BD37" s="211"/>
      <c r="BE37" s="211"/>
      <c r="BF37" s="445"/>
      <c r="BG37" s="211"/>
      <c r="BH37" s="211"/>
      <c r="BI37" s="445"/>
      <c r="BJ37" s="211"/>
      <c r="BK37" s="211"/>
      <c r="BL37" s="445"/>
    </row>
    <row r="38" spans="1:72" ht="13.95" customHeight="1">
      <c r="B38" s="26" t="s">
        <v>23</v>
      </c>
      <c r="C38" s="21" t="str">
        <f t="shared" si="125"/>
        <v>S$m</v>
      </c>
      <c r="D38" s="23"/>
      <c r="E38" s="23"/>
      <c r="F38" s="23"/>
      <c r="G38" s="23">
        <f t="shared" ref="G38" si="126">G36+G37</f>
        <v>-0.26500000000000001</v>
      </c>
      <c r="H38" s="23">
        <f t="shared" ref="H38:L38" si="127">H36+H37</f>
        <v>-1.2560000000000002</v>
      </c>
      <c r="I38" s="382">
        <f t="shared" si="127"/>
        <v>-2.5119999999999996</v>
      </c>
      <c r="J38" s="23">
        <f t="shared" si="127"/>
        <v>-2.9659999999999997</v>
      </c>
      <c r="K38" s="23">
        <f t="shared" si="127"/>
        <v>-28.2</v>
      </c>
      <c r="L38" s="23">
        <f t="shared" si="127"/>
        <v>-26.826000000000001</v>
      </c>
      <c r="M38" s="23">
        <f t="shared" ref="M38:T38" si="128">M36+M37</f>
        <v>-15.377999999999997</v>
      </c>
      <c r="N38" s="23">
        <f t="shared" si="128"/>
        <v>-4.3719999999999928</v>
      </c>
      <c r="O38" s="256">
        <f t="shared" si="128"/>
        <v>6.4039361224489841</v>
      </c>
      <c r="P38" s="23">
        <f t="shared" si="128"/>
        <v>17.044979322656001</v>
      </c>
      <c r="Q38" s="23">
        <f t="shared" si="128"/>
        <v>27.684298605452373</v>
      </c>
      <c r="R38" s="23">
        <f t="shared" si="128"/>
        <v>43.269821174526712</v>
      </c>
      <c r="S38" s="23">
        <f t="shared" si="128"/>
        <v>60.655182278183212</v>
      </c>
      <c r="T38" s="23">
        <f t="shared" si="128"/>
        <v>79.665521286223679</v>
      </c>
      <c r="U38" s="23">
        <f t="shared" ref="U38" si="129">U36+U37</f>
        <v>99.148418030247754</v>
      </c>
      <c r="V38" s="23">
        <f t="shared" ref="V38:W38" si="130">V36+V37</f>
        <v>119.27583211250455</v>
      </c>
      <c r="W38" s="23">
        <f t="shared" si="130"/>
        <v>140.19288139013619</v>
      </c>
      <c r="X38" s="23">
        <f t="shared" ref="X38" si="131">X36+X37</f>
        <v>162.02625118629709</v>
      </c>
      <c r="Y38" s="246"/>
      <c r="AA38" s="26" t="s">
        <v>23</v>
      </c>
      <c r="AB38" s="21" t="str">
        <f t="shared" si="13"/>
        <v>S$m</v>
      </c>
      <c r="AC38" s="226"/>
      <c r="AD38" s="226"/>
      <c r="AE38" s="437">
        <f>K38</f>
        <v>-28.2</v>
      </c>
      <c r="AF38" s="226">
        <f>AF36+AF37</f>
        <v>-13.350999999999999</v>
      </c>
      <c r="AG38" s="226">
        <f>AH38-AF38</f>
        <v>-13.475000000000001</v>
      </c>
      <c r="AH38" s="437">
        <f>L38</f>
        <v>-26.826000000000001</v>
      </c>
      <c r="AI38" s="226">
        <f>AI36+AI37</f>
        <v>-7.5210000000000017</v>
      </c>
      <c r="AJ38" s="226">
        <f>AK38-AI38</f>
        <v>-7.8569999999999949</v>
      </c>
      <c r="AK38" s="437">
        <f t="shared" si="117"/>
        <v>-15.377999999999997</v>
      </c>
      <c r="AL38" s="226">
        <f>AL36+AL37</f>
        <v>-3.4780000000000029</v>
      </c>
      <c r="AM38" s="226">
        <f>AN38-AL38</f>
        <v>-0.89399999999998991</v>
      </c>
      <c r="AN38" s="810">
        <f>N38</f>
        <v>-4.3719999999999928</v>
      </c>
      <c r="AO38" s="226">
        <f>AO36+AO37</f>
        <v>3.0570000000000048</v>
      </c>
      <c r="AP38" s="226">
        <f>AQ38-AO38</f>
        <v>3.3469361224489793</v>
      </c>
      <c r="AQ38" s="437">
        <f t="shared" si="118"/>
        <v>6.4039361224489841</v>
      </c>
      <c r="AR38" s="226">
        <f>AR36+AR37</f>
        <v>8.3547220905800224</v>
      </c>
      <c r="AS38" s="226">
        <f>AT38-AR38</f>
        <v>8.6902572320759788</v>
      </c>
      <c r="AT38" s="437">
        <f t="shared" si="119"/>
        <v>17.044979322656001</v>
      </c>
      <c r="AU38" s="437">
        <f t="shared" si="119"/>
        <v>27.684298605452373</v>
      </c>
      <c r="AW38" s="26" t="s">
        <v>23</v>
      </c>
      <c r="AX38" s="23"/>
      <c r="AY38" s="23"/>
      <c r="AZ38" s="437"/>
      <c r="BA38" s="23"/>
      <c r="BB38" s="23"/>
      <c r="BC38" s="437"/>
      <c r="BD38" s="23"/>
      <c r="BE38" s="23"/>
      <c r="BF38" s="437"/>
      <c r="BG38" s="23"/>
      <c r="BH38" s="23"/>
      <c r="BI38" s="437"/>
      <c r="BJ38" s="23"/>
      <c r="BK38" s="23"/>
      <c r="BL38" s="437"/>
    </row>
    <row r="39" spans="1:72" ht="13.95" customHeight="1">
      <c r="B39" s="179" t="s">
        <v>223</v>
      </c>
      <c r="C39" s="29" t="str">
        <f t="shared" si="125"/>
        <v>S$m</v>
      </c>
      <c r="D39" s="362"/>
      <c r="E39" s="362"/>
      <c r="F39" s="362"/>
      <c r="G39" s="283"/>
      <c r="H39" s="283"/>
      <c r="I39" s="283"/>
      <c r="J39" s="283"/>
      <c r="K39" s="283"/>
      <c r="L39" s="283"/>
      <c r="M39" s="283"/>
      <c r="N39" s="283"/>
      <c r="O39" s="284"/>
      <c r="P39" s="283"/>
      <c r="Q39" s="283"/>
      <c r="R39" s="283"/>
      <c r="S39" s="283"/>
      <c r="T39" s="283"/>
      <c r="U39" s="283"/>
      <c r="V39" s="283"/>
      <c r="W39" s="283"/>
      <c r="X39" s="283"/>
      <c r="AA39" s="68"/>
      <c r="AB39" s="21" t="str">
        <f t="shared" si="13"/>
        <v>S$m</v>
      </c>
      <c r="AC39" s="353"/>
      <c r="AD39" s="353"/>
      <c r="AE39" s="454"/>
      <c r="AF39" s="353"/>
      <c r="AG39" s="353"/>
      <c r="AH39" s="454"/>
      <c r="AI39" s="353"/>
      <c r="AJ39" s="353"/>
      <c r="AK39" s="454"/>
      <c r="AL39" s="532"/>
      <c r="AM39" s="532"/>
      <c r="AN39" s="811"/>
      <c r="AO39" s="824"/>
      <c r="AP39" s="353"/>
      <c r="AQ39" s="454"/>
      <c r="AR39" s="532"/>
      <c r="AS39" s="353"/>
      <c r="AT39" s="454"/>
      <c r="AU39" s="454"/>
      <c r="AV39" s="25"/>
      <c r="AW39" s="68"/>
      <c r="AX39" s="353"/>
      <c r="AY39" s="353"/>
      <c r="AZ39" s="454"/>
      <c r="BA39" s="353"/>
      <c r="BB39" s="353"/>
      <c r="BC39" s="454"/>
      <c r="BD39" s="353"/>
      <c r="BE39" s="353"/>
      <c r="BF39" s="454"/>
      <c r="BG39" s="353"/>
      <c r="BH39" s="353"/>
      <c r="BI39" s="454"/>
      <c r="BJ39" s="353"/>
      <c r="BK39" s="353"/>
      <c r="BL39" s="454"/>
    </row>
    <row r="40" spans="1:72" ht="13.95" customHeight="1">
      <c r="A40" s="26"/>
      <c r="B40" s="40" t="s">
        <v>24</v>
      </c>
      <c r="C40" s="27" t="str">
        <f t="shared" si="125"/>
        <v>S$m</v>
      </c>
      <c r="D40" s="182"/>
      <c r="E40" s="182"/>
      <c r="F40" s="182"/>
      <c r="G40" s="364">
        <f t="shared" ref="G40" si="132">G38+G39</f>
        <v>-0.26500000000000001</v>
      </c>
      <c r="H40" s="364">
        <f t="shared" ref="H40:L40" si="133">H38+H39</f>
        <v>-1.2560000000000002</v>
      </c>
      <c r="I40" s="182">
        <f t="shared" si="133"/>
        <v>-2.5119999999999996</v>
      </c>
      <c r="J40" s="182">
        <f t="shared" si="133"/>
        <v>-2.9659999999999997</v>
      </c>
      <c r="K40" s="182">
        <f t="shared" si="133"/>
        <v>-28.2</v>
      </c>
      <c r="L40" s="182">
        <f t="shared" si="133"/>
        <v>-26.826000000000001</v>
      </c>
      <c r="M40" s="182">
        <f t="shared" ref="M40:T40" si="134">M38+M39</f>
        <v>-15.377999999999997</v>
      </c>
      <c r="N40" s="182">
        <f t="shared" si="134"/>
        <v>-4.3719999999999928</v>
      </c>
      <c r="O40" s="260">
        <f t="shared" si="134"/>
        <v>6.4039361224489841</v>
      </c>
      <c r="P40" s="182">
        <f t="shared" si="134"/>
        <v>17.044979322656001</v>
      </c>
      <c r="Q40" s="182">
        <f t="shared" si="134"/>
        <v>27.684298605452373</v>
      </c>
      <c r="R40" s="182">
        <f t="shared" si="134"/>
        <v>43.269821174526712</v>
      </c>
      <c r="S40" s="182">
        <f t="shared" si="134"/>
        <v>60.655182278183212</v>
      </c>
      <c r="T40" s="182">
        <f t="shared" si="134"/>
        <v>79.665521286223679</v>
      </c>
      <c r="U40" s="182">
        <f t="shared" ref="U40" si="135">U38+U39</f>
        <v>99.148418030247754</v>
      </c>
      <c r="V40" s="182">
        <f t="shared" ref="V40:W40" si="136">V38+V39</f>
        <v>119.27583211250455</v>
      </c>
      <c r="W40" s="182">
        <f t="shared" si="136"/>
        <v>140.19288139013619</v>
      </c>
      <c r="X40" s="182">
        <f t="shared" ref="X40" si="137">X38+X39</f>
        <v>162.02625118629709</v>
      </c>
      <c r="AA40" s="40"/>
      <c r="AB40" s="27" t="str">
        <f t="shared" si="13"/>
        <v>S$m</v>
      </c>
      <c r="AC40" s="23"/>
      <c r="AD40" s="23"/>
      <c r="AE40" s="437"/>
      <c r="AF40" s="23"/>
      <c r="AG40" s="23"/>
      <c r="AH40" s="437"/>
      <c r="AI40" s="23"/>
      <c r="AJ40" s="23"/>
      <c r="AK40" s="437"/>
      <c r="AL40" s="627"/>
      <c r="AM40" s="627"/>
      <c r="AN40" s="810"/>
      <c r="AO40" s="627"/>
      <c r="AP40" s="23"/>
      <c r="AQ40" s="437"/>
      <c r="AR40" s="627"/>
      <c r="AS40" s="23"/>
      <c r="AT40" s="437"/>
      <c r="AU40" s="437"/>
      <c r="AV40" s="25"/>
      <c r="AW40" s="40"/>
      <c r="AX40" s="23"/>
      <c r="AY40" s="23"/>
      <c r="AZ40" s="437"/>
      <c r="BA40" s="23"/>
      <c r="BB40" s="23"/>
      <c r="BC40" s="437"/>
      <c r="BD40" s="23"/>
      <c r="BE40" s="23"/>
      <c r="BF40" s="437"/>
      <c r="BG40" s="23"/>
      <c r="BH40" s="23"/>
      <c r="BI40" s="437"/>
      <c r="BJ40" s="23"/>
      <c r="BK40" s="23"/>
      <c r="BL40" s="437"/>
    </row>
    <row r="41" spans="1:72" s="20" customFormat="1" ht="13.95" customHeight="1">
      <c r="A41" s="32"/>
      <c r="B41" s="729" t="s">
        <v>25</v>
      </c>
      <c r="C41" s="726" t="str">
        <f t="shared" si="125"/>
        <v>S$m</v>
      </c>
      <c r="D41" s="730"/>
      <c r="E41" s="730"/>
      <c r="F41" s="730"/>
      <c r="G41" s="730">
        <f>G40-(G39*(1-'1.Assumptions'!H174))</f>
        <v>-0.26500000000000001</v>
      </c>
      <c r="H41" s="730">
        <f>H40-(H39*(1-'1.Assumptions'!I174))</f>
        <v>-1.2560000000000002</v>
      </c>
      <c r="I41" s="730">
        <f>I40-(I39*(1-'1.Assumptions'!J174))</f>
        <v>-2.5119999999999996</v>
      </c>
      <c r="J41" s="730">
        <f t="shared" ref="J41:T41" si="138">J40-J39</f>
        <v>-2.9659999999999997</v>
      </c>
      <c r="K41" s="730">
        <f t="shared" si="138"/>
        <v>-28.2</v>
      </c>
      <c r="L41" s="730">
        <f t="shared" si="138"/>
        <v>-26.826000000000001</v>
      </c>
      <c r="M41" s="730">
        <f t="shared" si="138"/>
        <v>-15.377999999999997</v>
      </c>
      <c r="N41" s="730">
        <f t="shared" si="138"/>
        <v>-4.3719999999999928</v>
      </c>
      <c r="O41" s="731">
        <f t="shared" si="138"/>
        <v>6.4039361224489841</v>
      </c>
      <c r="P41" s="730">
        <f t="shared" si="138"/>
        <v>17.044979322656001</v>
      </c>
      <c r="Q41" s="730">
        <f t="shared" si="138"/>
        <v>27.684298605452373</v>
      </c>
      <c r="R41" s="730">
        <f t="shared" si="138"/>
        <v>43.269821174526712</v>
      </c>
      <c r="S41" s="730">
        <f t="shared" si="138"/>
        <v>60.655182278183212</v>
      </c>
      <c r="T41" s="730">
        <f t="shared" si="138"/>
        <v>79.665521286223679</v>
      </c>
      <c r="U41" s="730">
        <f t="shared" ref="U41" si="139">U40-U39</f>
        <v>99.148418030247754</v>
      </c>
      <c r="V41" s="730">
        <f t="shared" ref="V41:W41" si="140">V40-V39</f>
        <v>119.27583211250455</v>
      </c>
      <c r="W41" s="730">
        <f t="shared" si="140"/>
        <v>140.19288139013619</v>
      </c>
      <c r="X41" s="730">
        <f t="shared" ref="X41" si="141">X40-X39</f>
        <v>162.02625118629709</v>
      </c>
      <c r="Y41" s="246"/>
      <c r="AA41" s="729" t="s">
        <v>25</v>
      </c>
      <c r="AB41" s="726" t="str">
        <f t="shared" si="13"/>
        <v>S$m</v>
      </c>
      <c r="AC41" s="738">
        <v>-11.4</v>
      </c>
      <c r="AD41" s="739">
        <f>AE41-AC41</f>
        <v>-16.799999999999997</v>
      </c>
      <c r="AE41" s="730">
        <f>K41</f>
        <v>-28.2</v>
      </c>
      <c r="AF41" s="739">
        <f>AF38</f>
        <v>-13.350999999999999</v>
      </c>
      <c r="AG41" s="739">
        <f>AH41-AF41</f>
        <v>-13.475000000000001</v>
      </c>
      <c r="AH41" s="730">
        <f>L41</f>
        <v>-26.826000000000001</v>
      </c>
      <c r="AI41" s="739">
        <f>AI38</f>
        <v>-7.5210000000000017</v>
      </c>
      <c r="AJ41" s="739">
        <f>AK41-AI41</f>
        <v>-7.8569999999999949</v>
      </c>
      <c r="AK41" s="730">
        <f>M41</f>
        <v>-15.377999999999997</v>
      </c>
      <c r="AL41" s="745">
        <f>AL38</f>
        <v>-3.4780000000000029</v>
      </c>
      <c r="AM41" s="745">
        <f>AN41-AL41</f>
        <v>-0.89399999999998991</v>
      </c>
      <c r="AN41" s="813">
        <f>N41</f>
        <v>-4.3719999999999928</v>
      </c>
      <c r="AO41" s="745">
        <f>AO38</f>
        <v>3.0570000000000048</v>
      </c>
      <c r="AP41" s="739">
        <f>AQ41-AO41</f>
        <v>3.3469361224489793</v>
      </c>
      <c r="AQ41" s="730">
        <f>O41</f>
        <v>6.4039361224489841</v>
      </c>
      <c r="AR41" s="745">
        <f>AR38</f>
        <v>8.3547220905800224</v>
      </c>
      <c r="AS41" s="739">
        <f>AT41-AR41</f>
        <v>8.6902572320759788</v>
      </c>
      <c r="AT41" s="730">
        <f>P41</f>
        <v>17.044979322656001</v>
      </c>
      <c r="AU41" s="730">
        <f>Q41</f>
        <v>27.684298605452373</v>
      </c>
      <c r="AW41" s="729" t="s">
        <v>25</v>
      </c>
      <c r="AX41" s="741">
        <f>AF41/AH41</f>
        <v>0.49768880936404974</v>
      </c>
      <c r="AY41" s="741">
        <f>AG41/AH41</f>
        <v>0.5023111906359502</v>
      </c>
      <c r="AZ41" s="730"/>
      <c r="BA41" s="741">
        <f>AI41/AK41</f>
        <v>0.48907530238002361</v>
      </c>
      <c r="BB41" s="741">
        <f>AJ41/AK41</f>
        <v>0.51092469761997639</v>
      </c>
      <c r="BC41" s="730"/>
      <c r="BD41" s="741">
        <f>AL41/AN41</f>
        <v>0.79551692589204226</v>
      </c>
      <c r="BE41" s="741">
        <f>AM41/AN41</f>
        <v>0.20448307410795777</v>
      </c>
      <c r="BF41" s="730"/>
      <c r="BG41" s="741">
        <f>AO41/AQ41</f>
        <v>0.4773626628291463</v>
      </c>
      <c r="BH41" s="741">
        <f>AP41/AQ41</f>
        <v>0.5226373371708537</v>
      </c>
      <c r="BI41" s="730"/>
      <c r="BJ41" s="741">
        <f>BG41</f>
        <v>0.4773626628291463</v>
      </c>
      <c r="BK41" s="741">
        <f>1-BJ41</f>
        <v>0.5226373371708537</v>
      </c>
      <c r="BL41" s="730"/>
      <c r="BO41" s="671"/>
      <c r="BT41" s="675"/>
    </row>
    <row r="42" spans="1:72" s="187" customFormat="1" ht="13.95" customHeight="1">
      <c r="B42" s="391" t="s">
        <v>17</v>
      </c>
      <c r="C42" s="392" t="s">
        <v>122</v>
      </c>
      <c r="D42" s="358"/>
      <c r="E42" s="358"/>
      <c r="F42" s="358"/>
      <c r="G42" s="460" t="str">
        <f t="shared" ref="G42:O42" si="142">IFERROR((G41/F41-1),"NA")</f>
        <v>NA</v>
      </c>
      <c r="H42" s="460">
        <f t="shared" si="142"/>
        <v>3.7396226415094347</v>
      </c>
      <c r="I42" s="460">
        <f t="shared" si="142"/>
        <v>0.99999999999999933</v>
      </c>
      <c r="J42" s="460">
        <f t="shared" si="142"/>
        <v>0.18073248407643328</v>
      </c>
      <c r="K42" s="460">
        <f t="shared" si="142"/>
        <v>8.5077545515846271</v>
      </c>
      <c r="L42" s="460">
        <f t="shared" si="142"/>
        <v>-4.8723404255319069E-2</v>
      </c>
      <c r="M42" s="460">
        <f t="shared" si="142"/>
        <v>-0.42675016774770758</v>
      </c>
      <c r="N42" s="460">
        <f t="shared" si="142"/>
        <v>-0.71569775003251435</v>
      </c>
      <c r="O42" s="512">
        <f t="shared" si="142"/>
        <v>-2.4647612356928166</v>
      </c>
      <c r="P42" s="460">
        <f t="shared" ref="P42:X42" si="143">IFERROR((P41/O41-1),"NA")</f>
        <v>1.6616410589894648</v>
      </c>
      <c r="Q42" s="460">
        <f t="shared" si="143"/>
        <v>0.62419080019972251</v>
      </c>
      <c r="R42" s="460">
        <f t="shared" si="143"/>
        <v>0.56297335869671628</v>
      </c>
      <c r="S42" s="460">
        <f t="shared" si="143"/>
        <v>0.40178952978644156</v>
      </c>
      <c r="T42" s="460">
        <f t="shared" si="143"/>
        <v>0.31341656712617305</v>
      </c>
      <c r="U42" s="460">
        <f t="shared" si="143"/>
        <v>0.24455870531525914</v>
      </c>
      <c r="V42" s="460">
        <f t="shared" si="143"/>
        <v>0.20300287671878348</v>
      </c>
      <c r="W42" s="460">
        <f t="shared" si="143"/>
        <v>0.17536703712032842</v>
      </c>
      <c r="X42" s="460">
        <f t="shared" si="143"/>
        <v>0.15573807728084166</v>
      </c>
      <c r="AA42" s="391" t="s">
        <v>17</v>
      </c>
      <c r="AB42" s="392" t="str">
        <f t="shared" si="13"/>
        <v>%</v>
      </c>
      <c r="AC42" s="358"/>
      <c r="AD42" s="358"/>
      <c r="AE42" s="442">
        <f>K42</f>
        <v>8.5077545515846271</v>
      </c>
      <c r="AF42" s="358">
        <f>IFERROR((AF41/AC41-1),"NA")</f>
        <v>0.17114035087719293</v>
      </c>
      <c r="AG42" s="358">
        <f>IFERROR((AG41/AD41-1),"NA")</f>
        <v>-0.19791666666666641</v>
      </c>
      <c r="AH42" s="442">
        <f>L42</f>
        <v>-4.8723404255319069E-2</v>
      </c>
      <c r="AI42" s="358">
        <f>IFERROR((AI41/AF41-1),"NA")</f>
        <v>-0.43667141038124468</v>
      </c>
      <c r="AJ42" s="358">
        <f>IFERROR((AJ41/AG41-1),"NA")</f>
        <v>-0.41692022263450879</v>
      </c>
      <c r="AK42" s="434">
        <f>AK41/AH41-1</f>
        <v>-0.42675016774770758</v>
      </c>
      <c r="AL42" s="358">
        <f>IFERROR((AL41/AI41-1),"NA")</f>
        <v>-0.53756149448211654</v>
      </c>
      <c r="AM42" s="358">
        <f>IFERROR((AM41/AJ41-1),"NA")</f>
        <v>-0.88621611302023795</v>
      </c>
      <c r="AN42" s="434">
        <f>AN41/AK41-1</f>
        <v>-0.71569775003251435</v>
      </c>
      <c r="AO42" s="358">
        <f>IFERROR((AO41/AL41-1),"NA")</f>
        <v>-1.8789534215066137</v>
      </c>
      <c r="AP42" s="358">
        <f>IFERROR((AP41/AM41-1),"NA")</f>
        <v>-4.743776423321048</v>
      </c>
      <c r="AQ42" s="434">
        <f>O42</f>
        <v>-2.4647612356928166</v>
      </c>
      <c r="AR42" s="358">
        <f>IFERROR((AR41/AO41-1),"NA")</f>
        <v>1.7329807296630713</v>
      </c>
      <c r="AS42" s="358">
        <f>IFERROR((AS41/AP41-1),"NA")</f>
        <v>1.5964813531359687</v>
      </c>
      <c r="AT42" s="434">
        <f>P42</f>
        <v>1.6616410589894648</v>
      </c>
      <c r="AU42" s="434">
        <f>Q42</f>
        <v>0.62419080019972251</v>
      </c>
      <c r="AW42" s="391"/>
      <c r="AX42" s="358"/>
      <c r="AY42" s="358"/>
      <c r="AZ42" s="434"/>
      <c r="BA42" s="358"/>
      <c r="BB42" s="358"/>
      <c r="BC42" s="434"/>
      <c r="BD42" s="358"/>
      <c r="BE42" s="358"/>
      <c r="BF42" s="434"/>
      <c r="BG42" s="358"/>
      <c r="BH42" s="358"/>
      <c r="BI42" s="434"/>
      <c r="BJ42" s="358"/>
      <c r="BK42" s="358"/>
      <c r="BL42" s="434"/>
      <c r="BO42" s="189"/>
      <c r="BT42" s="673"/>
    </row>
    <row r="43" spans="1:72" s="20" customFormat="1" ht="13.95" customHeight="1">
      <c r="A43" s="32"/>
      <c r="B43" s="241"/>
      <c r="C43" s="242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54"/>
      <c r="P43" s="243"/>
      <c r="Q43" s="243"/>
      <c r="R43" s="243"/>
      <c r="S43" s="243"/>
      <c r="T43" s="243"/>
      <c r="U43" s="243"/>
      <c r="V43" s="243"/>
      <c r="W43" s="243"/>
      <c r="X43" s="243"/>
      <c r="AA43" s="241"/>
      <c r="AB43" s="242"/>
      <c r="AC43" s="243"/>
      <c r="AD43" s="243"/>
      <c r="AE43" s="439"/>
      <c r="AF43" s="243"/>
      <c r="AG43" s="243"/>
      <c r="AH43" s="439"/>
      <c r="AI43" s="243"/>
      <c r="AJ43" s="243"/>
      <c r="AK43" s="439"/>
      <c r="AL43" s="243"/>
      <c r="AM43" s="243"/>
      <c r="AN43" s="439"/>
      <c r="AO43" s="243"/>
      <c r="AP43" s="243"/>
      <c r="AQ43" s="439"/>
      <c r="AR43" s="243"/>
      <c r="AS43" s="243"/>
      <c r="AT43" s="439"/>
      <c r="AU43" s="439"/>
      <c r="AW43" s="241"/>
      <c r="AX43" s="243"/>
      <c r="AY43" s="243"/>
      <c r="AZ43" s="439"/>
      <c r="BA43" s="243"/>
      <c r="BB43" s="243"/>
      <c r="BC43" s="439"/>
      <c r="BD43" s="243"/>
      <c r="BE43" s="243"/>
      <c r="BF43" s="439"/>
      <c r="BG43" s="243"/>
      <c r="BH43" s="243"/>
      <c r="BI43" s="439"/>
      <c r="BJ43" s="243"/>
      <c r="BK43" s="243"/>
      <c r="BL43" s="439"/>
      <c r="BO43" s="671"/>
      <c r="BT43" s="675"/>
    </row>
    <row r="44" spans="1:72" ht="13.95" customHeight="1">
      <c r="B44" s="42" t="s">
        <v>26</v>
      </c>
      <c r="C44" s="43" t="s">
        <v>165</v>
      </c>
      <c r="D44" s="6"/>
      <c r="E44" s="6"/>
      <c r="F44" s="6"/>
      <c r="G44" s="6"/>
      <c r="H44" s="6"/>
      <c r="I44" s="180"/>
      <c r="J44" s="180">
        <f>'1.Assumptions'!K187</f>
        <v>463.90900900000003</v>
      </c>
      <c r="K44" s="180">
        <f>'1.Assumptions'!L187</f>
        <v>463.90900900000003</v>
      </c>
      <c r="L44" s="180">
        <f>'1.Assumptions'!M187</f>
        <v>463.909021</v>
      </c>
      <c r="M44" s="180">
        <f>'1.Assumptions'!N187</f>
        <v>464.71807000000001</v>
      </c>
      <c r="N44" s="180">
        <f>'1.Assumptions'!O187</f>
        <v>465.75463200000002</v>
      </c>
      <c r="O44" s="217">
        <f>'1.Assumptions'!P187</f>
        <v>470.80932000000001</v>
      </c>
      <c r="P44" s="6">
        <f>'1.Assumptions'!Q187</f>
        <v>470.80932000000001</v>
      </c>
      <c r="Q44" s="6">
        <f>'1.Assumptions'!R187</f>
        <v>470.80932000000001</v>
      </c>
      <c r="R44" s="6">
        <f>'1.Assumptions'!S187</f>
        <v>470.80932000000001</v>
      </c>
      <c r="S44" s="6">
        <f>'1.Assumptions'!T187</f>
        <v>470.80932000000001</v>
      </c>
      <c r="T44" s="6">
        <f>'1.Assumptions'!U187</f>
        <v>470.80932000000001</v>
      </c>
      <c r="U44" s="6">
        <f>'1.Assumptions'!V187</f>
        <v>470.80932000000001</v>
      </c>
      <c r="V44" s="6">
        <f>'1.Assumptions'!W187</f>
        <v>470.80932000000001</v>
      </c>
      <c r="W44" s="6">
        <f>'1.Assumptions'!X187</f>
        <v>470.80932000000001</v>
      </c>
      <c r="X44" s="6">
        <f>'1.Assumptions'!Y187</f>
        <v>470.80932000000001</v>
      </c>
      <c r="AA44" s="42" t="s">
        <v>26</v>
      </c>
      <c r="AB44" s="43" t="str">
        <f t="shared" si="13"/>
        <v>m</v>
      </c>
      <c r="AC44" s="455"/>
      <c r="AD44" s="455"/>
      <c r="AE44" s="446">
        <f>K44</f>
        <v>463.90900900000003</v>
      </c>
      <c r="AF44" s="455">
        <f>AH44</f>
        <v>463.909021</v>
      </c>
      <c r="AG44" s="455">
        <f>AH44</f>
        <v>463.909021</v>
      </c>
      <c r="AH44" s="446">
        <f>L44</f>
        <v>463.909021</v>
      </c>
      <c r="AI44" s="455">
        <f>AK44</f>
        <v>464.71807000000001</v>
      </c>
      <c r="AJ44" s="455">
        <f>AK44</f>
        <v>464.71807000000001</v>
      </c>
      <c r="AK44" s="446">
        <f>M44</f>
        <v>464.71807000000001</v>
      </c>
      <c r="AL44" s="814">
        <f>AN44</f>
        <v>465.75463200000002</v>
      </c>
      <c r="AM44" s="814">
        <f>AN44</f>
        <v>465.75463200000002</v>
      </c>
      <c r="AN44" s="815">
        <f>N44</f>
        <v>465.75463200000002</v>
      </c>
      <c r="AO44" s="814">
        <f>AQ44</f>
        <v>470.80932000000001</v>
      </c>
      <c r="AP44" s="455">
        <f>AQ44</f>
        <v>470.80932000000001</v>
      </c>
      <c r="AQ44" s="446">
        <f t="shared" ref="AQ44:AQ45" si="144">O44</f>
        <v>470.80932000000001</v>
      </c>
      <c r="AR44" s="814">
        <f>AT44</f>
        <v>470.80932000000001</v>
      </c>
      <c r="AS44" s="455">
        <f>AT44</f>
        <v>470.80932000000001</v>
      </c>
      <c r="AT44" s="446">
        <f t="shared" ref="AT44:AU46" si="145">P44</f>
        <v>470.80932000000001</v>
      </c>
      <c r="AU44" s="446">
        <f t="shared" si="145"/>
        <v>470.80932000000001</v>
      </c>
      <c r="AW44" s="42"/>
      <c r="AX44" s="49"/>
      <c r="AY44" s="49"/>
      <c r="AZ44" s="446"/>
      <c r="BA44" s="49"/>
      <c r="BB44" s="49"/>
      <c r="BC44" s="446"/>
      <c r="BD44" s="49"/>
      <c r="BE44" s="49"/>
      <c r="BF44" s="446"/>
      <c r="BG44" s="49"/>
      <c r="BH44" s="49"/>
      <c r="BI44" s="446"/>
      <c r="BJ44" s="49"/>
      <c r="BK44" s="49"/>
      <c r="BL44" s="446"/>
    </row>
    <row r="45" spans="1:72" ht="13.95" customHeight="1">
      <c r="B45" s="732" t="s">
        <v>28</v>
      </c>
      <c r="C45" s="733" t="s">
        <v>194</v>
      </c>
      <c r="D45" s="734"/>
      <c r="E45" s="734"/>
      <c r="F45" s="734"/>
      <c r="G45" s="734"/>
      <c r="H45" s="734"/>
      <c r="I45" s="734"/>
      <c r="J45" s="734">
        <f t="shared" ref="J45:U45" si="146">J41/J44*100</f>
        <v>-0.63934951519770977</v>
      </c>
      <c r="K45" s="734">
        <f t="shared" si="146"/>
        <v>-6.0787782631744491</v>
      </c>
      <c r="L45" s="734">
        <f t="shared" si="146"/>
        <v>-5.7825993429000384</v>
      </c>
      <c r="M45" s="734">
        <f t="shared" si="146"/>
        <v>-3.3091030869533427</v>
      </c>
      <c r="N45" s="734">
        <f t="shared" si="146"/>
        <v>-0.93869168433734285</v>
      </c>
      <c r="O45" s="735">
        <f t="shared" si="146"/>
        <v>1.3601973984816154</v>
      </c>
      <c r="P45" s="734">
        <f t="shared" si="146"/>
        <v>3.6203572441293219</v>
      </c>
      <c r="Q45" s="734">
        <f t="shared" si="146"/>
        <v>5.8801509293512657</v>
      </c>
      <c r="R45" s="734">
        <f t="shared" si="146"/>
        <v>9.1905192476917641</v>
      </c>
      <c r="S45" s="734">
        <f t="shared" si="146"/>
        <v>12.88317365471508</v>
      </c>
      <c r="T45" s="734">
        <f t="shared" si="146"/>
        <v>16.920973715266229</v>
      </c>
      <c r="U45" s="734">
        <f t="shared" si="146"/>
        <v>21.059145139745269</v>
      </c>
      <c r="V45" s="734">
        <f t="shared" ref="V45:W45" si="147">V41/V44*100</f>
        <v>25.334212184351944</v>
      </c>
      <c r="W45" s="734">
        <f t="shared" si="147"/>
        <v>29.776997912899471</v>
      </c>
      <c r="X45" s="734">
        <f t="shared" ref="X45" si="148">X41/X44*100</f>
        <v>34.41441031505007</v>
      </c>
      <c r="Y45" s="246"/>
      <c r="Z45" s="246"/>
      <c r="AA45" s="732" t="s">
        <v>28</v>
      </c>
      <c r="AB45" s="733" t="str">
        <f t="shared" si="13"/>
        <v>cps</v>
      </c>
      <c r="AC45" s="734"/>
      <c r="AD45" s="740"/>
      <c r="AE45" s="734">
        <f>K45</f>
        <v>-6.0787782631744491</v>
      </c>
      <c r="AF45" s="734">
        <f>AF41/AF44*100</f>
        <v>-2.8779349819972566</v>
      </c>
      <c r="AG45" s="740">
        <f>AH45-AF45</f>
        <v>-2.9046643609027818</v>
      </c>
      <c r="AH45" s="734">
        <f>L45</f>
        <v>-5.7825993429000384</v>
      </c>
      <c r="AI45" s="734">
        <f>AI41/AI44*100</f>
        <v>-1.6184005928583756</v>
      </c>
      <c r="AJ45" s="740">
        <f>AK45-AI45</f>
        <v>-1.6907024940949671</v>
      </c>
      <c r="AK45" s="734">
        <f>M45</f>
        <v>-3.3091030869533427</v>
      </c>
      <c r="AL45" s="816">
        <f>AL41/AL44*100</f>
        <v>-0.74674512308446617</v>
      </c>
      <c r="AM45" s="817">
        <f>AN45-AL45</f>
        <v>-0.19194656125287668</v>
      </c>
      <c r="AN45" s="816">
        <f>N45</f>
        <v>-0.93869168433734285</v>
      </c>
      <c r="AO45" s="816">
        <f>AO41/AO44*100</f>
        <v>0.64930745211246133</v>
      </c>
      <c r="AP45" s="740">
        <f>AQ45-AO45</f>
        <v>0.71088994636915404</v>
      </c>
      <c r="AQ45" s="734">
        <f t="shared" si="144"/>
        <v>1.3601973984816154</v>
      </c>
      <c r="AR45" s="816">
        <f>AR41/AR44*100</f>
        <v>1.7745447542499841</v>
      </c>
      <c r="AS45" s="740">
        <f>AT45-AR45</f>
        <v>1.8458124898793378</v>
      </c>
      <c r="AT45" s="734">
        <f t="shared" si="145"/>
        <v>3.6203572441293219</v>
      </c>
      <c r="AU45" s="734">
        <f t="shared" si="145"/>
        <v>5.8801509293512657</v>
      </c>
      <c r="AW45" s="732" t="s">
        <v>28</v>
      </c>
      <c r="AX45" s="741">
        <f>AF45/AH45</f>
        <v>0.49768880936404974</v>
      </c>
      <c r="AY45" s="741">
        <f>AG45/AH45</f>
        <v>0.5023111906359502</v>
      </c>
      <c r="AZ45" s="734"/>
      <c r="BA45" s="741">
        <f>AI45/AK45</f>
        <v>0.48907530238002361</v>
      </c>
      <c r="BB45" s="741">
        <f>AJ45/AK45</f>
        <v>0.51092469761997639</v>
      </c>
      <c r="BC45" s="734"/>
      <c r="BD45" s="741">
        <f>AL45/AN45</f>
        <v>0.79551692589204215</v>
      </c>
      <c r="BE45" s="741">
        <f>AM45/AN45</f>
        <v>0.20448307410795788</v>
      </c>
      <c r="BF45" s="734"/>
      <c r="BG45" s="741">
        <f>AO45/AQ45</f>
        <v>0.4773626628291463</v>
      </c>
      <c r="BH45" s="741">
        <f>AP45/AQ45</f>
        <v>0.5226373371708537</v>
      </c>
      <c r="BI45" s="734"/>
      <c r="BJ45" s="741">
        <f>BG45</f>
        <v>0.4773626628291463</v>
      </c>
      <c r="BK45" s="741">
        <f>1-BJ45</f>
        <v>0.5226373371708537</v>
      </c>
      <c r="BL45" s="734"/>
    </row>
    <row r="46" spans="1:72" s="187" customFormat="1" ht="13.95" customHeight="1">
      <c r="B46" s="391" t="s">
        <v>17</v>
      </c>
      <c r="C46" s="392" t="s">
        <v>122</v>
      </c>
      <c r="D46" s="358"/>
      <c r="E46" s="358"/>
      <c r="F46" s="358"/>
      <c r="G46" s="358"/>
      <c r="H46" s="358"/>
      <c r="I46" s="358"/>
      <c r="J46" s="460" t="str">
        <f t="shared" ref="J46:O46" si="149">IFERROR((J45/I45-1),"NA")</f>
        <v>NA</v>
      </c>
      <c r="K46" s="460">
        <f t="shared" si="149"/>
        <v>8.5077545515846253</v>
      </c>
      <c r="L46" s="460">
        <f t="shared" si="149"/>
        <v>-4.8723428862124774E-2</v>
      </c>
      <c r="M46" s="460">
        <f t="shared" si="149"/>
        <v>-0.42774816466987142</v>
      </c>
      <c r="N46" s="460">
        <f t="shared" si="149"/>
        <v>-0.71633047999070143</v>
      </c>
      <c r="O46" s="512">
        <f t="shared" si="149"/>
        <v>-2.4490353128480402</v>
      </c>
      <c r="P46" s="460">
        <f t="shared" ref="P46:X46" si="150">IFERROR((P45/O45-1),"NA")</f>
        <v>1.6616410589894648</v>
      </c>
      <c r="Q46" s="460">
        <f t="shared" si="150"/>
        <v>0.62419080019972251</v>
      </c>
      <c r="R46" s="460">
        <f t="shared" si="150"/>
        <v>0.56297335869671605</v>
      </c>
      <c r="S46" s="460">
        <f t="shared" si="150"/>
        <v>0.40178952978644178</v>
      </c>
      <c r="T46" s="460">
        <f t="shared" si="150"/>
        <v>0.31341656712617283</v>
      </c>
      <c r="U46" s="460">
        <f t="shared" si="150"/>
        <v>0.24455870531525914</v>
      </c>
      <c r="V46" s="460">
        <f t="shared" si="150"/>
        <v>0.20300287671878348</v>
      </c>
      <c r="W46" s="460">
        <f t="shared" si="150"/>
        <v>0.17536703712032864</v>
      </c>
      <c r="X46" s="460">
        <f t="shared" si="150"/>
        <v>0.15573807728084166</v>
      </c>
      <c r="AA46" s="391" t="s">
        <v>17</v>
      </c>
      <c r="AB46" s="392" t="str">
        <f t="shared" si="13"/>
        <v>%</v>
      </c>
      <c r="AC46" s="358"/>
      <c r="AD46" s="358"/>
      <c r="AE46" s="442">
        <f>K46</f>
        <v>8.5077545515846253</v>
      </c>
      <c r="AF46" s="358" t="str">
        <f>IFERROR((AF45/AC45-1),"NA")</f>
        <v>NA</v>
      </c>
      <c r="AG46" s="358" t="str">
        <f>IFERROR((AG45/AD45-1),"NA")</f>
        <v>NA</v>
      </c>
      <c r="AH46" s="442">
        <f>L46</f>
        <v>-4.8723428862124774E-2</v>
      </c>
      <c r="AI46" s="358">
        <f>IFERROR((AI45/AF45-1),"NA")</f>
        <v>-0.4376521349571203</v>
      </c>
      <c r="AJ46" s="358">
        <f>IFERROR((AJ45/AG45-1),"NA")</f>
        <v>-0.41793533295892071</v>
      </c>
      <c r="AK46" s="434">
        <f>AK45/AH45-1</f>
        <v>-0.42774816466987142</v>
      </c>
      <c r="AL46" s="358">
        <f>IFERROR((AL45/AI45-1),"NA")</f>
        <v>-0.53859067626415968</v>
      </c>
      <c r="AM46" s="358">
        <f>IFERROR((AM45/AJ45-1),"NA")</f>
        <v>-0.88646934518445497</v>
      </c>
      <c r="AN46" s="434">
        <f>AN45/AK45-1</f>
        <v>-0.71633047999070143</v>
      </c>
      <c r="AO46" s="358">
        <f>IFERROR((AO45/AL45-1),"NA")</f>
        <v>-1.8695168298260403</v>
      </c>
      <c r="AP46" s="358">
        <f>IFERROR((AP45/AM45-1),"NA")</f>
        <v>-4.7035826103318641</v>
      </c>
      <c r="AQ46" s="434">
        <f>O46</f>
        <v>-2.4490353128480402</v>
      </c>
      <c r="AR46" s="358">
        <f>IFERROR((AR45/AO45-1),"NA")</f>
        <v>1.7329807296630713</v>
      </c>
      <c r="AS46" s="358">
        <f>IFERROR((AS45/AP45-1),"NA")</f>
        <v>1.5964813531359692</v>
      </c>
      <c r="AT46" s="434">
        <f t="shared" si="145"/>
        <v>1.6616410589894648</v>
      </c>
      <c r="AU46" s="434">
        <f t="shared" si="145"/>
        <v>0.62419080019972251</v>
      </c>
      <c r="AW46" s="391"/>
      <c r="AX46" s="358"/>
      <c r="AY46" s="358"/>
      <c r="AZ46" s="434"/>
      <c r="BA46" s="358"/>
      <c r="BB46" s="358"/>
      <c r="BC46" s="434"/>
      <c r="BD46" s="358"/>
      <c r="BE46" s="358"/>
      <c r="BF46" s="434"/>
      <c r="BG46" s="358"/>
      <c r="BH46" s="358"/>
      <c r="BI46" s="434"/>
      <c r="BJ46" s="358"/>
      <c r="BK46" s="358"/>
      <c r="BL46" s="434"/>
      <c r="BO46" s="189"/>
      <c r="BT46" s="673"/>
    </row>
    <row r="47" spans="1:72" ht="13.95" customHeight="1">
      <c r="B47" s="25" t="s">
        <v>137</v>
      </c>
      <c r="C47" s="43" t="s">
        <v>194</v>
      </c>
      <c r="D47" s="44"/>
      <c r="E47" s="44"/>
      <c r="F47" s="44"/>
      <c r="G47" s="44"/>
      <c r="H47" s="44"/>
      <c r="I47" s="44"/>
      <c r="J47" s="44">
        <f>'1.Assumptions'!K178</f>
        <v>0</v>
      </c>
      <c r="K47" s="44">
        <f>'1.Assumptions'!L178</f>
        <v>0</v>
      </c>
      <c r="L47" s="44">
        <f>'1.Assumptions'!M178</f>
        <v>0</v>
      </c>
      <c r="M47" s="44">
        <f>'1.Assumptions'!N178</f>
        <v>0</v>
      </c>
      <c r="N47" s="44">
        <f>'1.Assumptions'!O178</f>
        <v>0</v>
      </c>
      <c r="O47" s="261">
        <f>'1.Assumptions'!P178</f>
        <v>0</v>
      </c>
      <c r="P47" s="44">
        <f>'1.Assumptions'!Q178</f>
        <v>0</v>
      </c>
      <c r="Q47" s="44">
        <f>'1.Assumptions'!R178</f>
        <v>0</v>
      </c>
      <c r="R47" s="44">
        <f>'1.Assumptions'!S178</f>
        <v>0</v>
      </c>
      <c r="S47" s="44">
        <f>'1.Assumptions'!T178</f>
        <v>0</v>
      </c>
      <c r="T47" s="44">
        <f>'1.Assumptions'!U178</f>
        <v>0</v>
      </c>
      <c r="U47" s="44">
        <f>'1.Assumptions'!V178</f>
        <v>0</v>
      </c>
      <c r="V47" s="44">
        <f>'1.Assumptions'!W178</f>
        <v>0</v>
      </c>
      <c r="W47" s="44">
        <f>'1.Assumptions'!X178</f>
        <v>0</v>
      </c>
      <c r="X47" s="44">
        <f>'1.Assumptions'!Y178</f>
        <v>0</v>
      </c>
      <c r="Y47" s="246"/>
      <c r="AA47" s="25"/>
      <c r="AB47" s="43"/>
      <c r="AC47" s="448"/>
      <c r="AD47" s="358"/>
      <c r="AE47" s="443"/>
      <c r="AF47" s="521"/>
      <c r="AG47" s="522"/>
      <c r="AH47" s="443"/>
      <c r="AI47" s="521"/>
      <c r="AJ47" s="522"/>
      <c r="AK47" s="443"/>
      <c r="AL47" s="459"/>
      <c r="AM47" s="818"/>
      <c r="AN47" s="819"/>
      <c r="AO47" s="459"/>
      <c r="AP47" s="522"/>
      <c r="AQ47" s="443"/>
      <c r="AR47" s="459"/>
      <c r="AS47" s="522"/>
      <c r="AT47" s="443"/>
      <c r="AU47" s="443"/>
      <c r="AW47" s="25"/>
      <c r="AX47" s="50"/>
      <c r="AY47" s="24"/>
      <c r="AZ47" s="443"/>
      <c r="BA47" s="50"/>
      <c r="BB47" s="24"/>
      <c r="BC47" s="443"/>
      <c r="BD47" s="50"/>
      <c r="BE47" s="24"/>
      <c r="BF47" s="443"/>
      <c r="BG47" s="50"/>
      <c r="BH47" s="24"/>
      <c r="BI47" s="443"/>
      <c r="BJ47" s="50"/>
      <c r="BK47" s="24"/>
      <c r="BL47" s="443"/>
    </row>
    <row r="48" spans="1:72" s="187" customFormat="1" ht="13.95" customHeight="1">
      <c r="B48" s="391" t="s">
        <v>17</v>
      </c>
      <c r="C48" s="392" t="s">
        <v>122</v>
      </c>
      <c r="D48" s="358"/>
      <c r="E48" s="358"/>
      <c r="F48" s="358"/>
      <c r="G48" s="358"/>
      <c r="H48" s="358"/>
      <c r="I48" s="358"/>
      <c r="J48" s="460" t="str">
        <f t="shared" ref="J48:O48" si="151">IFERROR((J47/I47-1),"NA")</f>
        <v>NA</v>
      </c>
      <c r="K48" s="460" t="str">
        <f t="shared" si="151"/>
        <v>NA</v>
      </c>
      <c r="L48" s="460" t="str">
        <f t="shared" si="151"/>
        <v>NA</v>
      </c>
      <c r="M48" s="460" t="str">
        <f t="shared" si="151"/>
        <v>NA</v>
      </c>
      <c r="N48" s="460" t="str">
        <f t="shared" si="151"/>
        <v>NA</v>
      </c>
      <c r="O48" s="512" t="str">
        <f t="shared" si="151"/>
        <v>NA</v>
      </c>
      <c r="P48" s="460" t="str">
        <f t="shared" ref="P48:X48" si="152">IFERROR((P47/O47-1),"NA")</f>
        <v>NA</v>
      </c>
      <c r="Q48" s="460" t="str">
        <f t="shared" si="152"/>
        <v>NA</v>
      </c>
      <c r="R48" s="460" t="str">
        <f t="shared" si="152"/>
        <v>NA</v>
      </c>
      <c r="S48" s="460" t="str">
        <f t="shared" si="152"/>
        <v>NA</v>
      </c>
      <c r="T48" s="460" t="str">
        <f t="shared" si="152"/>
        <v>NA</v>
      </c>
      <c r="U48" s="460" t="str">
        <f t="shared" si="152"/>
        <v>NA</v>
      </c>
      <c r="V48" s="460" t="str">
        <f t="shared" si="152"/>
        <v>NA</v>
      </c>
      <c r="W48" s="460" t="str">
        <f t="shared" si="152"/>
        <v>NA</v>
      </c>
      <c r="X48" s="460" t="str">
        <f t="shared" si="152"/>
        <v>NA</v>
      </c>
      <c r="AA48" s="391"/>
      <c r="AB48" s="392"/>
      <c r="AC48" s="358"/>
      <c r="AD48" s="358"/>
      <c r="AE48" s="442"/>
      <c r="AF48" s="358"/>
      <c r="AG48" s="358"/>
      <c r="AH48" s="442"/>
      <c r="AI48" s="358"/>
      <c r="AJ48" s="358"/>
      <c r="AK48" s="442"/>
      <c r="AL48" s="358"/>
      <c r="AM48" s="358"/>
      <c r="AN48" s="442"/>
      <c r="AO48" s="358"/>
      <c r="AP48" s="358"/>
      <c r="AQ48" s="442"/>
      <c r="AR48" s="358"/>
      <c r="AS48" s="358"/>
      <c r="AT48" s="442"/>
      <c r="AU48" s="442"/>
      <c r="AW48" s="391"/>
      <c r="AX48" s="358"/>
      <c r="AY48" s="358"/>
      <c r="AZ48" s="434"/>
      <c r="BA48" s="358"/>
      <c r="BB48" s="358"/>
      <c r="BC48" s="434"/>
      <c r="BD48" s="358"/>
      <c r="BE48" s="358"/>
      <c r="BF48" s="434"/>
      <c r="BG48" s="358"/>
      <c r="BH48" s="358"/>
      <c r="BI48" s="434"/>
      <c r="BJ48" s="358"/>
      <c r="BK48" s="358"/>
      <c r="BL48" s="434"/>
      <c r="BO48" s="189"/>
      <c r="BT48" s="673"/>
    </row>
    <row r="49" spans="2:67">
      <c r="B49" s="25"/>
      <c r="C49" s="324"/>
      <c r="D49" s="24"/>
      <c r="E49" s="24"/>
      <c r="F49" s="24"/>
      <c r="G49" s="24"/>
      <c r="H49" s="24"/>
      <c r="I49" s="24"/>
      <c r="J49" s="24"/>
      <c r="K49" s="24"/>
      <c r="L49" s="24"/>
      <c r="M49" s="197"/>
      <c r="N49" s="197"/>
      <c r="O49" s="261"/>
      <c r="P49" s="44"/>
      <c r="Q49" s="197"/>
      <c r="R49" s="197"/>
      <c r="S49" s="197"/>
      <c r="T49" s="197"/>
      <c r="U49" s="197"/>
      <c r="V49" s="197"/>
      <c r="W49" s="197"/>
      <c r="X49" s="197"/>
      <c r="Y49" s="396"/>
      <c r="AA49" s="25"/>
      <c r="AB49" s="3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W49" s="25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</row>
    <row r="50" spans="2:67" ht="15.75" customHeight="1" thickBot="1">
      <c r="B50" s="25"/>
      <c r="C50" s="32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261"/>
      <c r="P50" s="44"/>
      <c r="Q50" s="44"/>
      <c r="R50" s="44"/>
      <c r="S50" s="44"/>
      <c r="T50" s="44"/>
      <c r="U50" s="44"/>
      <c r="V50" s="44"/>
      <c r="W50" s="44"/>
      <c r="X50" s="44"/>
      <c r="AA50" s="25"/>
      <c r="AB50" s="32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W50" s="25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</row>
    <row r="51" spans="2:67" ht="24" customHeight="1">
      <c r="B51" s="8" t="s">
        <v>29</v>
      </c>
      <c r="C51" s="323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262"/>
      <c r="P51" s="47"/>
      <c r="Q51" s="47"/>
      <c r="R51" s="47"/>
      <c r="S51" s="47"/>
      <c r="T51" s="47"/>
      <c r="U51" s="47"/>
      <c r="V51" s="47"/>
      <c r="W51" s="47"/>
      <c r="X51" s="47"/>
      <c r="AA51" s="8"/>
      <c r="AB51" s="323"/>
      <c r="AC51" s="9"/>
      <c r="AD51" s="9"/>
      <c r="AE51" s="9"/>
      <c r="AF51" s="629"/>
      <c r="AG51" s="629"/>
      <c r="AH51" s="9"/>
      <c r="AI51" s="629"/>
      <c r="AJ51" s="629"/>
      <c r="AK51" s="9"/>
      <c r="AL51" s="629"/>
      <c r="AM51" s="629"/>
      <c r="AN51" s="9"/>
      <c r="AO51" s="629"/>
      <c r="AP51" s="629"/>
      <c r="AQ51" s="9"/>
      <c r="AR51" s="629"/>
      <c r="AS51" s="629"/>
      <c r="AT51" s="9"/>
      <c r="AU51" s="9"/>
      <c r="AW51" s="8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</row>
    <row r="52" spans="2:67">
      <c r="B52" s="10"/>
      <c r="C52" s="11"/>
      <c r="D52" s="12"/>
      <c r="E52" s="12"/>
      <c r="F52" s="12"/>
      <c r="G52" s="12"/>
      <c r="H52" s="12"/>
      <c r="I52" s="12"/>
      <c r="J52" s="12" t="str">
        <f t="shared" ref="J52:U52" si="153">J4</f>
        <v>FY20</v>
      </c>
      <c r="K52" s="12" t="str">
        <f t="shared" si="153"/>
        <v>FY21</v>
      </c>
      <c r="L52" s="12" t="str">
        <f t="shared" si="153"/>
        <v>FY22</v>
      </c>
      <c r="M52" s="12" t="str">
        <f t="shared" si="153"/>
        <v>FY23</v>
      </c>
      <c r="N52" s="12" t="str">
        <f t="shared" si="153"/>
        <v>FY24</v>
      </c>
      <c r="O52" s="233" t="str">
        <f t="shared" si="153"/>
        <v>FY25</v>
      </c>
      <c r="P52" s="12" t="str">
        <f t="shared" si="153"/>
        <v>FY26E</v>
      </c>
      <c r="Q52" s="12" t="str">
        <f t="shared" si="153"/>
        <v>FY27E</v>
      </c>
      <c r="R52" s="12" t="str">
        <f t="shared" si="153"/>
        <v>FY28E</v>
      </c>
      <c r="S52" s="12" t="str">
        <f t="shared" si="153"/>
        <v>FY29E</v>
      </c>
      <c r="T52" s="12" t="str">
        <f t="shared" si="153"/>
        <v>FY30E</v>
      </c>
      <c r="U52" s="12" t="str">
        <f t="shared" si="153"/>
        <v>FY31E</v>
      </c>
      <c r="V52" s="12" t="str">
        <f t="shared" ref="V52:W52" si="154">V4</f>
        <v>FY32E</v>
      </c>
      <c r="W52" s="12" t="str">
        <f t="shared" si="154"/>
        <v>FY33E</v>
      </c>
      <c r="X52" s="12" t="str">
        <f t="shared" ref="X52" si="155">X4</f>
        <v>FY34E</v>
      </c>
      <c r="AA52" s="10"/>
      <c r="AB52" s="11" t="s">
        <v>113</v>
      </c>
      <c r="AC52" s="12" t="s">
        <v>233</v>
      </c>
      <c r="AD52" s="12" t="s">
        <v>241</v>
      </c>
      <c r="AE52" s="12" t="str">
        <f>K52</f>
        <v>FY21</v>
      </c>
      <c r="AF52" s="12" t="s">
        <v>292</v>
      </c>
      <c r="AG52" s="12" t="s">
        <v>293</v>
      </c>
      <c r="AH52" s="12" t="str">
        <f>L52</f>
        <v>FY22</v>
      </c>
      <c r="AI52" s="12" t="s">
        <v>308</v>
      </c>
      <c r="AJ52" s="12" t="s">
        <v>309</v>
      </c>
      <c r="AK52" s="12" t="str">
        <f>M52</f>
        <v>FY23</v>
      </c>
      <c r="AL52" s="12" t="s">
        <v>306</v>
      </c>
      <c r="AM52" s="12" t="s">
        <v>307</v>
      </c>
      <c r="AN52" s="12" t="str">
        <f>N52</f>
        <v>FY24</v>
      </c>
      <c r="AO52" s="12" t="s">
        <v>318</v>
      </c>
      <c r="AP52" s="12" t="s">
        <v>319</v>
      </c>
      <c r="AQ52" s="12" t="str">
        <f>O52</f>
        <v>FY25</v>
      </c>
      <c r="AR52" s="12" t="s">
        <v>318</v>
      </c>
      <c r="AS52" s="12" t="s">
        <v>319</v>
      </c>
      <c r="AT52" s="12" t="str">
        <f>P52</f>
        <v>FY26E</v>
      </c>
      <c r="AU52" s="12" t="str">
        <f>Q52</f>
        <v>FY27E</v>
      </c>
      <c r="AW52" s="53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</row>
    <row r="53" spans="2:67" ht="9" customHeight="1">
      <c r="D53" s="50"/>
      <c r="E53" s="50"/>
      <c r="F53" s="50"/>
      <c r="G53" s="50"/>
      <c r="H53" s="50"/>
      <c r="I53" s="24"/>
      <c r="J53" s="24"/>
      <c r="K53" s="24"/>
      <c r="L53" s="24"/>
      <c r="M53" s="24"/>
      <c r="N53" s="24"/>
      <c r="O53" s="218"/>
      <c r="P53" s="50"/>
      <c r="Q53" s="50"/>
      <c r="R53" s="50"/>
      <c r="S53" s="50"/>
      <c r="T53" s="50"/>
      <c r="U53" s="50"/>
      <c r="V53" s="50"/>
      <c r="W53" s="50"/>
      <c r="X53" s="50"/>
      <c r="AA53" s="53"/>
      <c r="AB53" s="16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804"/>
      <c r="AO53" s="54"/>
      <c r="AP53" s="54"/>
      <c r="AQ53" s="804"/>
      <c r="AR53" s="54"/>
      <c r="AS53" s="54"/>
      <c r="AT53" s="804"/>
      <c r="AU53" s="804"/>
      <c r="AW53" s="53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2:67" ht="11.25" customHeight="1">
      <c r="B54" s="1" t="s">
        <v>222</v>
      </c>
      <c r="C54" s="2" t="s">
        <v>112</v>
      </c>
      <c r="D54" s="49"/>
      <c r="E54" s="49"/>
      <c r="F54" s="49"/>
      <c r="G54" s="49"/>
      <c r="H54" s="49"/>
      <c r="I54" s="367"/>
      <c r="J54" s="367">
        <v>-693.98266276058644</v>
      </c>
      <c r="K54" s="36">
        <v>-72.991226161273033</v>
      </c>
      <c r="L54" s="36">
        <v>-76.729763326310177</v>
      </c>
      <c r="M54" s="36">
        <v>-134.08390954665131</v>
      </c>
      <c r="N54" s="36">
        <v>-472.6764776922671</v>
      </c>
      <c r="O54" s="510">
        <v>326.20079959489334</v>
      </c>
      <c r="P54" s="49">
        <v>122.55626974688343</v>
      </c>
      <c r="Q54" s="49">
        <v>75.456818085543276</v>
      </c>
      <c r="R54" s="49">
        <v>48.277737855021961</v>
      </c>
      <c r="S54" s="49">
        <v>34.440075938059636</v>
      </c>
      <c r="T54" s="49">
        <v>26.221746245683807</v>
      </c>
      <c r="U54" s="49">
        <v>21.06911159248336</v>
      </c>
      <c r="V54" s="49">
        <v>17.513766592104769</v>
      </c>
      <c r="W54" s="49">
        <v>14.900678714807103</v>
      </c>
      <c r="X54" s="49">
        <v>12.89278168446662</v>
      </c>
      <c r="AA54" s="680"/>
      <c r="AB54" s="16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804"/>
      <c r="AO54" s="54"/>
      <c r="AP54" s="54"/>
      <c r="AQ54" s="804"/>
      <c r="AR54" s="54"/>
      <c r="AS54" s="54"/>
      <c r="AT54" s="804"/>
      <c r="AU54" s="804"/>
      <c r="AV54" s="55"/>
      <c r="AW54" s="53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</row>
    <row r="55" spans="2:67">
      <c r="B55" s="53"/>
      <c r="C55" s="164"/>
      <c r="D55" s="54"/>
      <c r="E55" s="54"/>
      <c r="F55" s="54"/>
      <c r="G55" s="54"/>
      <c r="H55" s="54"/>
      <c r="I55" s="478"/>
      <c r="J55" s="478"/>
      <c r="K55" s="478"/>
      <c r="L55" s="478"/>
      <c r="M55" s="478"/>
      <c r="N55" s="478"/>
      <c r="O55" s="264"/>
      <c r="P55" s="54"/>
      <c r="Q55" s="54"/>
      <c r="R55" s="54"/>
      <c r="S55" s="54"/>
      <c r="T55" s="54"/>
      <c r="U55" s="54"/>
      <c r="V55" s="54"/>
      <c r="W55" s="54"/>
      <c r="X55" s="54"/>
      <c r="AA55" s="53" t="s">
        <v>320</v>
      </c>
      <c r="AB55" s="164" t="s">
        <v>226</v>
      </c>
      <c r="AC55" s="55"/>
      <c r="AD55" s="55"/>
      <c r="AE55" s="55"/>
      <c r="AF55" s="55"/>
      <c r="AG55" s="55"/>
      <c r="AH55" s="458"/>
      <c r="AI55" s="55"/>
      <c r="AJ55" s="55"/>
      <c r="AK55" s="55"/>
      <c r="AL55" s="55">
        <v>938</v>
      </c>
      <c r="AM55" s="55">
        <f>AN55</f>
        <v>1053</v>
      </c>
      <c r="AN55" s="805">
        <f>'1.Assumptions'!O54</f>
        <v>1053</v>
      </c>
      <c r="AO55" s="55">
        <v>1160</v>
      </c>
      <c r="AP55" s="55">
        <f>AQ55</f>
        <v>1254</v>
      </c>
      <c r="AQ55" s="805">
        <f>'1.Assumptions'!P54</f>
        <v>1254</v>
      </c>
      <c r="AR55" s="55">
        <v>1160</v>
      </c>
      <c r="AS55" s="55">
        <f>AT55</f>
        <v>1424.85</v>
      </c>
      <c r="AT55" s="805">
        <f>'1.Assumptions'!Q54</f>
        <v>1424.85</v>
      </c>
      <c r="AU55" s="805">
        <f>'1.Assumptions'!R54</f>
        <v>1578.6149999999998</v>
      </c>
      <c r="AV55" s="55"/>
      <c r="AW55" s="53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2:67">
      <c r="B56" s="53" t="s">
        <v>30</v>
      </c>
      <c r="C56" s="565" t="s">
        <v>256</v>
      </c>
      <c r="D56" s="55"/>
      <c r="E56" s="55"/>
      <c r="F56" s="55"/>
      <c r="G56" s="55"/>
      <c r="H56" s="55"/>
      <c r="I56" s="479"/>
      <c r="J56" s="479">
        <v>2058.3525777478994</v>
      </c>
      <c r="K56" s="479">
        <v>2058.3525777478994</v>
      </c>
      <c r="L56" s="479">
        <v>2058.3526309915969</v>
      </c>
      <c r="M56" s="479">
        <v>2061.9423610084036</v>
      </c>
      <c r="N56" s="479">
        <v>2066.5415604705886</v>
      </c>
      <c r="O56" s="265">
        <v>2088.9690836974792</v>
      </c>
      <c r="P56" s="55">
        <v>2088.9690836974792</v>
      </c>
      <c r="Q56" s="55">
        <v>2088.9690836974792</v>
      </c>
      <c r="R56" s="55">
        <v>2088.9690836974792</v>
      </c>
      <c r="S56" s="55">
        <v>2088.9690836974792</v>
      </c>
      <c r="T56" s="55">
        <v>2088.9690836974792</v>
      </c>
      <c r="U56" s="55">
        <v>2088.9690836974792</v>
      </c>
      <c r="V56" s="55">
        <v>2088.9690836974792</v>
      </c>
      <c r="W56" s="55">
        <v>2088.9690836974792</v>
      </c>
      <c r="X56" s="55">
        <v>2088.9690836974792</v>
      </c>
      <c r="AA56" s="53" t="s">
        <v>286</v>
      </c>
      <c r="AB56" s="164" t="s">
        <v>254</v>
      </c>
      <c r="AC56" s="54"/>
      <c r="AD56" s="54"/>
      <c r="AE56" s="54"/>
      <c r="AF56" s="54"/>
      <c r="AG56" s="54"/>
      <c r="AH56" s="54"/>
      <c r="AI56" s="54"/>
      <c r="AJ56" s="54"/>
      <c r="AK56" s="54"/>
      <c r="AL56" s="54">
        <f>AN56</f>
        <v>9.68</v>
      </c>
      <c r="AM56" s="54">
        <f>AN56</f>
        <v>9.68</v>
      </c>
      <c r="AN56" s="804">
        <f>'1.Assumptions'!O59</f>
        <v>9.68</v>
      </c>
      <c r="AO56" s="54">
        <v>9.5</v>
      </c>
      <c r="AP56" s="54">
        <v>10</v>
      </c>
      <c r="AQ56" s="804">
        <f>'1.Assumptions'!P59</f>
        <v>9.6</v>
      </c>
      <c r="AR56" s="54">
        <v>9.5</v>
      </c>
      <c r="AS56" s="54">
        <v>10</v>
      </c>
      <c r="AT56" s="804">
        <f>'1.Assumptions'!Q59</f>
        <v>9.7919999999999998</v>
      </c>
      <c r="AU56" s="804">
        <f>'1.Assumptions'!R59</f>
        <v>9.9878400000000003</v>
      </c>
      <c r="AW56" s="53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</row>
    <row r="57" spans="2:67">
      <c r="B57" s="53" t="s">
        <v>31</v>
      </c>
      <c r="C57" s="565" t="s">
        <v>256</v>
      </c>
      <c r="D57" s="54"/>
      <c r="E57" s="54"/>
      <c r="F57" s="54"/>
      <c r="G57" s="54"/>
      <c r="H57" s="54"/>
      <c r="I57" s="478"/>
      <c r="J57" s="478">
        <f>'4. Balance Sheet'!J57</f>
        <v>-137.58799999999999</v>
      </c>
      <c r="K57" s="478">
        <f>'4. Balance Sheet'!K57</f>
        <v>-94.582999999999998</v>
      </c>
      <c r="L57" s="478">
        <f>'4. Balance Sheet'!L57</f>
        <v>-49.554000000000002</v>
      </c>
      <c r="M57" s="478">
        <f>'4. Balance Sheet'!M57</f>
        <v>-44.002000000000002</v>
      </c>
      <c r="N57" s="478">
        <f>'4. Balance Sheet'!N57</f>
        <v>-55.332999999999998</v>
      </c>
      <c r="O57" s="264">
        <f>'4. Balance Sheet'!O57</f>
        <v>-80.686999999999998</v>
      </c>
      <c r="P57" s="54">
        <f>'4. Balance Sheet'!P57</f>
        <v>-113.30066603573269</v>
      </c>
      <c r="Q57" s="54">
        <f>'4. Balance Sheet'!Q57</f>
        <v>-163.11012236145652</v>
      </c>
      <c r="R57" s="54">
        <f>'4. Balance Sheet'!R57</f>
        <v>-236.40342846129042</v>
      </c>
      <c r="S57" s="54">
        <f>'4. Balance Sheet'!S57</f>
        <v>-324.84792825089005</v>
      </c>
      <c r="T57" s="54">
        <f>'4. Balance Sheet'!T57</f>
        <v>-427.79889271976452</v>
      </c>
      <c r="U57" s="54">
        <f>'4. Balance Sheet'!U57</f>
        <v>-546.71609300215005</v>
      </c>
      <c r="V57" s="54">
        <f>'4. Balance Sheet'!V57</f>
        <v>-682.77554830850113</v>
      </c>
      <c r="W57" s="54">
        <f>'4. Balance Sheet'!W57</f>
        <v>-837.08709682471044</v>
      </c>
      <c r="X57" s="54">
        <f>'4. Balance Sheet'!X57</f>
        <v>-1010.6997251876198</v>
      </c>
      <c r="AA57" s="53" t="s">
        <v>321</v>
      </c>
      <c r="AB57" s="164" t="s">
        <v>256</v>
      </c>
      <c r="AC57" s="56"/>
      <c r="AD57" s="56"/>
      <c r="AE57" s="56"/>
      <c r="AF57" s="56"/>
      <c r="AG57" s="56"/>
      <c r="AH57" s="56"/>
      <c r="AI57" s="56"/>
      <c r="AJ57" s="447"/>
      <c r="AK57" s="56"/>
      <c r="AL57" s="54">
        <f t="shared" ref="AL57:AM57" si="156">AL6</f>
        <v>54.637999999999998</v>
      </c>
      <c r="AM57" s="54">
        <f t="shared" si="156"/>
        <v>61.866999999999997</v>
      </c>
      <c r="AN57" s="804">
        <f>AN6</f>
        <v>116.505</v>
      </c>
      <c r="AO57" s="54">
        <f t="shared" ref="AO57:AU57" si="157">AO6</f>
        <v>71.572000000000003</v>
      </c>
      <c r="AP57" s="54">
        <f t="shared" si="157"/>
        <v>73.054000000000002</v>
      </c>
      <c r="AQ57" s="804">
        <f t="shared" si="157"/>
        <v>144.626</v>
      </c>
      <c r="AR57" s="54">
        <f t="shared" ref="AR57:AS57" si="158">AR6</f>
        <v>83.227733995031585</v>
      </c>
      <c r="AS57" s="54">
        <f t="shared" si="158"/>
        <v>84.951082536090055</v>
      </c>
      <c r="AT57" s="804">
        <f t="shared" si="157"/>
        <v>168.17881653112164</v>
      </c>
      <c r="AU57" s="804">
        <f t="shared" si="157"/>
        <v>192.61426215101233</v>
      </c>
      <c r="AW57" s="680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2:67">
      <c r="B58" s="53" t="s">
        <v>111</v>
      </c>
      <c r="C58" s="565" t="s">
        <v>112</v>
      </c>
      <c r="D58" s="56"/>
      <c r="E58" s="56"/>
      <c r="F58" s="56"/>
      <c r="G58" s="56"/>
      <c r="H58" s="56"/>
      <c r="I58" s="480"/>
      <c r="J58" s="511">
        <f t="shared" ref="J58:U58" si="159">J57/J22</f>
        <v>51.647147147147152</v>
      </c>
      <c r="K58" s="511">
        <f t="shared" si="159"/>
        <v>189.166</v>
      </c>
      <c r="L58" s="480">
        <f t="shared" si="159"/>
        <v>-3.1970322580645161</v>
      </c>
      <c r="M58" s="480">
        <f t="shared" si="159"/>
        <v>-1.4148553054662381</v>
      </c>
      <c r="N58" s="480">
        <f t="shared" si="159"/>
        <v>-1.1124447125050261</v>
      </c>
      <c r="O58" s="646">
        <f t="shared" si="159"/>
        <v>-1.1810676698332772</v>
      </c>
      <c r="P58" s="56">
        <f t="shared" si="159"/>
        <v>-1.3936853398921591</v>
      </c>
      <c r="Q58" s="56">
        <f t="shared" si="159"/>
        <v>-1.6912546078361343</v>
      </c>
      <c r="R58" s="56">
        <f t="shared" si="159"/>
        <v>-2.0552808134287055</v>
      </c>
      <c r="S58" s="56">
        <f t="shared" si="159"/>
        <v>-2.418195287223877</v>
      </c>
      <c r="T58" s="56">
        <f t="shared" si="159"/>
        <v>-2.7831567300454951</v>
      </c>
      <c r="U58" s="56">
        <f t="shared" si="159"/>
        <v>-3.147211371320449</v>
      </c>
      <c r="V58" s="56">
        <f t="shared" ref="V58:W58" si="160">V57/V22</f>
        <v>-3.5133305199422153</v>
      </c>
      <c r="W58" s="56">
        <f t="shared" si="160"/>
        <v>-3.8832425683628573</v>
      </c>
      <c r="X58" s="56">
        <f t="shared" ref="X58" si="161">X57/X22</f>
        <v>-4.2578973612027697</v>
      </c>
      <c r="AN58" s="806"/>
      <c r="AQ58" s="806"/>
      <c r="AT58" s="806"/>
      <c r="AU58" s="806"/>
      <c r="AW58" s="53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</row>
    <row r="59" spans="2:67">
      <c r="B59" s="53" t="s">
        <v>32</v>
      </c>
      <c r="C59" s="565" t="s">
        <v>256</v>
      </c>
      <c r="D59" s="55"/>
      <c r="E59" s="55"/>
      <c r="F59" s="55"/>
      <c r="G59" s="55"/>
      <c r="H59" s="55"/>
      <c r="I59" s="479"/>
      <c r="J59" s="479">
        <f t="shared" ref="J59:M59" si="162">J56+J57</f>
        <v>1920.7645777478995</v>
      </c>
      <c r="K59" s="479">
        <f t="shared" si="162"/>
        <v>1963.7695777478993</v>
      </c>
      <c r="L59" s="479">
        <f t="shared" si="162"/>
        <v>2008.7986309915968</v>
      </c>
      <c r="M59" s="479">
        <f t="shared" si="162"/>
        <v>2017.9403610084037</v>
      </c>
      <c r="N59" s="479">
        <f t="shared" ref="N59:S59" si="163">N56+N57</f>
        <v>2011.2085604705885</v>
      </c>
      <c r="O59" s="265">
        <f t="shared" si="163"/>
        <v>2008.2820836974793</v>
      </c>
      <c r="P59" s="55">
        <f t="shared" si="163"/>
        <v>1975.6684176617464</v>
      </c>
      <c r="Q59" s="55">
        <f t="shared" si="163"/>
        <v>1925.8589613360227</v>
      </c>
      <c r="R59" s="55">
        <f t="shared" si="163"/>
        <v>1852.5656552361888</v>
      </c>
      <c r="S59" s="55">
        <f t="shared" si="163"/>
        <v>1764.121155446589</v>
      </c>
      <c r="T59" s="55">
        <f>T56+T57</f>
        <v>1661.1701909777146</v>
      </c>
      <c r="U59" s="55">
        <f>U56+U57</f>
        <v>1542.2529906953291</v>
      </c>
      <c r="V59" s="55">
        <f>V56+V57</f>
        <v>1406.193535388978</v>
      </c>
      <c r="W59" s="55">
        <f>W56+W57</f>
        <v>1251.8819868727687</v>
      </c>
      <c r="X59" s="55">
        <f>X56+X57</f>
        <v>1078.2693585098593</v>
      </c>
      <c r="Y59" s="663"/>
      <c r="Z59" s="681"/>
      <c r="AA59" s="53"/>
      <c r="AB59" s="164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805"/>
      <c r="AO59" s="54"/>
      <c r="AP59" s="54"/>
      <c r="AQ59" s="804"/>
      <c r="AR59" s="55"/>
      <c r="AS59" s="54"/>
      <c r="AT59" s="805"/>
      <c r="AU59" s="805"/>
      <c r="AW59" s="53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</row>
    <row r="60" spans="2:67">
      <c r="B60" s="53" t="s">
        <v>33</v>
      </c>
      <c r="C60" s="164" t="s">
        <v>112</v>
      </c>
      <c r="D60" s="54"/>
      <c r="E60" s="54"/>
      <c r="F60" s="54"/>
      <c r="G60" s="54"/>
      <c r="H60" s="54"/>
      <c r="I60" s="478"/>
      <c r="J60" s="478">
        <f t="shared" ref="J60:U60" si="164">J59/J22</f>
        <v>-721.00772437984222</v>
      </c>
      <c r="K60" s="478">
        <f t="shared" si="164"/>
        <v>-3927.5391554957987</v>
      </c>
      <c r="L60" s="478">
        <f t="shared" si="164"/>
        <v>129.59991167687721</v>
      </c>
      <c r="M60" s="478">
        <f t="shared" si="164"/>
        <v>64.885542154611045</v>
      </c>
      <c r="N60" s="478">
        <f t="shared" si="164"/>
        <v>40.434430246694582</v>
      </c>
      <c r="O60" s="264">
        <f t="shared" si="164"/>
        <v>29.396520393130245</v>
      </c>
      <c r="P60" s="54">
        <f t="shared" si="164"/>
        <v>24.302241165243732</v>
      </c>
      <c r="Q60" s="54">
        <f t="shared" si="164"/>
        <v>19.968827165638423</v>
      </c>
      <c r="R60" s="54">
        <f t="shared" si="164"/>
        <v>16.106122790208936</v>
      </c>
      <c r="S60" s="54">
        <f t="shared" si="164"/>
        <v>13.132266187328513</v>
      </c>
      <c r="T60" s="54">
        <f t="shared" si="164"/>
        <v>10.807173827350555</v>
      </c>
      <c r="U60" s="54">
        <f t="shared" si="164"/>
        <v>8.8780926917953771</v>
      </c>
      <c r="V60" s="54">
        <f t="shared" ref="V60:W60" si="165">V59/V22</f>
        <v>7.235793193044004</v>
      </c>
      <c r="W60" s="54">
        <f t="shared" si="165"/>
        <v>5.8074738464269942</v>
      </c>
      <c r="X60" s="54">
        <f t="shared" ref="X60" si="166">X59/X22</f>
        <v>4.5425561537702608</v>
      </c>
      <c r="AA60" s="53" t="s">
        <v>322</v>
      </c>
      <c r="AB60" s="164" t="s">
        <v>226</v>
      </c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820">
        <f>'1.Assumptions'!O77</f>
        <v>4</v>
      </c>
      <c r="AO60" s="821">
        <v>14.347</v>
      </c>
      <c r="AP60" s="821">
        <f>AQ60</f>
        <v>25.591999999999999</v>
      </c>
      <c r="AQ60" s="820">
        <f>'1.Assumptions'!P77</f>
        <v>25.591999999999999</v>
      </c>
      <c r="AR60" s="54">
        <v>14.347</v>
      </c>
      <c r="AS60" s="821">
        <f>AT60</f>
        <v>52.622564305095437</v>
      </c>
      <c r="AT60" s="820">
        <f>'1.Assumptions'!Q77</f>
        <v>52.622564305095437</v>
      </c>
      <c r="AU60" s="820">
        <f>'1.Assumptions'!R77</f>
        <v>77.744647706029255</v>
      </c>
      <c r="AW60" s="5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2:67">
      <c r="B61" s="53" t="s">
        <v>34</v>
      </c>
      <c r="C61" s="164" t="s">
        <v>112</v>
      </c>
      <c r="D61" s="54"/>
      <c r="E61" s="54"/>
      <c r="F61" s="54"/>
      <c r="G61" s="54"/>
      <c r="H61" s="54"/>
      <c r="I61" s="478"/>
      <c r="J61" s="478">
        <f t="shared" ref="J61:U61" si="167">J59/J31</f>
        <v>-536.52641836533508</v>
      </c>
      <c r="K61" s="478">
        <f t="shared" si="167"/>
        <v>-59.112470990769751</v>
      </c>
      <c r="L61" s="478">
        <f t="shared" si="167"/>
        <v>-75.646719299250492</v>
      </c>
      <c r="M61" s="478">
        <f t="shared" si="167"/>
        <v>-145.16512200621568</v>
      </c>
      <c r="N61" s="478">
        <f t="shared" si="167"/>
        <v>-574.63101727731214</v>
      </c>
      <c r="O61" s="264">
        <f t="shared" si="167"/>
        <v>196.14167523658031</v>
      </c>
      <c r="P61" s="54">
        <f t="shared" si="167"/>
        <v>105.10289530710972</v>
      </c>
      <c r="Q61" s="54">
        <f t="shared" si="167"/>
        <v>63.034478522843578</v>
      </c>
      <c r="R61" s="54">
        <f t="shared" si="167"/>
        <v>38.640929833022113</v>
      </c>
      <c r="S61" s="54">
        <f t="shared" si="167"/>
        <v>26.296480232408538</v>
      </c>
      <c r="T61" s="54">
        <f t="shared" si="167"/>
        <v>18.905079355544938</v>
      </c>
      <c r="U61" s="54">
        <f t="shared" si="167"/>
        <v>14.162890336802501</v>
      </c>
      <c r="V61" s="54">
        <f t="shared" ref="V61:W61" si="168">V59/V31</f>
        <v>10.788790921895748</v>
      </c>
      <c r="W61" s="54">
        <f t="shared" si="168"/>
        <v>8.2170132025552469</v>
      </c>
      <c r="X61" s="54">
        <f t="shared" ref="X61" si="169">X59/X31</f>
        <v>6.1592357463937297</v>
      </c>
      <c r="AA61" s="53" t="s">
        <v>288</v>
      </c>
      <c r="AB61" s="164" t="s">
        <v>254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804"/>
      <c r="AO61" s="54">
        <f>AQ61</f>
        <v>20.777977492966553</v>
      </c>
      <c r="AP61" s="54">
        <f>AQ61</f>
        <v>20.777977492966553</v>
      </c>
      <c r="AQ61" s="804">
        <f>'1.Assumptions'!P82</f>
        <v>20.777977492966553</v>
      </c>
      <c r="AR61" s="54">
        <f>AT61</f>
        <v>27</v>
      </c>
      <c r="AS61" s="54">
        <f>AT61</f>
        <v>27</v>
      </c>
      <c r="AT61" s="804">
        <f>'1.Assumptions'!Q82</f>
        <v>27</v>
      </c>
      <c r="AU61" s="804">
        <f>'1.Assumptions'!R82</f>
        <v>27.5</v>
      </c>
      <c r="AW61" s="53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2:67" ht="12" customHeight="1">
      <c r="B62" s="53" t="s">
        <v>35</v>
      </c>
      <c r="C62" s="164" t="s">
        <v>112</v>
      </c>
      <c r="D62" s="54"/>
      <c r="E62" s="54"/>
      <c r="F62" s="54"/>
      <c r="G62" s="54"/>
      <c r="H62" s="54"/>
      <c r="I62" s="478"/>
      <c r="J62" s="478">
        <f t="shared" ref="J62:U62" si="170">J59/J9</f>
        <v>955.60426753626848</v>
      </c>
      <c r="K62" s="478">
        <f t="shared" si="170"/>
        <v>60.797819744517014</v>
      </c>
      <c r="L62" s="478">
        <f t="shared" si="170"/>
        <v>34.9769924605028</v>
      </c>
      <c r="M62" s="478">
        <f t="shared" si="170"/>
        <v>23.437170278843251</v>
      </c>
      <c r="N62" s="478">
        <f t="shared" si="170"/>
        <v>17.180272160514146</v>
      </c>
      <c r="O62" s="264">
        <f t="shared" si="170"/>
        <v>13.28167402102733</v>
      </c>
      <c r="P62" s="54">
        <f t="shared" si="170"/>
        <v>10.910113668188243</v>
      </c>
      <c r="Q62" s="54">
        <f t="shared" si="170"/>
        <v>8.9846635940458128</v>
      </c>
      <c r="R62" s="54">
        <f t="shared" si="170"/>
        <v>7.4882916041421206</v>
      </c>
      <c r="S62" s="54">
        <f t="shared" si="170"/>
        <v>6.3026271643441909</v>
      </c>
      <c r="T62" s="54">
        <f t="shared" si="170"/>
        <v>5.3488428107960093</v>
      </c>
      <c r="U62" s="54">
        <f t="shared" si="170"/>
        <v>4.5272454588359698</v>
      </c>
      <c r="V62" s="54">
        <f t="shared" ref="V62:W62" si="171">V59/V9</f>
        <v>3.7983172382786732</v>
      </c>
      <c r="W62" s="54">
        <f t="shared" si="171"/>
        <v>3.1356552920071259</v>
      </c>
      <c r="X62" s="54">
        <f t="shared" ref="X62" si="172">X59/X9</f>
        <v>2.5208209749752659</v>
      </c>
      <c r="AA62" s="53" t="s">
        <v>323</v>
      </c>
      <c r="AB62" s="164" t="s">
        <v>256</v>
      </c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804">
        <f t="shared" ref="AN62:AU62" si="173">AN7</f>
        <v>0.30099999999999999</v>
      </c>
      <c r="AO62" s="54">
        <f t="shared" si="173"/>
        <v>1.49</v>
      </c>
      <c r="AP62" s="54">
        <f t="shared" si="173"/>
        <v>4.891</v>
      </c>
      <c r="AQ62" s="804">
        <f t="shared" si="173"/>
        <v>6.3810000000000002</v>
      </c>
      <c r="AR62" s="54">
        <f t="shared" ref="AR62:AS62" si="174">AR7</f>
        <v>5.5</v>
      </c>
      <c r="AS62" s="54">
        <f t="shared" si="174"/>
        <v>7.1707594174254616</v>
      </c>
      <c r="AT62" s="804">
        <f t="shared" si="173"/>
        <v>12.670759417425462</v>
      </c>
      <c r="AU62" s="804">
        <f t="shared" si="173"/>
        <v>21.510589981835576</v>
      </c>
      <c r="AW62" s="5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2:67" ht="6.75" customHeight="1">
      <c r="B63" s="53"/>
      <c r="C63" s="164"/>
      <c r="D63" s="54"/>
      <c r="E63" s="54"/>
      <c r="F63" s="54"/>
      <c r="G63" s="54"/>
      <c r="H63" s="54"/>
      <c r="I63" s="478"/>
      <c r="J63" s="478"/>
      <c r="K63" s="478"/>
      <c r="L63" s="478"/>
      <c r="M63" s="478"/>
      <c r="N63" s="478"/>
      <c r="O63" s="264"/>
      <c r="P63" s="54"/>
      <c r="Q63" s="54"/>
      <c r="R63" s="54"/>
      <c r="S63" s="54"/>
      <c r="T63" s="54"/>
      <c r="U63" s="54"/>
      <c r="V63" s="54"/>
      <c r="W63" s="54"/>
      <c r="X63" s="54"/>
      <c r="AN63" s="806"/>
      <c r="AQ63" s="806"/>
      <c r="AT63" s="806"/>
      <c r="AU63" s="806"/>
      <c r="AW63" s="53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2:67" ht="12.75" customHeight="1">
      <c r="B64" s="57" t="s">
        <v>36</v>
      </c>
      <c r="C64" s="325" t="s">
        <v>196</v>
      </c>
      <c r="D64" s="49"/>
      <c r="E64" s="49"/>
      <c r="F64" s="49"/>
      <c r="G64" s="49"/>
      <c r="H64" s="49"/>
      <c r="I64" s="367"/>
      <c r="J64" s="367">
        <f>'1.Assumptions'!K178</f>
        <v>0</v>
      </c>
      <c r="K64" s="36">
        <f>'1.Assumptions'!L178</f>
        <v>0</v>
      </c>
      <c r="L64" s="36">
        <f>'1.Assumptions'!M178</f>
        <v>0</v>
      </c>
      <c r="M64" s="36">
        <f>'1.Assumptions'!N178</f>
        <v>0</v>
      </c>
      <c r="N64" s="36">
        <f>'1.Assumptions'!O178</f>
        <v>0</v>
      </c>
      <c r="O64" s="510">
        <f>'1.Assumptions'!P178</f>
        <v>0</v>
      </c>
      <c r="P64" s="49">
        <f>'1.Assumptions'!Q178</f>
        <v>0</v>
      </c>
      <c r="Q64" s="49">
        <f>'1.Assumptions'!R178</f>
        <v>0</v>
      </c>
      <c r="R64" s="49">
        <f>'1.Assumptions'!S178</f>
        <v>0</v>
      </c>
      <c r="S64" s="49">
        <f>'1.Assumptions'!T178</f>
        <v>0</v>
      </c>
      <c r="T64" s="49">
        <f>'1.Assumptions'!U178</f>
        <v>0</v>
      </c>
      <c r="U64" s="49">
        <f>'1.Assumptions'!V178</f>
        <v>0</v>
      </c>
      <c r="V64" s="49">
        <f>'1.Assumptions'!W178</f>
        <v>0</v>
      </c>
      <c r="W64" s="49">
        <f>'1.Assumptions'!X178</f>
        <v>0</v>
      </c>
      <c r="X64" s="49">
        <f>'1.Assumptions'!Y178</f>
        <v>0</v>
      </c>
      <c r="AA64" s="57"/>
      <c r="AB64" s="325"/>
      <c r="AC64" s="49"/>
      <c r="AD64" s="49"/>
      <c r="AE64" s="49"/>
      <c r="AF64" s="49"/>
      <c r="AG64" s="49"/>
      <c r="AH64" s="49"/>
      <c r="AI64" s="54"/>
      <c r="AJ64" s="54"/>
      <c r="AK64" s="49"/>
      <c r="AL64" s="49"/>
      <c r="AM64" s="49"/>
      <c r="AN64" s="446"/>
      <c r="AO64" s="49"/>
      <c r="AP64" s="49"/>
      <c r="AQ64" s="446"/>
      <c r="AR64" s="49"/>
      <c r="AS64" s="49"/>
      <c r="AT64" s="446"/>
      <c r="AU64" s="446"/>
      <c r="AW64" s="57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N64" s="6"/>
      <c r="BO64" s="6"/>
    </row>
    <row r="65" spans="1:72">
      <c r="B65" s="51" t="s">
        <v>37</v>
      </c>
      <c r="C65" s="164" t="s">
        <v>122</v>
      </c>
      <c r="D65" s="50"/>
      <c r="E65" s="50"/>
      <c r="F65" s="50"/>
      <c r="G65" s="50"/>
      <c r="H65" s="50"/>
      <c r="I65" s="24"/>
      <c r="J65" s="24">
        <f>'1.Assumptions'!K182</f>
        <v>0</v>
      </c>
      <c r="K65" s="24">
        <f>'1.Assumptions'!L182</f>
        <v>0</v>
      </c>
      <c r="L65" s="24">
        <f>'1.Assumptions'!M182</f>
        <v>0</v>
      </c>
      <c r="M65" s="24">
        <f>'1.Assumptions'!N182</f>
        <v>0</v>
      </c>
      <c r="N65" s="24">
        <f>'1.Assumptions'!O182</f>
        <v>0</v>
      </c>
      <c r="O65" s="218">
        <f>'1.Assumptions'!P182</f>
        <v>0</v>
      </c>
      <c r="P65" s="50">
        <f>'1.Assumptions'!Q182</f>
        <v>0</v>
      </c>
      <c r="Q65" s="50">
        <f>'1.Assumptions'!R182</f>
        <v>0</v>
      </c>
      <c r="R65" s="50">
        <f>'1.Assumptions'!S182</f>
        <v>0</v>
      </c>
      <c r="S65" s="50">
        <f>'1.Assumptions'!T182</f>
        <v>0</v>
      </c>
      <c r="T65" s="50">
        <f>'1.Assumptions'!U182</f>
        <v>0</v>
      </c>
      <c r="U65" s="50">
        <f>'1.Assumptions'!V182</f>
        <v>0</v>
      </c>
      <c r="V65" s="50">
        <f>'1.Assumptions'!W182</f>
        <v>0</v>
      </c>
      <c r="W65" s="50">
        <f>'1.Assumptions'!X182</f>
        <v>0</v>
      </c>
      <c r="X65" s="50">
        <f>'1.Assumptions'!Y182</f>
        <v>0</v>
      </c>
      <c r="AA65" s="51" t="s">
        <v>324</v>
      </c>
      <c r="AB65" s="164" t="s">
        <v>256</v>
      </c>
      <c r="AC65" s="50"/>
      <c r="AD65" s="50"/>
      <c r="AE65" s="50"/>
      <c r="AF65" s="50"/>
      <c r="AG65" s="50"/>
      <c r="AH65" s="50"/>
      <c r="AI65" s="54">
        <f>AI9-AG9</f>
        <v>7.7740000000000009</v>
      </c>
      <c r="AJ65" s="54">
        <f>AJ9-AI9</f>
        <v>6.887999999999991</v>
      </c>
      <c r="AK65" s="50"/>
      <c r="AL65" s="54">
        <f>AL9-AJ9</f>
        <v>8.2210000000000107</v>
      </c>
      <c r="AM65" s="54">
        <f>AM9-AL9</f>
        <v>7.6349999999999909</v>
      </c>
      <c r="AN65" s="807"/>
      <c r="AO65" s="54">
        <f>AO9-AM9</f>
        <v>10.811000000000007</v>
      </c>
      <c r="AP65" s="54">
        <f>AP9-AO9</f>
        <v>4.8849999999999909</v>
      </c>
      <c r="AQ65" s="807"/>
      <c r="AR65" s="54">
        <f>AR9-AP9</f>
        <v>10.798744570031602</v>
      </c>
      <c r="AS65" s="54">
        <f>AS9-AR9</f>
        <v>3.3964718084839376</v>
      </c>
      <c r="AT65" s="807"/>
      <c r="AU65" s="807"/>
      <c r="AW65" s="51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</row>
    <row r="66" spans="1:72">
      <c r="B66" s="51" t="s">
        <v>38</v>
      </c>
      <c r="C66" s="164" t="s">
        <v>122</v>
      </c>
      <c r="D66" s="58"/>
      <c r="E66" s="58"/>
      <c r="F66" s="58"/>
      <c r="G66" s="58"/>
      <c r="H66" s="58"/>
      <c r="I66" s="481"/>
      <c r="J66" s="481">
        <f t="shared" ref="J66:Q66" si="175">J64/J45</f>
        <v>0</v>
      </c>
      <c r="K66" s="481">
        <f t="shared" si="175"/>
        <v>0</v>
      </c>
      <c r="L66" s="481">
        <f t="shared" si="175"/>
        <v>0</v>
      </c>
      <c r="M66" s="481">
        <f t="shared" si="175"/>
        <v>0</v>
      </c>
      <c r="N66" s="481">
        <f t="shared" si="175"/>
        <v>0</v>
      </c>
      <c r="O66" s="266">
        <f t="shared" si="175"/>
        <v>0</v>
      </c>
      <c r="P66" s="58">
        <f t="shared" si="175"/>
        <v>0</v>
      </c>
      <c r="Q66" s="58">
        <f t="shared" si="175"/>
        <v>0</v>
      </c>
      <c r="R66" s="58">
        <f t="shared" ref="R66:W66" si="176">R64/R45</f>
        <v>0</v>
      </c>
      <c r="S66" s="58">
        <f t="shared" si="176"/>
        <v>0</v>
      </c>
      <c r="T66" s="58">
        <f t="shared" si="176"/>
        <v>0</v>
      </c>
      <c r="U66" s="58">
        <f t="shared" si="176"/>
        <v>0</v>
      </c>
      <c r="V66" s="58">
        <f t="shared" si="176"/>
        <v>0</v>
      </c>
      <c r="W66" s="58">
        <f t="shared" si="176"/>
        <v>0</v>
      </c>
      <c r="X66" s="58">
        <f t="shared" ref="X66" si="177">X64/X45</f>
        <v>0</v>
      </c>
      <c r="AA66" s="51" t="s">
        <v>325</v>
      </c>
      <c r="AB66" s="164" t="s">
        <v>256</v>
      </c>
      <c r="AC66" s="447"/>
      <c r="AD66" s="447"/>
      <c r="AE66" s="447"/>
      <c r="AF66" s="447"/>
      <c r="AG66" s="447"/>
      <c r="AH66" s="447"/>
      <c r="AI66" s="54">
        <f>AI22-AG22</f>
        <v>5.1000000000000014</v>
      </c>
      <c r="AJ66" s="54">
        <f>AJ22-AI22</f>
        <v>2.5</v>
      </c>
      <c r="AK66" s="447"/>
      <c r="AL66" s="54">
        <f>AL22-AJ22</f>
        <v>5.5999999999999979</v>
      </c>
      <c r="AM66" s="54">
        <f>AM22-AL22</f>
        <v>4.9400000000000048</v>
      </c>
      <c r="AN66" s="808"/>
      <c r="AO66" s="54">
        <f>AO22-AM22</f>
        <v>5.759999999999998</v>
      </c>
      <c r="AP66" s="54">
        <f>AP22-AO22</f>
        <v>2.1170000000000044</v>
      </c>
      <c r="AQ66" s="808"/>
      <c r="AR66" s="54">
        <f>AR22-AP22</f>
        <v>5.0453720701534195</v>
      </c>
      <c r="AS66" s="54">
        <f>AS22-AR22</f>
        <v>0.77098509833153628</v>
      </c>
      <c r="AT66" s="808"/>
      <c r="AU66" s="808"/>
      <c r="AW66" s="51"/>
      <c r="AX66" s="447"/>
      <c r="AY66" s="447"/>
      <c r="AZ66" s="447"/>
      <c r="BA66" s="447"/>
      <c r="BB66" s="447"/>
      <c r="BC66" s="447"/>
      <c r="BD66" s="447"/>
      <c r="BE66" s="447"/>
      <c r="BF66" s="447"/>
      <c r="BG66" s="447"/>
      <c r="BH66" s="447"/>
      <c r="BI66" s="447"/>
      <c r="BJ66" s="447"/>
      <c r="BK66" s="447"/>
      <c r="BL66" s="447"/>
    </row>
    <row r="67" spans="1:72">
      <c r="B67" s="51" t="s">
        <v>39</v>
      </c>
      <c r="C67" s="164" t="s">
        <v>122</v>
      </c>
      <c r="D67" s="59"/>
      <c r="E67" s="59"/>
      <c r="F67" s="59"/>
      <c r="G67" s="59"/>
      <c r="H67" s="59"/>
      <c r="I67" s="482"/>
      <c r="J67" s="482">
        <f t="shared" ref="J67:M67" si="178">(J64/100)/$B$2</f>
        <v>0</v>
      </c>
      <c r="K67" s="482">
        <f t="shared" si="178"/>
        <v>0</v>
      </c>
      <c r="L67" s="482">
        <f t="shared" si="178"/>
        <v>0</v>
      </c>
      <c r="M67" s="482">
        <f t="shared" si="178"/>
        <v>0</v>
      </c>
      <c r="N67" s="482">
        <f t="shared" ref="N67:S67" si="179">(N64/100)/$B$2</f>
        <v>0</v>
      </c>
      <c r="O67" s="267">
        <f t="shared" si="179"/>
        <v>0</v>
      </c>
      <c r="P67" s="59">
        <f t="shared" si="179"/>
        <v>0</v>
      </c>
      <c r="Q67" s="59">
        <f t="shared" si="179"/>
        <v>0</v>
      </c>
      <c r="R67" s="59">
        <f t="shared" si="179"/>
        <v>0</v>
      </c>
      <c r="S67" s="59">
        <f t="shared" si="179"/>
        <v>0</v>
      </c>
      <c r="T67" s="59">
        <f>(T64/100)/$B$2</f>
        <v>0</v>
      </c>
      <c r="U67" s="59">
        <f>(U64/100)/$B$2</f>
        <v>0</v>
      </c>
      <c r="V67" s="59">
        <f>(V64/100)/$B$2</f>
        <v>0</v>
      </c>
      <c r="W67" s="59">
        <f>(W64/100)/$B$2</f>
        <v>0</v>
      </c>
      <c r="X67" s="59">
        <f>(X64/100)/$B$2</f>
        <v>0</v>
      </c>
      <c r="AA67" s="51"/>
      <c r="AB67" s="164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W67" s="51"/>
      <c r="AX67" s="59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</row>
    <row r="68" spans="1:72" collapsed="1">
      <c r="D68" s="49"/>
      <c r="E68" s="49"/>
      <c r="F68" s="49"/>
      <c r="G68" s="49"/>
      <c r="H68" s="49"/>
      <c r="I68" s="367"/>
      <c r="J68" s="367"/>
      <c r="K68" s="36"/>
      <c r="L68" s="36"/>
      <c r="M68" s="36"/>
      <c r="N68" s="36"/>
      <c r="O68" s="510"/>
      <c r="P68" s="49"/>
      <c r="Q68" s="49"/>
      <c r="R68" s="49"/>
      <c r="S68" s="49"/>
      <c r="T68" s="49"/>
      <c r="U68" s="49"/>
      <c r="V68" s="49"/>
      <c r="W68" s="49"/>
      <c r="X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</row>
    <row r="69" spans="1:72">
      <c r="B69" s="1" t="s">
        <v>40</v>
      </c>
    </row>
    <row r="70" spans="1:72">
      <c r="B70" s="16" t="s">
        <v>41</v>
      </c>
      <c r="C70" s="166" t="s">
        <v>112</v>
      </c>
      <c r="D70" s="60"/>
      <c r="E70" s="60"/>
      <c r="F70" s="60"/>
      <c r="G70" s="60"/>
      <c r="H70" s="60"/>
      <c r="I70" s="483"/>
      <c r="J70" s="483">
        <f t="shared" ref="J70:U70" si="180">IF(ISNUMBER(IF(-J22/J35&gt;0,-J22/J35,"n/a")),IF(-J22/J35&gt;0,-J22/J35,"n/a"),0)</f>
        <v>0</v>
      </c>
      <c r="K70" s="483">
        <f t="shared" si="180"/>
        <v>0.41662900296652994</v>
      </c>
      <c r="L70" s="483">
        <f t="shared" si="180"/>
        <v>8.8825214899713476</v>
      </c>
      <c r="M70" s="483">
        <f t="shared" si="180"/>
        <v>0</v>
      </c>
      <c r="N70" s="483">
        <f t="shared" si="180"/>
        <v>0</v>
      </c>
      <c r="O70" s="268">
        <f t="shared" si="180"/>
        <v>0</v>
      </c>
      <c r="P70" s="60">
        <f t="shared" si="180"/>
        <v>0</v>
      </c>
      <c r="Q70" s="60">
        <f t="shared" si="180"/>
        <v>0</v>
      </c>
      <c r="R70" s="60">
        <f t="shared" si="180"/>
        <v>0</v>
      </c>
      <c r="S70" s="60">
        <f t="shared" si="180"/>
        <v>0</v>
      </c>
      <c r="T70" s="60">
        <f t="shared" si="180"/>
        <v>0</v>
      </c>
      <c r="U70" s="60">
        <f t="shared" si="180"/>
        <v>0</v>
      </c>
      <c r="V70" s="60">
        <f t="shared" ref="V70:W70" si="181">IF(ISNUMBER(IF(-V22/V35&gt;0,-V22/V35,"n/a")),IF(-V22/V35&gt;0,-V22/V35,"n/a"),0)</f>
        <v>0</v>
      </c>
      <c r="W70" s="60">
        <f t="shared" si="181"/>
        <v>0</v>
      </c>
      <c r="X70" s="60">
        <f t="shared" ref="X70" si="182">IF(ISNUMBER(IF(-X22/X35&gt;0,-X22/X35,"n/a")),IF(-X22/X35&gt;0,-X22/X35,"n/a"),0)</f>
        <v>0</v>
      </c>
      <c r="AA70" s="16"/>
      <c r="AB70" s="16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W70" s="16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</row>
    <row r="71" spans="1:72">
      <c r="B71" s="16" t="s">
        <v>42</v>
      </c>
      <c r="C71" s="166" t="s">
        <v>112</v>
      </c>
      <c r="D71" s="60"/>
      <c r="E71" s="60"/>
      <c r="F71" s="60"/>
      <c r="G71" s="60"/>
      <c r="H71" s="60"/>
      <c r="I71" s="483"/>
      <c r="J71" s="483">
        <f t="shared" ref="J71:U71" si="183">IF(ISNUMBER(IF(-J31/J35&gt;0,-J31/J35,"n/a")),IF(-J31/J35&gt;0,-J31/J35,"n/a"),0)</f>
        <v>0</v>
      </c>
      <c r="K71" s="483">
        <f t="shared" si="183"/>
        <v>27.681582160923867</v>
      </c>
      <c r="L71" s="483">
        <f t="shared" si="183"/>
        <v>0</v>
      </c>
      <c r="M71" s="483">
        <f t="shared" si="183"/>
        <v>133.66346153846138</v>
      </c>
      <c r="N71" s="483">
        <f t="shared" si="183"/>
        <v>2.6296018031555168</v>
      </c>
      <c r="O71" s="268">
        <f t="shared" si="183"/>
        <v>0</v>
      </c>
      <c r="P71" s="60">
        <f t="shared" si="183"/>
        <v>0</v>
      </c>
      <c r="Q71" s="60">
        <f t="shared" si="183"/>
        <v>0</v>
      </c>
      <c r="R71" s="60">
        <f t="shared" si="183"/>
        <v>0</v>
      </c>
      <c r="S71" s="60">
        <f t="shared" si="183"/>
        <v>0</v>
      </c>
      <c r="T71" s="60">
        <f t="shared" si="183"/>
        <v>0</v>
      </c>
      <c r="U71" s="60">
        <f t="shared" si="183"/>
        <v>0</v>
      </c>
      <c r="V71" s="60">
        <f t="shared" ref="V71:W71" si="184">IF(ISNUMBER(IF(-V31/V35&gt;0,-V31/V35,"n/a")),IF(-V31/V35&gt;0,-V31/V35,"n/a"),0)</f>
        <v>0</v>
      </c>
      <c r="W71" s="60">
        <f t="shared" si="184"/>
        <v>0</v>
      </c>
      <c r="X71" s="60">
        <f t="shared" ref="X71" si="185">IF(ISNUMBER(IF(-X31/X35&gt;0,-X31/X35,"n/a")),IF(-X31/X35&gt;0,-X31/X35,"n/a"),0)</f>
        <v>0</v>
      </c>
      <c r="AA71" s="16"/>
      <c r="AB71" s="16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W71" s="16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</row>
    <row r="72" spans="1:72">
      <c r="B72" s="1" t="s">
        <v>111</v>
      </c>
      <c r="C72" s="166" t="s">
        <v>112</v>
      </c>
      <c r="D72" s="60"/>
      <c r="E72" s="60"/>
      <c r="F72" s="60"/>
      <c r="G72" s="60"/>
      <c r="H72" s="60"/>
      <c r="I72" s="483"/>
      <c r="J72" s="483">
        <f>'4. Balance Sheet'!J57/'2. Income'!J22</f>
        <v>51.647147147147152</v>
      </c>
      <c r="K72" s="483">
        <f>'4. Balance Sheet'!K57/'2. Income'!K22</f>
        <v>189.166</v>
      </c>
      <c r="L72" s="483">
        <f>'4. Balance Sheet'!L57/'2. Income'!L22</f>
        <v>-3.1970322580645161</v>
      </c>
      <c r="M72" s="483">
        <f>'4. Balance Sheet'!M57/'2. Income'!M22</f>
        <v>-1.4148553054662381</v>
      </c>
      <c r="N72" s="483">
        <f>'4. Balance Sheet'!N57/'2. Income'!N22</f>
        <v>-1.1124447125050261</v>
      </c>
      <c r="O72" s="268">
        <f>'4. Balance Sheet'!O57/'2. Income'!O22</f>
        <v>-1.1810676698332772</v>
      </c>
      <c r="P72" s="60">
        <f>'4. Balance Sheet'!P57/'2. Income'!P22</f>
        <v>-1.3936853398921591</v>
      </c>
      <c r="Q72" s="60">
        <f>'4. Balance Sheet'!Q57/'2. Income'!Q22</f>
        <v>-1.6912546078361343</v>
      </c>
      <c r="R72" s="60">
        <f>'4. Balance Sheet'!R57/'2. Income'!R22</f>
        <v>-2.0552808134287055</v>
      </c>
      <c r="S72" s="60">
        <f>'4. Balance Sheet'!S57/'2. Income'!S22</f>
        <v>-2.418195287223877</v>
      </c>
      <c r="T72" s="60">
        <f>'4. Balance Sheet'!T57/'2. Income'!T22</f>
        <v>-2.7831567300454951</v>
      </c>
      <c r="U72" s="60">
        <f>'4. Balance Sheet'!U57/'2. Income'!U22</f>
        <v>-3.147211371320449</v>
      </c>
      <c r="V72" s="60">
        <f>'4. Balance Sheet'!V57/'2. Income'!V22</f>
        <v>-3.5133305199422153</v>
      </c>
      <c r="W72" s="60">
        <f>'4. Balance Sheet'!W57/'2. Income'!W22</f>
        <v>-3.8832425683628573</v>
      </c>
      <c r="X72" s="60">
        <f>'4. Balance Sheet'!X57/'2. Income'!X22</f>
        <v>-4.2578973612027697</v>
      </c>
      <c r="AB72" s="16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</row>
    <row r="73" spans="1:72">
      <c r="B73" s="1" t="s">
        <v>43</v>
      </c>
      <c r="C73" s="2" t="s">
        <v>122</v>
      </c>
      <c r="D73" s="50"/>
      <c r="E73" s="50"/>
      <c r="F73" s="50"/>
      <c r="G73" s="50"/>
      <c r="H73" s="50"/>
      <c r="I73" s="24"/>
      <c r="J73" s="24">
        <f t="shared" ref="J73:U73" si="186">-J37/J36</f>
        <v>0.17150837988826817</v>
      </c>
      <c r="K73" s="24">
        <f t="shared" si="186"/>
        <v>0.11932224912337591</v>
      </c>
      <c r="L73" s="24">
        <f t="shared" si="186"/>
        <v>5.2084805653710244E-2</v>
      </c>
      <c r="M73" s="24">
        <f t="shared" si="186"/>
        <v>-0.11459012828875845</v>
      </c>
      <c r="N73" s="24">
        <f t="shared" si="186"/>
        <v>-1.0156754264638115</v>
      </c>
      <c r="O73" s="218">
        <f t="shared" si="186"/>
        <v>0.42852287818954243</v>
      </c>
      <c r="P73" s="50">
        <f t="shared" si="186"/>
        <v>0.17</v>
      </c>
      <c r="Q73" s="50">
        <f t="shared" si="186"/>
        <v>0.17</v>
      </c>
      <c r="R73" s="50">
        <f t="shared" si="186"/>
        <v>0.17</v>
      </c>
      <c r="S73" s="50">
        <f t="shared" si="186"/>
        <v>0.17</v>
      </c>
      <c r="T73" s="50">
        <f t="shared" si="186"/>
        <v>0.17</v>
      </c>
      <c r="U73" s="50">
        <f t="shared" si="186"/>
        <v>0.17</v>
      </c>
      <c r="V73" s="50">
        <f t="shared" ref="V73:W73" si="187">-V37/V36</f>
        <v>0.17</v>
      </c>
      <c r="W73" s="50">
        <f t="shared" si="187"/>
        <v>0.17</v>
      </c>
      <c r="X73" s="50">
        <f t="shared" ref="X73" si="188">-X37/X36</f>
        <v>0.17000000000000004</v>
      </c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</row>
    <row r="74" spans="1:72" s="62" customFormat="1" ht="12" customHeight="1" thickBot="1">
      <c r="A74" s="1"/>
      <c r="C74" s="156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269"/>
      <c r="P74" s="63"/>
      <c r="Q74" s="63"/>
      <c r="R74" s="63"/>
      <c r="S74" s="63"/>
      <c r="T74" s="63"/>
      <c r="U74" s="63"/>
      <c r="V74" s="63"/>
      <c r="W74" s="63"/>
      <c r="X74" s="63"/>
      <c r="Y74" s="397"/>
      <c r="AB74" s="156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O74" s="156"/>
      <c r="BT74" s="677"/>
    </row>
    <row r="75" spans="1:72" ht="12" customHeight="1">
      <c r="C75" s="1"/>
      <c r="D75" s="48"/>
      <c r="E75" s="48"/>
      <c r="F75" s="48"/>
      <c r="G75" s="48"/>
      <c r="H75" s="48"/>
      <c r="I75" s="75"/>
      <c r="J75" s="75"/>
      <c r="K75" s="75"/>
      <c r="L75" s="75"/>
      <c r="M75" s="75"/>
      <c r="N75" s="75"/>
      <c r="O75" s="263"/>
      <c r="P75" s="48"/>
      <c r="Q75" s="48"/>
      <c r="R75" s="48"/>
      <c r="S75" s="48"/>
      <c r="T75" s="48"/>
      <c r="U75" s="48"/>
      <c r="V75" s="48"/>
      <c r="W75" s="48"/>
      <c r="X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X75" s="48"/>
      <c r="AY75" s="48"/>
      <c r="AZ75" s="48"/>
      <c r="BA75" s="48"/>
      <c r="BB75" s="48"/>
      <c r="BC75" s="48"/>
      <c r="BD75" s="48"/>
      <c r="BE75" s="48"/>
      <c r="BF75" s="48"/>
      <c r="BG75" s="48"/>
      <c r="BH75" s="48"/>
      <c r="BI75" s="48"/>
      <c r="BJ75" s="48"/>
      <c r="BK75" s="48"/>
      <c r="BL75" s="48"/>
    </row>
    <row r="85" spans="25:25">
      <c r="Y85" s="541"/>
    </row>
  </sheetData>
  <dataConsolidate/>
  <printOptions horizontalCentered="1" verticalCentered="1"/>
  <pageMargins left="0" right="0" top="0" bottom="0" header="0" footer="0"/>
  <pageSetup paperSize="5" scale="94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rgb="FF0070C0"/>
    <outlinePr summaryBelow="0"/>
    <pageSetUpPr fitToPage="1"/>
  </sheetPr>
  <dimension ref="B1:BS61"/>
  <sheetViews>
    <sheetView showGridLines="0" zoomScale="80" zoomScaleNormal="80" workbookViewId="0">
      <pane xSplit="4" ySplit="5" topLeftCell="E17" activePane="bottomRight" state="frozen"/>
      <selection activeCell="C134" sqref="C134"/>
      <selection pane="topRight" activeCell="C134" sqref="C134"/>
      <selection pane="bottomLeft" activeCell="C134" sqref="C134"/>
      <selection pane="bottomRight" activeCell="S62" sqref="S62"/>
    </sheetView>
  </sheetViews>
  <sheetFormatPr defaultColWidth="9.109375" defaultRowHeight="13.8" outlineLevelRow="1" outlineLevelCol="1"/>
  <cols>
    <col min="1" max="1" width="3.44140625" style="1" customWidth="1"/>
    <col min="2" max="2" width="30.88671875" style="1" customWidth="1"/>
    <col min="3" max="3" width="6.88671875" style="2" customWidth="1"/>
    <col min="4" max="4" width="7.44140625" style="26" hidden="1" customWidth="1"/>
    <col min="5" max="5" width="7.44140625" style="26" hidden="1" customWidth="1" outlineLevel="1"/>
    <col min="6" max="9" width="7.44140625" style="1" hidden="1" customWidth="1" outlineLevel="1"/>
    <col min="10" max="12" width="7.44140625" style="25" hidden="1" customWidth="1" outlineLevel="1"/>
    <col min="13" max="13" width="7.44140625" style="25" customWidth="1" collapsed="1"/>
    <col min="14" max="15" width="7.44140625" style="25" customWidth="1"/>
    <col min="16" max="16" width="7.109375" style="160" customWidth="1"/>
    <col min="17" max="25" width="7.109375" style="1" customWidth="1"/>
    <col min="26" max="26" width="13.5546875" style="1" customWidth="1"/>
    <col min="27" max="27" width="16.6640625" style="1" customWidth="1"/>
    <col min="28" max="28" width="14.5546875" style="1" customWidth="1"/>
    <col min="29" max="31" width="9.109375" style="1"/>
    <col min="32" max="32" width="14.5546875" style="1" customWidth="1"/>
    <col min="33" max="33" width="9.109375" style="2"/>
    <col min="34" max="34" width="9.88671875" style="1" customWidth="1"/>
    <col min="35" max="37" width="9.109375" style="1"/>
    <col min="38" max="38" width="10" style="1" customWidth="1"/>
    <col min="39" max="16384" width="9.109375" style="1"/>
  </cols>
  <sheetData>
    <row r="1" spans="2:33" s="35" customFormat="1" ht="18">
      <c r="B1" s="4" t="str">
        <f>'2. Income'!B1</f>
        <v>TUA (S$)</v>
      </c>
      <c r="C1" s="326"/>
      <c r="D1" s="33"/>
      <c r="E1" s="33"/>
      <c r="J1" s="201"/>
      <c r="K1" s="201"/>
      <c r="L1" s="201"/>
      <c r="M1" s="201"/>
      <c r="N1" s="201"/>
      <c r="O1" s="201"/>
      <c r="P1" s="289"/>
      <c r="AG1" s="329"/>
    </row>
    <row r="2" spans="2:33" ht="16.5" customHeight="1">
      <c r="B2" s="588">
        <f>'1.Assumptions'!C3</f>
        <v>5.28</v>
      </c>
      <c r="C2" s="327"/>
      <c r="P2" s="742"/>
      <c r="Q2" s="3"/>
      <c r="R2" s="3"/>
      <c r="S2" s="3"/>
      <c r="T2" s="3"/>
      <c r="U2" s="3"/>
      <c r="V2" s="3"/>
      <c r="W2" s="3"/>
      <c r="X2" s="3"/>
      <c r="Y2" s="3"/>
    </row>
    <row r="3" spans="2:33" ht="12.6" customHeight="1" thickBot="1">
      <c r="B3" s="7"/>
      <c r="C3" s="328"/>
    </row>
    <row r="4" spans="2:33" ht="15.6">
      <c r="B4" s="8" t="s">
        <v>262</v>
      </c>
      <c r="C4" s="323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251"/>
      <c r="Q4" s="9"/>
      <c r="R4" s="9"/>
      <c r="S4" s="9"/>
      <c r="T4" s="9"/>
      <c r="U4" s="9"/>
      <c r="V4" s="9"/>
      <c r="W4" s="9"/>
      <c r="X4" s="9"/>
      <c r="Y4" s="9"/>
    </row>
    <row r="5" spans="2:33" ht="15.6" customHeight="1">
      <c r="B5" s="10"/>
      <c r="C5" s="11" t="s">
        <v>113</v>
      </c>
      <c r="D5" s="12" t="s">
        <v>45</v>
      </c>
      <c r="E5" s="12" t="str">
        <f>'1.Assumptions'!E6</f>
        <v>FY14</v>
      </c>
      <c r="F5" s="12" t="str">
        <f>'1.Assumptions'!F6</f>
        <v>FY15</v>
      </c>
      <c r="G5" s="12" t="str">
        <f>'1.Assumptions'!G6</f>
        <v>FY16</v>
      </c>
      <c r="H5" s="12" t="str">
        <f>'1.Assumptions'!H6</f>
        <v>FY17</v>
      </c>
      <c r="I5" s="12" t="str">
        <f>'1.Assumptions'!I6</f>
        <v>FY18</v>
      </c>
      <c r="J5" s="12" t="str">
        <f>'1.Assumptions'!J6</f>
        <v>FY19</v>
      </c>
      <c r="K5" s="12" t="str">
        <f>'1.Assumptions'!K6</f>
        <v>FY20</v>
      </c>
      <c r="L5" s="12" t="str">
        <f>'1.Assumptions'!L6</f>
        <v>FY21</v>
      </c>
      <c r="M5" s="12" t="str">
        <f>'1.Assumptions'!M6</f>
        <v>FY22</v>
      </c>
      <c r="N5" s="12" t="str">
        <f>'1.Assumptions'!N6</f>
        <v>FY23</v>
      </c>
      <c r="O5" s="12" t="str">
        <f>'1.Assumptions'!O6</f>
        <v>FY24</v>
      </c>
      <c r="P5" s="233" t="str">
        <f>'1.Assumptions'!P6</f>
        <v>FY25</v>
      </c>
      <c r="Q5" s="12" t="str">
        <f>'1.Assumptions'!Q6</f>
        <v>FY26E</v>
      </c>
      <c r="R5" s="12" t="str">
        <f>'1.Assumptions'!R6</f>
        <v>FY27E</v>
      </c>
      <c r="S5" s="12" t="str">
        <f>'1.Assumptions'!S6</f>
        <v>FY28E</v>
      </c>
      <c r="T5" s="12" t="str">
        <f>'1.Assumptions'!T6</f>
        <v>FY29E</v>
      </c>
      <c r="U5" s="12" t="str">
        <f>'1.Assumptions'!U6</f>
        <v>FY30E</v>
      </c>
      <c r="V5" s="12" t="str">
        <f>'1.Assumptions'!V6</f>
        <v>FY31E</v>
      </c>
      <c r="W5" s="12" t="str">
        <f>'1.Assumptions'!W6</f>
        <v>FY32E</v>
      </c>
      <c r="X5" s="12" t="str">
        <f>'1.Assumptions'!X6</f>
        <v>FY33E</v>
      </c>
      <c r="Y5" s="12" t="str">
        <f>'1.Assumptions'!Y6</f>
        <v>FY34E</v>
      </c>
    </row>
    <row r="6" spans="2:33" ht="13.95" customHeight="1">
      <c r="B6" s="74" t="s">
        <v>46</v>
      </c>
      <c r="C6" s="27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263"/>
      <c r="Q6" s="75"/>
      <c r="R6" s="75"/>
      <c r="S6" s="75"/>
      <c r="T6" s="75"/>
      <c r="U6" s="75"/>
      <c r="V6" s="75"/>
      <c r="W6" s="75"/>
      <c r="X6" s="75"/>
      <c r="Y6" s="75"/>
    </row>
    <row r="7" spans="2:33" ht="13.95" customHeight="1">
      <c r="B7" s="76" t="s">
        <v>47</v>
      </c>
      <c r="C7" s="21" t="s">
        <v>256</v>
      </c>
      <c r="D7" s="77"/>
      <c r="E7" s="353"/>
      <c r="F7" s="353"/>
      <c r="G7" s="353"/>
      <c r="H7" s="353">
        <v>0</v>
      </c>
      <c r="I7" s="353">
        <v>0</v>
      </c>
      <c r="J7" s="353">
        <v>0</v>
      </c>
      <c r="K7" s="353">
        <f>1.028*2</f>
        <v>2.056</v>
      </c>
      <c r="L7" s="353">
        <f>(365/507)*38.656</f>
        <v>27.829270216962524</v>
      </c>
      <c r="M7" s="353">
        <v>64.021000000000001</v>
      </c>
      <c r="N7" s="353">
        <v>92.119</v>
      </c>
      <c r="O7" s="353">
        <v>124.521</v>
      </c>
      <c r="P7" s="501">
        <v>163.02000000000001</v>
      </c>
      <c r="Q7" s="75"/>
      <c r="R7" s="75"/>
      <c r="S7" s="75"/>
      <c r="T7" s="75"/>
      <c r="U7" s="75"/>
      <c r="V7" s="75"/>
      <c r="W7" s="75"/>
      <c r="X7" s="75"/>
      <c r="Y7" s="75"/>
    </row>
    <row r="8" spans="2:33">
      <c r="B8" s="304" t="s">
        <v>48</v>
      </c>
      <c r="C8" s="29" t="str">
        <f>C7</f>
        <v>S$m</v>
      </c>
      <c r="D8" s="210"/>
      <c r="E8" s="354"/>
      <c r="F8" s="354"/>
      <c r="G8" s="354"/>
      <c r="H8" s="354">
        <v>-2.1779999999999999</v>
      </c>
      <c r="I8" s="354">
        <v>-1.5720000000000001</v>
      </c>
      <c r="J8" s="354">
        <v>-2.6829999999999998</v>
      </c>
      <c r="K8" s="354">
        <f>-2.728*2</f>
        <v>-5.4560000000000004</v>
      </c>
      <c r="L8" s="354">
        <f>(365/507)*-44.942</f>
        <v>-32.354694280078895</v>
      </c>
      <c r="M8" s="354">
        <v>-41.49</v>
      </c>
      <c r="N8" s="354">
        <v>-52.941000000000003</v>
      </c>
      <c r="O8" s="354">
        <v>-66.066999999999993</v>
      </c>
      <c r="P8" s="502">
        <v>-83.242000000000004</v>
      </c>
      <c r="Q8" s="12"/>
      <c r="R8" s="12"/>
      <c r="S8" s="12"/>
      <c r="T8" s="12"/>
      <c r="U8" s="12"/>
      <c r="V8" s="12"/>
      <c r="W8" s="12"/>
      <c r="X8" s="12"/>
      <c r="Y8" s="12"/>
    </row>
    <row r="9" spans="2:33">
      <c r="B9" s="76"/>
      <c r="C9" s="27"/>
      <c r="D9" s="36">
        <f t="shared" ref="D9:J9" si="0">SUM(D7:D8)</f>
        <v>0</v>
      </c>
      <c r="E9" s="36"/>
      <c r="F9" s="36"/>
      <c r="G9" s="367"/>
      <c r="H9" s="36">
        <f t="shared" si="0"/>
        <v>-2.1779999999999999</v>
      </c>
      <c r="I9" s="36">
        <f t="shared" si="0"/>
        <v>-1.5720000000000001</v>
      </c>
      <c r="J9" s="367">
        <f t="shared" si="0"/>
        <v>-2.6829999999999998</v>
      </c>
      <c r="K9" s="367">
        <f t="shared" ref="K9:P9" si="1">SUM(K7:K8)</f>
        <v>-3.4000000000000004</v>
      </c>
      <c r="L9" s="644">
        <f t="shared" si="1"/>
        <v>-4.5254240631163718</v>
      </c>
      <c r="M9" s="644">
        <f t="shared" si="1"/>
        <v>22.530999999999999</v>
      </c>
      <c r="N9" s="644">
        <f t="shared" si="1"/>
        <v>39.177999999999997</v>
      </c>
      <c r="O9" s="644">
        <f t="shared" si="1"/>
        <v>58.454000000000008</v>
      </c>
      <c r="P9" s="793">
        <f t="shared" si="1"/>
        <v>79.778000000000006</v>
      </c>
      <c r="Q9" s="75"/>
      <c r="R9" s="75"/>
      <c r="S9" s="75"/>
      <c r="T9" s="75"/>
      <c r="U9" s="75"/>
      <c r="V9" s="75"/>
      <c r="W9" s="75"/>
      <c r="X9" s="75"/>
      <c r="Y9" s="75"/>
    </row>
    <row r="10" spans="2:33" ht="15" customHeight="1">
      <c r="B10" s="76"/>
      <c r="C10" s="27"/>
      <c r="D10" s="36"/>
      <c r="E10" s="36"/>
      <c r="F10" s="36"/>
      <c r="G10" s="367"/>
      <c r="H10" s="36"/>
      <c r="I10" s="36"/>
      <c r="J10" s="367"/>
      <c r="K10" s="367"/>
      <c r="L10" s="367"/>
      <c r="M10" s="367"/>
      <c r="N10" s="367"/>
      <c r="O10" s="367"/>
      <c r="P10" s="258"/>
      <c r="Q10" s="75"/>
      <c r="R10" s="75"/>
      <c r="S10" s="75"/>
      <c r="T10" s="75"/>
      <c r="U10" s="75"/>
      <c r="V10" s="75"/>
      <c r="W10" s="75"/>
      <c r="X10" s="75"/>
      <c r="Y10" s="75"/>
    </row>
    <row r="11" spans="2:33" ht="13.95" customHeight="1">
      <c r="B11" s="6" t="s">
        <v>49</v>
      </c>
      <c r="C11" s="21" t="str">
        <f>C8</f>
        <v>S$m</v>
      </c>
      <c r="D11" s="78"/>
      <c r="E11" s="49"/>
      <c r="F11" s="49"/>
      <c r="G11" s="361"/>
      <c r="H11" s="361">
        <f>'2. Income'!G22</f>
        <v>-0.311</v>
      </c>
      <c r="I11" s="361">
        <f>'2. Income'!H22</f>
        <v>-1.427</v>
      </c>
      <c r="J11" s="367">
        <f>'2. Income'!I22</f>
        <v>-2.59</v>
      </c>
      <c r="K11" s="367">
        <f>'2. Income'!J22</f>
        <v>-2.6639999999999997</v>
      </c>
      <c r="L11" s="367">
        <f>'2. Income'!K22</f>
        <v>-0.5</v>
      </c>
      <c r="M11" s="367">
        <f>'2. Income'!L22</f>
        <v>15.5</v>
      </c>
      <c r="N11" s="367">
        <f>'2. Income'!M22</f>
        <v>31.1</v>
      </c>
      <c r="O11" s="367">
        <f>'2. Income'!N22</f>
        <v>49.74</v>
      </c>
      <c r="P11" s="258">
        <f>'2. Income'!O22</f>
        <v>68.317000000000007</v>
      </c>
      <c r="Q11" s="49">
        <f>'2. Income'!P22</f>
        <v>81.295729238638387</v>
      </c>
      <c r="R11" s="49">
        <f>'2. Income'!Q22</f>
        <v>96.44326856862007</v>
      </c>
      <c r="S11" s="49">
        <f>'2. Income'!R22</f>
        <v>115.02244701390089</v>
      </c>
      <c r="T11" s="49">
        <f>'2. Income'!S22</f>
        <v>134.33486119469703</v>
      </c>
      <c r="U11" s="49">
        <f>'2. Income'!T22</f>
        <v>153.70995391724543</v>
      </c>
      <c r="V11" s="49">
        <f>'2. Income'!U22</f>
        <v>173.71445019047735</v>
      </c>
      <c r="W11" s="49">
        <f>'2. Income'!V22</f>
        <v>194.33854698069538</v>
      </c>
      <c r="X11" s="49">
        <f>'2. Income'!W22</f>
        <v>215.56394741975117</v>
      </c>
      <c r="Y11" s="49">
        <f>'2. Income'!X22</f>
        <v>237.37061733731355</v>
      </c>
    </row>
    <row r="12" spans="2:33" ht="13.95" customHeight="1">
      <c r="B12" s="157" t="s">
        <v>50</v>
      </c>
      <c r="C12" s="29" t="str">
        <f>C11</f>
        <v>S$m</v>
      </c>
      <c r="D12" s="10"/>
      <c r="E12" s="215"/>
      <c r="F12" s="215"/>
      <c r="G12" s="368"/>
      <c r="H12" s="368">
        <f t="shared" ref="H12:J12" si="2">H13-H11</f>
        <v>-1.867</v>
      </c>
      <c r="I12" s="368">
        <f t="shared" si="2"/>
        <v>-0.14500000000000002</v>
      </c>
      <c r="J12" s="368">
        <f t="shared" si="2"/>
        <v>-9.2999999999999972E-2</v>
      </c>
      <c r="K12" s="368">
        <f>K13-K11+K35</f>
        <v>-1.4280000000000006</v>
      </c>
      <c r="L12" s="368">
        <f t="shared" ref="L12:M12" si="3">L13-L11+L35</f>
        <v>-4.5070512820512834</v>
      </c>
      <c r="M12" s="368">
        <f t="shared" si="3"/>
        <v>6.5189999999999984</v>
      </c>
      <c r="N12" s="368">
        <f t="shared" ref="N12" si="4">N13-N11+N35</f>
        <v>7.5249999999999959</v>
      </c>
      <c r="O12" s="368">
        <f>O13-O11+O35</f>
        <v>8.1500000000000057</v>
      </c>
      <c r="P12" s="520">
        <f>P13-P11+P35</f>
        <v>10.870999999999999</v>
      </c>
      <c r="Q12" s="215">
        <f>'4. Balance Sheet'!P54</f>
        <v>6.3273600163256027</v>
      </c>
      <c r="R12" s="215">
        <f>'4. Balance Sheet'!Q54</f>
        <v>7.561849612155072</v>
      </c>
      <c r="S12" s="215">
        <f>'4. Balance Sheet'!R54</f>
        <v>8.2519289976387142</v>
      </c>
      <c r="T12" s="215">
        <f>'4. Balance Sheet'!S54</f>
        <v>8.8742437269048722</v>
      </c>
      <c r="U12" s="215">
        <f>'4. Balance Sheet'!T54</f>
        <v>9.2169729728902183</v>
      </c>
      <c r="V12" s="215">
        <f>'4. Balance Sheet'!U54</f>
        <v>9.768560303587499</v>
      </c>
      <c r="W12" s="215">
        <f>'4. Balance Sheet'!V54</f>
        <v>10.308127948436223</v>
      </c>
      <c r="X12" s="215">
        <f>'4. Balance Sheet'!W54</f>
        <v>10.832543658287889</v>
      </c>
      <c r="Y12" s="215">
        <f>'4. Balance Sheet'!X54</f>
        <v>11.341235282555843</v>
      </c>
    </row>
    <row r="13" spans="2:33" s="202" customFormat="1" ht="13.95" customHeight="1">
      <c r="C13" s="196" t="str">
        <f>C12</f>
        <v>S$m</v>
      </c>
      <c r="D13" s="225" t="e">
        <f>SUM(#REF!)</f>
        <v>#REF!</v>
      </c>
      <c r="E13" s="226"/>
      <c r="F13" s="226"/>
      <c r="G13" s="321"/>
      <c r="H13" s="226">
        <f t="shared" ref="H13:J13" si="5">H9</f>
        <v>-2.1779999999999999</v>
      </c>
      <c r="I13" s="226">
        <f t="shared" si="5"/>
        <v>-1.5720000000000001</v>
      </c>
      <c r="J13" s="226">
        <f t="shared" si="5"/>
        <v>-2.6829999999999998</v>
      </c>
      <c r="K13" s="226">
        <f t="shared" ref="K13:L13" si="6">K9</f>
        <v>-3.4000000000000004</v>
      </c>
      <c r="L13" s="226">
        <f t="shared" si="6"/>
        <v>-4.5254240631163718</v>
      </c>
      <c r="M13" s="226">
        <f t="shared" ref="M13:N13" si="7">M9</f>
        <v>22.530999999999999</v>
      </c>
      <c r="N13" s="226">
        <f t="shared" si="7"/>
        <v>39.177999999999997</v>
      </c>
      <c r="O13" s="226">
        <f>O9</f>
        <v>58.454000000000008</v>
      </c>
      <c r="P13" s="270">
        <f>P9</f>
        <v>79.778000000000006</v>
      </c>
      <c r="Q13" s="226">
        <f t="shared" ref="Q13:U13" si="8">Q11+Q12</f>
        <v>87.623089254963986</v>
      </c>
      <c r="R13" s="226">
        <f t="shared" si="8"/>
        <v>104.00511818077514</v>
      </c>
      <c r="S13" s="226">
        <f t="shared" si="8"/>
        <v>123.2743760115396</v>
      </c>
      <c r="T13" s="226">
        <f t="shared" si="8"/>
        <v>143.20910492160189</v>
      </c>
      <c r="U13" s="226">
        <f t="shared" si="8"/>
        <v>162.92692689013563</v>
      </c>
      <c r="V13" s="226">
        <f t="shared" ref="V13" si="9">V11+V12</f>
        <v>183.48301049406484</v>
      </c>
      <c r="W13" s="226">
        <f t="shared" ref="W13:X13" si="10">W11+W12</f>
        <v>204.64667492913162</v>
      </c>
      <c r="X13" s="226">
        <f t="shared" si="10"/>
        <v>226.39649107803905</v>
      </c>
      <c r="Y13" s="226">
        <f t="shared" ref="Y13" si="11">Y11+Y12</f>
        <v>248.71185261986938</v>
      </c>
      <c r="AA13" s="207"/>
      <c r="AG13" s="204"/>
    </row>
    <row r="14" spans="2:33" ht="7.95" customHeight="1">
      <c r="C14" s="21"/>
      <c r="D14" s="49"/>
      <c r="E14" s="36"/>
      <c r="F14" s="36"/>
      <c r="G14" s="367"/>
      <c r="H14" s="36"/>
      <c r="I14" s="36"/>
      <c r="J14" s="367"/>
      <c r="K14" s="367"/>
      <c r="L14" s="367"/>
      <c r="M14" s="367"/>
      <c r="N14" s="367"/>
      <c r="O14" s="367"/>
      <c r="P14" s="258"/>
      <c r="Q14" s="36"/>
      <c r="R14" s="36"/>
      <c r="S14" s="36"/>
      <c r="T14" s="36"/>
      <c r="U14" s="36"/>
      <c r="V14" s="36"/>
      <c r="W14" s="36"/>
      <c r="X14" s="36"/>
      <c r="Y14" s="36"/>
      <c r="AA14" s="6"/>
    </row>
    <row r="15" spans="2:33" ht="13.95" customHeight="1">
      <c r="B15" s="6" t="s">
        <v>20</v>
      </c>
      <c r="C15" s="21" t="str">
        <f>C13</f>
        <v>S$m</v>
      </c>
      <c r="D15" s="49">
        <f t="shared" ref="D15:J15" si="12">SUM(D16:D17)</f>
        <v>0</v>
      </c>
      <c r="E15" s="49"/>
      <c r="F15" s="49"/>
      <c r="G15" s="361"/>
      <c r="H15" s="49">
        <f t="shared" si="12"/>
        <v>0</v>
      </c>
      <c r="I15" s="49">
        <f t="shared" si="12"/>
        <v>0</v>
      </c>
      <c r="J15" s="367">
        <f t="shared" si="12"/>
        <v>0</v>
      </c>
      <c r="K15" s="367">
        <f>SUM(K16:K17)</f>
        <v>0</v>
      </c>
      <c r="L15" s="367">
        <f>SUM(L16:L17)</f>
        <v>0.18070019723865879</v>
      </c>
      <c r="M15" s="367">
        <f>SUM(M16:M17)</f>
        <v>4.3999999999999997E-2</v>
      </c>
      <c r="N15" s="367">
        <f>SUM(N16:N17)</f>
        <v>0.81200000000000006</v>
      </c>
      <c r="O15" s="367">
        <f>SUM(O16:O17)</f>
        <v>1.575</v>
      </c>
      <c r="P15" s="258">
        <f>'2. Income'!O35*10%</f>
        <v>9.6700000000000008E-2</v>
      </c>
      <c r="Q15" s="49">
        <f>'2. Income'!P35*10%</f>
        <v>0.17386506533285301</v>
      </c>
      <c r="R15" s="49">
        <f>'2. Income'!Q35*10%</f>
        <v>0.28021074691064973</v>
      </c>
      <c r="S15" s="49">
        <f>'2. Income'!R35*10%</f>
        <v>0.41892226348220202</v>
      </c>
      <c r="T15" s="49">
        <f>'2. Income'!S35*10%</f>
        <v>0.59927046534720363</v>
      </c>
      <c r="U15" s="49">
        <f>'2. Income'!T35*10%</f>
        <v>0.81135677693756536</v>
      </c>
      <c r="V15" s="49">
        <f>'2. Income'!U35*10%</f>
        <v>1.0561981091835333</v>
      </c>
      <c r="W15" s="49">
        <f>'2. Income'!V35*10%</f>
        <v>1.336744140794053</v>
      </c>
      <c r="X15" s="49">
        <f>'2. Income'!W35*10%</f>
        <v>1.6554648938912864</v>
      </c>
      <c r="Y15" s="49">
        <f>'2. Income'!X35*10%</f>
        <v>2.0146903926054454</v>
      </c>
    </row>
    <row r="16" spans="2:33" ht="13.95" customHeight="1" outlineLevel="1">
      <c r="B16" s="79" t="s">
        <v>51</v>
      </c>
      <c r="C16" s="21" t="str">
        <f>C15</f>
        <v>S$m</v>
      </c>
      <c r="D16" s="49">
        <v>0</v>
      </c>
      <c r="E16" s="352"/>
      <c r="F16" s="352"/>
      <c r="G16" s="352"/>
      <c r="H16" s="80">
        <v>0</v>
      </c>
      <c r="I16" s="80">
        <v>0</v>
      </c>
      <c r="J16" s="487">
        <v>0</v>
      </c>
      <c r="K16" s="487">
        <v>0</v>
      </c>
      <c r="L16" s="487">
        <f>(365/507)*0.251</f>
        <v>0.18070019723865879</v>
      </c>
      <c r="M16" s="487">
        <v>4.3999999999999997E-2</v>
      </c>
      <c r="N16" s="487">
        <v>0.81200000000000006</v>
      </c>
      <c r="O16" s="487">
        <v>1.575</v>
      </c>
      <c r="P16" s="290">
        <v>1.4730000000000001</v>
      </c>
      <c r="Q16" s="54"/>
      <c r="R16" s="54"/>
      <c r="S16" s="54"/>
      <c r="T16" s="54"/>
      <c r="U16" s="54"/>
      <c r="V16" s="54"/>
      <c r="W16" s="54"/>
      <c r="X16" s="54"/>
      <c r="Y16" s="54"/>
      <c r="AA16" s="560"/>
    </row>
    <row r="17" spans="2:71" ht="13.95" customHeight="1" outlineLevel="1">
      <c r="B17" s="79" t="s">
        <v>53</v>
      </c>
      <c r="C17" s="21" t="str">
        <f t="shared" ref="C17:C20" si="13">C15</f>
        <v>S$m</v>
      </c>
      <c r="D17" s="49">
        <v>0</v>
      </c>
      <c r="E17" s="80"/>
      <c r="F17" s="80"/>
      <c r="G17" s="352"/>
      <c r="H17" s="80">
        <v>0</v>
      </c>
      <c r="I17" s="80">
        <v>0</v>
      </c>
      <c r="J17" s="487">
        <v>0</v>
      </c>
      <c r="K17" s="487">
        <v>0</v>
      </c>
      <c r="L17" s="487">
        <v>0</v>
      </c>
      <c r="M17" s="487">
        <v>0</v>
      </c>
      <c r="N17" s="487">
        <v>0</v>
      </c>
      <c r="O17" s="487"/>
      <c r="P17" s="290"/>
      <c r="Q17" s="54"/>
      <c r="R17" s="54"/>
      <c r="S17" s="54"/>
      <c r="T17" s="54"/>
      <c r="U17" s="54"/>
      <c r="V17" s="54"/>
      <c r="W17" s="54"/>
      <c r="X17" s="54"/>
      <c r="Y17" s="54"/>
      <c r="AA17" s="560"/>
    </row>
    <row r="18" spans="2:71" ht="13.95" customHeight="1">
      <c r="B18" s="6" t="s">
        <v>54</v>
      </c>
      <c r="C18" s="21" t="str">
        <f t="shared" si="13"/>
        <v>S$m</v>
      </c>
      <c r="D18" s="49">
        <v>0</v>
      </c>
      <c r="E18" s="82"/>
      <c r="F18" s="82"/>
      <c r="G18" s="352"/>
      <c r="H18" s="82">
        <v>0</v>
      </c>
      <c r="I18" s="82">
        <v>0</v>
      </c>
      <c r="J18" s="488">
        <v>0</v>
      </c>
      <c r="K18" s="488">
        <v>0</v>
      </c>
      <c r="L18" s="488">
        <v>0</v>
      </c>
      <c r="M18" s="488">
        <v>0</v>
      </c>
      <c r="N18" s="488">
        <v>-2.1000000000000001E-2</v>
      </c>
      <c r="O18" s="488">
        <v>-3.5000000000000003E-2</v>
      </c>
      <c r="P18" s="794">
        <v>-5.1999999999999998E-2</v>
      </c>
      <c r="Q18" s="83"/>
      <c r="R18" s="83"/>
      <c r="S18" s="83"/>
      <c r="T18" s="83">
        <f>'2. Income'!S37</f>
        <v>-12.423350587097767</v>
      </c>
      <c r="U18" s="83">
        <f>'2. Income'!T37</f>
        <v>-16.317034480310873</v>
      </c>
      <c r="V18" s="83">
        <f>'2. Income'!U37</f>
        <v>-20.307507307400144</v>
      </c>
      <c r="W18" s="83">
        <f>'2. Income'!V37</f>
        <v>-24.429989709790089</v>
      </c>
      <c r="X18" s="83">
        <f>'2. Income'!W37</f>
        <v>-28.714204622076092</v>
      </c>
      <c r="Y18" s="83">
        <f>'2. Income'!X37</f>
        <v>-33.18609964056688</v>
      </c>
    </row>
    <row r="19" spans="2:71" ht="13.95" customHeight="1">
      <c r="B19" s="157" t="s">
        <v>152</v>
      </c>
      <c r="C19" s="29" t="str">
        <f t="shared" si="13"/>
        <v>S$m</v>
      </c>
      <c r="D19" s="215"/>
      <c r="E19" s="339"/>
      <c r="F19" s="339"/>
      <c r="G19" s="360"/>
      <c r="H19" s="339">
        <f t="shared" ref="H19:J19" si="14">H20-H18-H17-H16-H8-H7</f>
        <v>0</v>
      </c>
      <c r="I19" s="339">
        <f t="shared" si="14"/>
        <v>0</v>
      </c>
      <c r="J19" s="339">
        <f t="shared" si="14"/>
        <v>0</v>
      </c>
      <c r="K19" s="339">
        <f t="shared" ref="K19:P19" si="15">K20-K18-K17-K16-K8-K7</f>
        <v>0</v>
      </c>
      <c r="L19" s="339">
        <f t="shared" si="15"/>
        <v>0</v>
      </c>
      <c r="M19" s="339">
        <f t="shared" si="15"/>
        <v>0</v>
      </c>
      <c r="N19" s="339">
        <f t="shared" si="15"/>
        <v>0</v>
      </c>
      <c r="O19" s="339">
        <f t="shared" si="15"/>
        <v>0</v>
      </c>
      <c r="P19" s="503">
        <f t="shared" si="15"/>
        <v>0</v>
      </c>
      <c r="Q19" s="215"/>
      <c r="R19" s="215"/>
      <c r="S19" s="215"/>
      <c r="T19" s="215"/>
      <c r="U19" s="215"/>
      <c r="V19" s="215"/>
      <c r="W19" s="215"/>
      <c r="X19" s="215"/>
      <c r="Y19" s="215"/>
    </row>
    <row r="20" spans="2:71" s="33" customFormat="1" ht="13.95" customHeight="1">
      <c r="B20" s="84" t="s">
        <v>55</v>
      </c>
      <c r="C20" s="38" t="str">
        <f t="shared" si="13"/>
        <v>S$m</v>
      </c>
      <c r="D20" s="85" t="e">
        <f>D9+D15+D18+#REF!</f>
        <v>#REF!</v>
      </c>
      <c r="E20" s="340"/>
      <c r="F20" s="340"/>
      <c r="G20" s="340"/>
      <c r="H20" s="340">
        <f>H13</f>
        <v>-2.1779999999999999</v>
      </c>
      <c r="I20" s="340">
        <f t="shared" ref="I20:K20" si="16">I13</f>
        <v>-1.5720000000000001</v>
      </c>
      <c r="J20" s="340">
        <f t="shared" si="16"/>
        <v>-2.6829999999999998</v>
      </c>
      <c r="K20" s="340">
        <f t="shared" si="16"/>
        <v>-3.4000000000000004</v>
      </c>
      <c r="L20" s="489">
        <f>-6.035*(365/507)</f>
        <v>-4.3447238658777119</v>
      </c>
      <c r="M20" s="489">
        <v>22.574999999999999</v>
      </c>
      <c r="N20" s="489">
        <v>39.969000000000001</v>
      </c>
      <c r="O20" s="489">
        <v>59.994</v>
      </c>
      <c r="P20" s="504">
        <v>81.198999999999998</v>
      </c>
      <c r="Q20" s="85">
        <f t="shared" ref="Q20:U20" si="17">Q13+Q15+Q18+Q19</f>
        <v>87.796954320296834</v>
      </c>
      <c r="R20" s="85">
        <f t="shared" si="17"/>
        <v>104.2853289276858</v>
      </c>
      <c r="S20" s="85">
        <f t="shared" si="17"/>
        <v>123.6932982750218</v>
      </c>
      <c r="T20" s="85">
        <f t="shared" si="17"/>
        <v>131.38502479985135</v>
      </c>
      <c r="U20" s="85">
        <f t="shared" si="17"/>
        <v>147.42124918676234</v>
      </c>
      <c r="V20" s="85">
        <f t="shared" ref="V20" si="18">V13+V15+V18+V19</f>
        <v>164.23170129584821</v>
      </c>
      <c r="W20" s="85">
        <f t="shared" ref="W20:X20" si="19">W13+W15+W18+W19</f>
        <v>181.5534293601356</v>
      </c>
      <c r="X20" s="85">
        <f t="shared" si="19"/>
        <v>199.33775134985424</v>
      </c>
      <c r="Y20" s="85">
        <f t="shared" ref="Y20" si="20">Y13+Y15+Y18+Y19</f>
        <v>217.54044337190794</v>
      </c>
      <c r="AG20" s="643"/>
    </row>
    <row r="21" spans="2:71" s="33" customFormat="1" ht="13.95" customHeight="1">
      <c r="B21" s="86"/>
      <c r="C21" s="329"/>
      <c r="D21" s="87"/>
      <c r="E21" s="85"/>
      <c r="F21" s="85"/>
      <c r="G21" s="85"/>
      <c r="H21" s="85"/>
      <c r="I21" s="85"/>
      <c r="J21" s="490"/>
      <c r="K21" s="490"/>
      <c r="L21" s="490"/>
      <c r="M21" s="490"/>
      <c r="N21" s="490"/>
      <c r="O21" s="490"/>
      <c r="P21" s="291"/>
      <c r="Q21" s="85"/>
      <c r="R21" s="85"/>
      <c r="S21" s="85"/>
      <c r="T21" s="85"/>
      <c r="U21" s="85"/>
      <c r="V21" s="85"/>
      <c r="W21" s="85"/>
      <c r="X21" s="85"/>
      <c r="Y21" s="85"/>
      <c r="Z21" s="173"/>
      <c r="AB21" s="174"/>
      <c r="AG21" s="643"/>
    </row>
    <row r="22" spans="2:71" s="35" customFormat="1" ht="13.95" customHeight="1">
      <c r="B22" s="90" t="s">
        <v>56</v>
      </c>
      <c r="C22" s="330"/>
      <c r="D22" s="92"/>
      <c r="E22" s="91"/>
      <c r="F22" s="91"/>
      <c r="G22" s="91"/>
      <c r="H22" s="91"/>
      <c r="I22" s="91"/>
      <c r="J22" s="491"/>
      <c r="K22" s="491"/>
      <c r="L22" s="491"/>
      <c r="M22" s="491"/>
      <c r="N22" s="491"/>
      <c r="O22" s="491"/>
      <c r="P22" s="293"/>
      <c r="Q22" s="91"/>
      <c r="R22" s="91"/>
      <c r="S22" s="91"/>
      <c r="T22" s="91"/>
      <c r="U22" s="91"/>
      <c r="V22" s="91"/>
      <c r="W22" s="91"/>
      <c r="X22" s="91"/>
      <c r="Y22" s="91"/>
      <c r="Z22" s="173"/>
      <c r="AB22" s="174"/>
      <c r="AG22" s="329"/>
    </row>
    <row r="23" spans="2:71" s="35" customFormat="1" ht="13.95" customHeight="1">
      <c r="B23" s="41" t="s">
        <v>197</v>
      </c>
      <c r="C23" s="64" t="str">
        <f>C18</f>
        <v>S$m</v>
      </c>
      <c r="D23" s="83"/>
      <c r="E23" s="352"/>
      <c r="F23" s="352"/>
      <c r="G23" s="352"/>
      <c r="H23" s="352">
        <v>-1.1639999999999999</v>
      </c>
      <c r="I23" s="82">
        <v>-63.26</v>
      </c>
      <c r="J23" s="488">
        <v>-80.632000000000005</v>
      </c>
      <c r="K23" s="488">
        <f>(-63.302*2)</f>
        <v>-126.604</v>
      </c>
      <c r="L23" s="487">
        <f>(365/507)*-45.268</f>
        <v>-32.589388560157794</v>
      </c>
      <c r="M23" s="487">
        <v>-35.079000000000001</v>
      </c>
      <c r="N23" s="487">
        <v>-43.392000000000003</v>
      </c>
      <c r="O23" s="487">
        <v>-45.811999999999998</v>
      </c>
      <c r="P23" s="290">
        <v>-54.124000000000002</v>
      </c>
      <c r="Q23" s="83">
        <f>-'1.Assumptions'!Q125</f>
        <v>-53.448788284564131</v>
      </c>
      <c r="R23" s="83">
        <f>-'1.Assumptions'!R125</f>
        <v>-52.710397601961972</v>
      </c>
      <c r="S23" s="83">
        <f>-'1.Assumptions'!S125</f>
        <v>-48.601993425187906</v>
      </c>
      <c r="T23" s="83">
        <f>-'1.Assumptions'!T125</f>
        <v>-41.10837632275171</v>
      </c>
      <c r="U23" s="83">
        <f>-'1.Assumptions'!U125</f>
        <v>-42.60227859601283</v>
      </c>
      <c r="V23" s="83">
        <f>-'1.Assumptions'!V125</f>
        <v>-43.408844585493895</v>
      </c>
      <c r="W23" s="83">
        <f>-'1.Assumptions'!W125</f>
        <v>-43.548784804417402</v>
      </c>
      <c r="X23" s="83">
        <f>-'1.Assumptions'!X125</f>
        <v>-43.039504121809443</v>
      </c>
      <c r="Y23" s="83">
        <f>-'1.Assumptions'!Y125</f>
        <v>-41.897531361571176</v>
      </c>
      <c r="Z23" s="172"/>
      <c r="AB23" s="175"/>
      <c r="AG23" s="329"/>
    </row>
    <row r="24" spans="2:71" s="35" customFormat="1" ht="13.95" customHeight="1">
      <c r="B24" s="41" t="s">
        <v>0</v>
      </c>
      <c r="C24" s="64" t="str">
        <f>C23</f>
        <v>S$m</v>
      </c>
      <c r="D24" s="52"/>
      <c r="E24" s="359"/>
      <c r="F24" s="359"/>
      <c r="G24" s="359"/>
      <c r="H24" s="359">
        <v>0</v>
      </c>
      <c r="I24" s="161">
        <v>0</v>
      </c>
      <c r="J24" s="161">
        <v>0</v>
      </c>
      <c r="K24" s="161">
        <v>0</v>
      </c>
      <c r="L24" s="487">
        <v>0</v>
      </c>
      <c r="M24" s="487">
        <v>0</v>
      </c>
      <c r="N24" s="487"/>
      <c r="O24" s="487"/>
      <c r="P24" s="290"/>
      <c r="Q24" s="52"/>
      <c r="R24" s="52"/>
      <c r="S24" s="52"/>
      <c r="T24" s="52"/>
      <c r="U24" s="52"/>
      <c r="V24" s="52"/>
      <c r="W24" s="52"/>
      <c r="X24" s="52"/>
      <c r="Y24" s="52"/>
      <c r="AB24" s="176"/>
      <c r="AG24" s="329"/>
      <c r="BO24" s="35" t="s">
        <v>57</v>
      </c>
      <c r="BP24" s="35">
        <v>6</v>
      </c>
      <c r="BQ24" s="35" t="s">
        <v>52</v>
      </c>
      <c r="BR24" s="35" t="b">
        <v>0</v>
      </c>
      <c r="BS24" s="35" t="b">
        <v>0</v>
      </c>
    </row>
    <row r="25" spans="2:71" s="35" customFormat="1" ht="13.95" customHeight="1">
      <c r="B25" s="41" t="s">
        <v>58</v>
      </c>
      <c r="C25" s="64" t="str">
        <f>C24</f>
        <v>S$m</v>
      </c>
      <c r="D25" s="83"/>
      <c r="E25" s="352"/>
      <c r="F25" s="352"/>
      <c r="G25" s="352"/>
      <c r="H25" s="352">
        <v>-130.18299999999999</v>
      </c>
      <c r="I25" s="82">
        <v>-0.224</v>
      </c>
      <c r="J25" s="488">
        <v>-2.4849999999999999</v>
      </c>
      <c r="K25" s="488">
        <f>2*-0.917</f>
        <v>-1.8340000000000001</v>
      </c>
      <c r="L25" s="487">
        <f>(365/507)*-0.089</f>
        <v>-6.407297830374753E-2</v>
      </c>
      <c r="M25" s="487">
        <f>-31-0.991</f>
        <v>-31.991</v>
      </c>
      <c r="N25" s="487">
        <v>-1.19</v>
      </c>
      <c r="O25" s="487">
        <v>-2.1800000000000002</v>
      </c>
      <c r="P25" s="290">
        <v>-0.877</v>
      </c>
      <c r="Q25" s="52">
        <f>-'1.Assumptions'!Q150</f>
        <v>-0.877</v>
      </c>
      <c r="R25" s="52">
        <f>-'1.Assumptions'!R150</f>
        <v>-0.877</v>
      </c>
      <c r="S25" s="52">
        <f>-'1.Assumptions'!S150</f>
        <v>-0.877</v>
      </c>
      <c r="T25" s="52">
        <f>-'1.Assumptions'!T150</f>
        <v>-0.877</v>
      </c>
      <c r="U25" s="52">
        <f>-'1.Assumptions'!U150</f>
        <v>-0.877</v>
      </c>
      <c r="V25" s="52">
        <f>-'1.Assumptions'!V150</f>
        <v>-0.877</v>
      </c>
      <c r="W25" s="52">
        <f>-'1.Assumptions'!W150</f>
        <v>-0.877</v>
      </c>
      <c r="X25" s="52">
        <f>-'1.Assumptions'!X150</f>
        <v>-0.877</v>
      </c>
      <c r="Y25" s="52">
        <f>-'1.Assumptions'!Y150</f>
        <v>-0.877</v>
      </c>
      <c r="AB25" s="174"/>
      <c r="AG25" s="329"/>
    </row>
    <row r="26" spans="2:71" s="35" customFormat="1" ht="13.95" customHeight="1">
      <c r="B26" s="299" t="s">
        <v>152</v>
      </c>
      <c r="C26" s="300" t="str">
        <f t="shared" ref="C26:C27" si="21">C25</f>
        <v>S$m</v>
      </c>
      <c r="D26" s="301"/>
      <c r="E26" s="360"/>
      <c r="F26" s="360"/>
      <c r="G26" s="360"/>
      <c r="H26" s="360">
        <f t="shared" ref="H26:J26" si="22">H27-H25-H24-H23</f>
        <v>-1.5765166949677223E-14</v>
      </c>
      <c r="I26" s="341">
        <f t="shared" si="22"/>
        <v>0</v>
      </c>
      <c r="J26" s="341">
        <f t="shared" si="22"/>
        <v>0</v>
      </c>
      <c r="K26" s="341">
        <f t="shared" ref="K26:P26" si="23">K27-K25-K24-K23</f>
        <v>-1.9999999999953388E-3</v>
      </c>
      <c r="L26" s="341">
        <f t="shared" si="23"/>
        <v>16.181666666666672</v>
      </c>
      <c r="M26" s="341">
        <f t="shared" si="23"/>
        <v>0.60799999999999699</v>
      </c>
      <c r="N26" s="341">
        <f t="shared" si="23"/>
        <v>0</v>
      </c>
      <c r="O26" s="341">
        <f t="shared" si="23"/>
        <v>-0.21800000000000352</v>
      </c>
      <c r="P26" s="505">
        <f t="shared" si="23"/>
        <v>0</v>
      </c>
      <c r="Q26" s="302"/>
      <c r="R26" s="302"/>
      <c r="S26" s="302"/>
      <c r="T26" s="302"/>
      <c r="U26" s="302"/>
      <c r="V26" s="302"/>
      <c r="W26" s="302"/>
      <c r="X26" s="302"/>
      <c r="Y26" s="302"/>
      <c r="AB26" s="175"/>
      <c r="AG26" s="329"/>
    </row>
    <row r="27" spans="2:71" s="33" customFormat="1" ht="13.95" customHeight="1">
      <c r="B27" s="93" t="s">
        <v>59</v>
      </c>
      <c r="C27" s="38" t="str">
        <f t="shared" si="21"/>
        <v>S$m</v>
      </c>
      <c r="D27" s="85">
        <f>D23+SUM(D24:D25)</f>
        <v>0</v>
      </c>
      <c r="E27" s="340"/>
      <c r="F27" s="340"/>
      <c r="G27" s="340"/>
      <c r="H27" s="340">
        <v>-131.34700000000001</v>
      </c>
      <c r="I27" s="340">
        <v>-63.484000000000002</v>
      </c>
      <c r="J27" s="489">
        <v>-83.117000000000004</v>
      </c>
      <c r="K27" s="489">
        <f>-2*64.22</f>
        <v>-128.44</v>
      </c>
      <c r="L27" s="645">
        <f>(365/507)*-22.88</f>
        <v>-16.47179487179487</v>
      </c>
      <c r="M27" s="645">
        <v>-66.462000000000003</v>
      </c>
      <c r="N27" s="645">
        <v>-44.582000000000001</v>
      </c>
      <c r="O27" s="645">
        <v>-48.21</v>
      </c>
      <c r="P27" s="561">
        <f>-60.809+5.808</f>
        <v>-55.000999999999998</v>
      </c>
      <c r="Q27" s="338">
        <f t="shared" ref="Q27:U27" si="24">SUM(Q23:Q26)</f>
        <v>-54.325788284564133</v>
      </c>
      <c r="R27" s="338">
        <f t="shared" si="24"/>
        <v>-53.587397601961975</v>
      </c>
      <c r="S27" s="338">
        <f t="shared" si="24"/>
        <v>-49.478993425187909</v>
      </c>
      <c r="T27" s="338">
        <f t="shared" si="24"/>
        <v>-41.985376322751712</v>
      </c>
      <c r="U27" s="338">
        <f t="shared" si="24"/>
        <v>-43.479278596012833</v>
      </c>
      <c r="V27" s="338">
        <f t="shared" ref="V27" si="25">SUM(V23:V26)</f>
        <v>-44.285844585493898</v>
      </c>
      <c r="W27" s="338">
        <f t="shared" ref="W27:X27" si="26">SUM(W23:W26)</f>
        <v>-44.425784804417404</v>
      </c>
      <c r="X27" s="338">
        <f t="shared" si="26"/>
        <v>-43.916504121809446</v>
      </c>
      <c r="Y27" s="338">
        <f t="shared" ref="Y27" si="27">SUM(Y23:Y26)</f>
        <v>-42.774531361571178</v>
      </c>
      <c r="AA27" s="35"/>
      <c r="AB27" s="176"/>
      <c r="AC27" s="35"/>
      <c r="AD27" s="35"/>
      <c r="AE27" s="35"/>
      <c r="AF27" s="35"/>
      <c r="AG27" s="329"/>
      <c r="AH27" s="35"/>
      <c r="AI27" s="35"/>
      <c r="AJ27" s="35"/>
      <c r="AK27" s="35"/>
      <c r="AL27" s="35"/>
      <c r="AM27" s="35"/>
    </row>
    <row r="28" spans="2:71" s="35" customFormat="1" ht="13.95" customHeight="1">
      <c r="B28" s="93"/>
      <c r="C28" s="331"/>
      <c r="D28" s="89"/>
      <c r="E28" s="85"/>
      <c r="F28" s="85"/>
      <c r="G28" s="85"/>
      <c r="H28" s="85"/>
      <c r="I28" s="85"/>
      <c r="J28" s="490"/>
      <c r="K28" s="490"/>
      <c r="L28" s="490"/>
      <c r="M28" s="490"/>
      <c r="N28" s="490"/>
      <c r="O28" s="490"/>
      <c r="P28" s="291"/>
      <c r="Q28" s="85"/>
      <c r="R28" s="85"/>
      <c r="S28" s="85"/>
      <c r="T28" s="85"/>
      <c r="U28" s="85"/>
      <c r="V28" s="85"/>
      <c r="W28" s="85"/>
      <c r="X28" s="85"/>
      <c r="Y28" s="85"/>
      <c r="AB28" s="174"/>
      <c r="AG28" s="329"/>
    </row>
    <row r="29" spans="2:71" s="35" customFormat="1" ht="13.95" customHeight="1">
      <c r="B29" s="90" t="s">
        <v>60</v>
      </c>
      <c r="C29" s="331"/>
      <c r="D29" s="89"/>
      <c r="E29" s="85"/>
      <c r="F29" s="85"/>
      <c r="G29" s="85"/>
      <c r="H29" s="85"/>
      <c r="I29" s="85"/>
      <c r="J29" s="490"/>
      <c r="K29" s="490"/>
      <c r="L29" s="490"/>
      <c r="M29" s="490"/>
      <c r="N29" s="490"/>
      <c r="O29" s="490"/>
      <c r="P29" s="291"/>
      <c r="Q29" s="85"/>
      <c r="R29" s="85"/>
      <c r="S29" s="85"/>
      <c r="T29" s="85"/>
      <c r="U29" s="85"/>
      <c r="V29" s="85"/>
      <c r="W29" s="85"/>
      <c r="X29" s="85"/>
      <c r="Y29" s="85"/>
      <c r="AB29" s="175"/>
      <c r="AG29" s="329"/>
    </row>
    <row r="30" spans="2:71" s="35" customFormat="1" ht="13.95" customHeight="1">
      <c r="B30" s="95" t="s">
        <v>62</v>
      </c>
      <c r="C30" s="64" t="str">
        <f>C27</f>
        <v>S$m</v>
      </c>
      <c r="D30" s="83"/>
      <c r="E30" s="361"/>
      <c r="F30" s="361"/>
      <c r="G30" s="83"/>
      <c r="H30" s="83">
        <f t="shared" ref="H30:L30" si="28">H31+H32</f>
        <v>0</v>
      </c>
      <c r="I30" s="83">
        <f t="shared" si="28"/>
        <v>0</v>
      </c>
      <c r="J30" s="492">
        <f t="shared" si="28"/>
        <v>0</v>
      </c>
      <c r="K30" s="492">
        <f>K31+K32</f>
        <v>0</v>
      </c>
      <c r="L30" s="492">
        <f t="shared" si="28"/>
        <v>0</v>
      </c>
      <c r="M30" s="492">
        <f t="shared" ref="M30:N30" si="29">M31+M32</f>
        <v>0</v>
      </c>
      <c r="N30" s="492">
        <f t="shared" si="29"/>
        <v>0</v>
      </c>
      <c r="O30" s="492">
        <f>O31+O32</f>
        <v>0</v>
      </c>
      <c r="P30" s="294">
        <f t="shared" ref="P30:U30" si="30">P31+P32</f>
        <v>0</v>
      </c>
      <c r="Q30" s="83">
        <f t="shared" si="30"/>
        <v>0</v>
      </c>
      <c r="R30" s="83">
        <f t="shared" si="30"/>
        <v>0</v>
      </c>
      <c r="S30" s="83">
        <f t="shared" si="30"/>
        <v>0</v>
      </c>
      <c r="T30" s="83">
        <f t="shared" si="30"/>
        <v>0</v>
      </c>
      <c r="U30" s="83">
        <f t="shared" si="30"/>
        <v>0</v>
      </c>
      <c r="V30" s="83">
        <f t="shared" ref="V30" si="31">V31+V32</f>
        <v>0</v>
      </c>
      <c r="W30" s="83">
        <f t="shared" ref="W30:X30" si="32">W31+W32</f>
        <v>0</v>
      </c>
      <c r="X30" s="83">
        <f t="shared" si="32"/>
        <v>0</v>
      </c>
      <c r="Y30" s="83">
        <f t="shared" ref="Y30" si="33">Y31+Y32</f>
        <v>0</v>
      </c>
      <c r="AB30" s="176"/>
      <c r="AG30" s="329"/>
    </row>
    <row r="31" spans="2:71" s="35" customFormat="1" ht="13.95" customHeight="1" outlineLevel="1">
      <c r="B31" s="95" t="s">
        <v>63</v>
      </c>
      <c r="C31" s="64" t="str">
        <f>C30</f>
        <v>S$m</v>
      </c>
      <c r="D31" s="83"/>
      <c r="E31" s="342"/>
      <c r="F31" s="342"/>
      <c r="G31" s="342"/>
      <c r="H31" s="342">
        <v>0</v>
      </c>
      <c r="I31" s="342">
        <v>0</v>
      </c>
      <c r="J31" s="353">
        <v>0</v>
      </c>
      <c r="K31" s="353">
        <v>0</v>
      </c>
      <c r="L31" s="353">
        <v>0</v>
      </c>
      <c r="M31" s="353">
        <v>0</v>
      </c>
      <c r="N31" s="353"/>
      <c r="O31" s="353"/>
      <c r="P31" s="501"/>
      <c r="Q31" s="81"/>
      <c r="R31" s="81"/>
      <c r="S31" s="81"/>
      <c r="T31" s="81"/>
      <c r="U31" s="81"/>
      <c r="V31" s="81"/>
      <c r="W31" s="81"/>
      <c r="X31" s="81"/>
      <c r="Y31" s="81"/>
      <c r="AB31" s="174"/>
      <c r="AG31" s="329"/>
    </row>
    <row r="32" spans="2:71" s="35" customFormat="1" ht="13.95" customHeight="1" outlineLevel="1">
      <c r="B32" s="95" t="s">
        <v>64</v>
      </c>
      <c r="C32" s="64" t="str">
        <f t="shared" ref="C32:C37" si="34">C31</f>
        <v>S$m</v>
      </c>
      <c r="D32" s="83"/>
      <c r="E32" s="342"/>
      <c r="F32" s="342"/>
      <c r="G32" s="342"/>
      <c r="H32" s="342">
        <v>0</v>
      </c>
      <c r="I32" s="342">
        <v>0</v>
      </c>
      <c r="J32" s="353">
        <v>0</v>
      </c>
      <c r="K32" s="353">
        <v>0</v>
      </c>
      <c r="L32" s="353">
        <v>0</v>
      </c>
      <c r="M32" s="353">
        <v>0</v>
      </c>
      <c r="N32" s="353"/>
      <c r="O32" s="353"/>
      <c r="P32" s="501"/>
      <c r="Q32" s="348"/>
      <c r="R32" s="348"/>
      <c r="S32" s="348"/>
      <c r="T32" s="348"/>
      <c r="U32" s="348"/>
      <c r="V32" s="348"/>
      <c r="W32" s="348"/>
      <c r="X32" s="348"/>
      <c r="Y32" s="348"/>
      <c r="AB32" s="175"/>
      <c r="AG32" s="329"/>
    </row>
    <row r="33" spans="2:39" s="35" customFormat="1" ht="13.95" customHeight="1">
      <c r="B33" s="95" t="s">
        <v>61</v>
      </c>
      <c r="C33" s="64" t="str">
        <f t="shared" si="34"/>
        <v>S$m</v>
      </c>
      <c r="D33" s="83"/>
      <c r="E33" s="352"/>
      <c r="F33" s="352"/>
      <c r="G33" s="352"/>
      <c r="H33" s="352">
        <v>1</v>
      </c>
      <c r="I33" s="82">
        <v>0</v>
      </c>
      <c r="J33" s="488">
        <v>0</v>
      </c>
      <c r="K33" s="488">
        <v>0</v>
      </c>
      <c r="L33" s="487">
        <f>(365/507)*88.449</f>
        <v>63.676301775147927</v>
      </c>
      <c r="M33" s="487">
        <v>0</v>
      </c>
      <c r="N33" s="487"/>
      <c r="O33" s="487"/>
      <c r="P33" s="290"/>
      <c r="Q33" s="83"/>
      <c r="R33" s="83"/>
      <c r="S33" s="83"/>
      <c r="T33" s="83"/>
      <c r="U33" s="83"/>
      <c r="V33" s="83"/>
      <c r="W33" s="83"/>
      <c r="X33" s="83"/>
      <c r="Y33" s="83"/>
      <c r="AB33" s="176"/>
      <c r="AG33" s="329"/>
    </row>
    <row r="34" spans="2:39" s="35" customFormat="1" ht="13.95" customHeight="1">
      <c r="B34" s="95" t="s">
        <v>65</v>
      </c>
      <c r="C34" s="64" t="str">
        <f t="shared" si="34"/>
        <v>S$m</v>
      </c>
      <c r="D34" s="83"/>
      <c r="E34" s="352"/>
      <c r="F34" s="352"/>
      <c r="G34" s="352"/>
      <c r="H34" s="352">
        <v>0</v>
      </c>
      <c r="I34" s="82">
        <v>0</v>
      </c>
      <c r="J34" s="488">
        <v>0</v>
      </c>
      <c r="K34" s="488">
        <v>0</v>
      </c>
      <c r="L34" s="487">
        <v>0</v>
      </c>
      <c r="M34" s="487">
        <v>0</v>
      </c>
      <c r="N34" s="487"/>
      <c r="O34" s="487"/>
      <c r="P34" s="290">
        <f>-'1.Assumptions'!P178*'1.Assumptions'!P186/100</f>
        <v>0</v>
      </c>
      <c r="Q34" s="83">
        <f>-'1.Assumptions'!Q178*'1.Assumptions'!Q186/100</f>
        <v>0</v>
      </c>
      <c r="R34" s="83">
        <f>-'1.Assumptions'!R178*'1.Assumptions'!R186/100</f>
        <v>0</v>
      </c>
      <c r="S34" s="83">
        <f>-'1.Assumptions'!S178*'1.Assumptions'!S186/100</f>
        <v>0</v>
      </c>
      <c r="T34" s="83">
        <f>-'1.Assumptions'!T178*'1.Assumptions'!T186/100</f>
        <v>0</v>
      </c>
      <c r="U34" s="83">
        <f>-'1.Assumptions'!U178*'1.Assumptions'!U186/100</f>
        <v>0</v>
      </c>
      <c r="V34" s="83">
        <f>-'1.Assumptions'!V178*'1.Assumptions'!V186/100</f>
        <v>0</v>
      </c>
      <c r="W34" s="83">
        <f>-'1.Assumptions'!W178*'1.Assumptions'!W186/100</f>
        <v>0</v>
      </c>
      <c r="X34" s="83">
        <f>-'1.Assumptions'!X178*'1.Assumptions'!X186/100</f>
        <v>0</v>
      </c>
      <c r="Y34" s="83">
        <f>-'1.Assumptions'!Y178*'1.Assumptions'!Y186/100</f>
        <v>0</v>
      </c>
      <c r="AB34" s="174"/>
      <c r="AG34" s="329"/>
    </row>
    <row r="35" spans="2:39" s="35" customFormat="1" ht="13.95" customHeight="1">
      <c r="B35" s="95" t="s">
        <v>240</v>
      </c>
      <c r="C35" s="64" t="str">
        <f t="shared" si="34"/>
        <v>S$m</v>
      </c>
      <c r="D35" s="83"/>
      <c r="E35" s="352"/>
      <c r="F35" s="352"/>
      <c r="G35" s="352"/>
      <c r="H35" s="352">
        <v>0</v>
      </c>
      <c r="I35" s="82">
        <v>0</v>
      </c>
      <c r="J35" s="488">
        <v>0</v>
      </c>
      <c r="K35" s="488">
        <f>-0.346*2</f>
        <v>-0.69199999999999995</v>
      </c>
      <c r="L35" s="487">
        <f>(365/507)*-0.669</f>
        <v>-0.48162721893491128</v>
      </c>
      <c r="M35" s="487">
        <v>-0.51200000000000001</v>
      </c>
      <c r="N35" s="487">
        <v>-0.55300000000000005</v>
      </c>
      <c r="O35" s="487">
        <v>-0.56399999999999995</v>
      </c>
      <c r="P35" s="290">
        <v>-0.59</v>
      </c>
      <c r="Q35" s="664">
        <f t="shared" ref="Q35:Y35" si="35">P35*1.05</f>
        <v>-0.61949999999999994</v>
      </c>
      <c r="R35" s="664">
        <f t="shared" si="35"/>
        <v>-0.65047499999999991</v>
      </c>
      <c r="S35" s="664">
        <f t="shared" si="35"/>
        <v>-0.68299874999999999</v>
      </c>
      <c r="T35" s="664">
        <f t="shared" si="35"/>
        <v>-0.71714868750000005</v>
      </c>
      <c r="U35" s="664">
        <f t="shared" si="35"/>
        <v>-0.75300612187500005</v>
      </c>
      <c r="V35" s="664">
        <f t="shared" si="35"/>
        <v>-0.79065642796875013</v>
      </c>
      <c r="W35" s="664">
        <f t="shared" si="35"/>
        <v>-0.83018924936718763</v>
      </c>
      <c r="X35" s="664">
        <f t="shared" si="35"/>
        <v>-0.87169871183554704</v>
      </c>
      <c r="Y35" s="664">
        <f t="shared" si="35"/>
        <v>-0.91528364742732438</v>
      </c>
      <c r="AB35" s="175"/>
      <c r="AG35" s="329"/>
    </row>
    <row r="36" spans="2:39" s="35" customFormat="1" ht="13.95" customHeight="1">
      <c r="B36" s="303" t="s">
        <v>152</v>
      </c>
      <c r="C36" s="300" t="str">
        <f t="shared" si="34"/>
        <v>S$m</v>
      </c>
      <c r="D36" s="301"/>
      <c r="E36" s="360"/>
      <c r="F36" s="360"/>
      <c r="G36" s="360"/>
      <c r="H36" s="360">
        <f t="shared" ref="H36:J36" si="36">H37-H34-H33-H32-H31</f>
        <v>133.58500000000001</v>
      </c>
      <c r="I36" s="341">
        <f t="shared" si="36"/>
        <v>80.650000000000006</v>
      </c>
      <c r="J36" s="341">
        <f t="shared" si="36"/>
        <v>69.997</v>
      </c>
      <c r="K36" s="341">
        <f t="shared" ref="K36:P36" si="37">K37-K34-K33-K32-K31-K35</f>
        <v>137.81200000000001</v>
      </c>
      <c r="L36" s="341">
        <f t="shared" si="37"/>
        <v>-0.21813609467454792</v>
      </c>
      <c r="M36" s="341">
        <f t="shared" si="37"/>
        <v>-3.2000000000000028E-2</v>
      </c>
      <c r="N36" s="341">
        <f t="shared" si="37"/>
        <v>-2.8999999999999915E-2</v>
      </c>
      <c r="O36" s="341">
        <f t="shared" si="37"/>
        <v>-2.300000000000002E-2</v>
      </c>
      <c r="P36" s="505">
        <f t="shared" si="37"/>
        <v>-1.6000000000000014E-2</v>
      </c>
      <c r="Q36" s="360"/>
      <c r="R36" s="360"/>
      <c r="S36" s="360"/>
      <c r="T36" s="360"/>
      <c r="U36" s="360"/>
      <c r="V36" s="360"/>
      <c r="W36" s="360"/>
      <c r="X36" s="360"/>
      <c r="Y36" s="360"/>
      <c r="AB36" s="176"/>
      <c r="AG36" s="329"/>
    </row>
    <row r="37" spans="2:39" s="35" customFormat="1" ht="13.95" customHeight="1">
      <c r="B37" s="96" t="s">
        <v>66</v>
      </c>
      <c r="C37" s="38" t="str">
        <f t="shared" si="34"/>
        <v>S$m</v>
      </c>
      <c r="D37" s="85">
        <f ca="1">SUM(D33:D37,D34:D34)</f>
        <v>0</v>
      </c>
      <c r="E37" s="340"/>
      <c r="F37" s="340"/>
      <c r="G37" s="340"/>
      <c r="H37" s="340">
        <v>134.58500000000001</v>
      </c>
      <c r="I37" s="340">
        <v>80.650000000000006</v>
      </c>
      <c r="J37" s="489">
        <v>69.997</v>
      </c>
      <c r="K37" s="489">
        <f>2*68.56</f>
        <v>137.12</v>
      </c>
      <c r="L37" s="645">
        <f>(365/507)*87.477</f>
        <v>62.976538461538468</v>
      </c>
      <c r="M37" s="645">
        <v>-0.54400000000000004</v>
      </c>
      <c r="N37" s="645">
        <v>-0.58199999999999996</v>
      </c>
      <c r="O37" s="645">
        <v>-0.58699999999999997</v>
      </c>
      <c r="P37" s="561">
        <v>-0.60599999999999998</v>
      </c>
      <c r="Q37" s="85">
        <f t="shared" ref="Q37:V37" si="38">Q30+Q33+Q34+Q36+Q35</f>
        <v>-0.61949999999999994</v>
      </c>
      <c r="R37" s="85">
        <f t="shared" si="38"/>
        <v>-0.65047499999999991</v>
      </c>
      <c r="S37" s="85">
        <f t="shared" si="38"/>
        <v>-0.68299874999999999</v>
      </c>
      <c r="T37" s="85">
        <f t="shared" si="38"/>
        <v>-0.71714868750000005</v>
      </c>
      <c r="U37" s="85">
        <f t="shared" si="38"/>
        <v>-0.75300612187500005</v>
      </c>
      <c r="V37" s="85">
        <f t="shared" si="38"/>
        <v>-0.79065642796875013</v>
      </c>
      <c r="W37" s="85">
        <f t="shared" ref="W37:X37" si="39">W30+W33+W34+W36+W35</f>
        <v>-0.83018924936718763</v>
      </c>
      <c r="X37" s="85">
        <f t="shared" si="39"/>
        <v>-0.87169871183554704</v>
      </c>
      <c r="Y37" s="85">
        <f t="shared" ref="Y37" si="40">Y30+Y33+Y34+Y36+Y35</f>
        <v>-0.91528364742732438</v>
      </c>
      <c r="AB37" s="174"/>
      <c r="AG37" s="329"/>
    </row>
    <row r="38" spans="2:39">
      <c r="E38" s="1"/>
      <c r="AA38" s="35"/>
      <c r="AB38" s="175"/>
      <c r="AC38" s="35"/>
      <c r="AD38" s="35"/>
      <c r="AE38" s="35"/>
      <c r="AF38" s="35"/>
      <c r="AG38" s="329"/>
      <c r="AH38" s="35"/>
      <c r="AI38" s="35"/>
      <c r="AJ38" s="35"/>
      <c r="AK38" s="35"/>
      <c r="AL38" s="35"/>
      <c r="AM38" s="35"/>
    </row>
    <row r="39" spans="2:39" ht="13.95" customHeight="1">
      <c r="B39" s="743" t="s">
        <v>67</v>
      </c>
      <c r="C39" s="744" t="str">
        <f>C37</f>
        <v>S$m</v>
      </c>
      <c r="D39" s="737" t="e">
        <f t="shared" ref="D39:L39" ca="1" si="41">D20+D27+D37</f>
        <v>#REF!</v>
      </c>
      <c r="E39" s="737"/>
      <c r="F39" s="737"/>
      <c r="G39" s="737"/>
      <c r="H39" s="737">
        <f t="shared" si="41"/>
        <v>1.0600000000000023</v>
      </c>
      <c r="I39" s="737">
        <f t="shared" si="41"/>
        <v>15.594000000000008</v>
      </c>
      <c r="J39" s="745">
        <f t="shared" si="41"/>
        <v>-15.803000000000011</v>
      </c>
      <c r="K39" s="745">
        <f>K20+K27+K37</f>
        <v>5.2800000000000011</v>
      </c>
      <c r="L39" s="745">
        <f t="shared" si="41"/>
        <v>42.160019723865886</v>
      </c>
      <c r="M39" s="745">
        <f t="shared" ref="M39:N39" si="42">M20+M27+M37</f>
        <v>-44.430999999999997</v>
      </c>
      <c r="N39" s="745">
        <f t="shared" si="42"/>
        <v>-5.1949999999999994</v>
      </c>
      <c r="O39" s="745">
        <f>O20+O27+O37</f>
        <v>11.196999999999999</v>
      </c>
      <c r="P39" s="746">
        <f t="shared" ref="P39:U39" si="43">P20+P27+P37</f>
        <v>25.591999999999999</v>
      </c>
      <c r="Q39" s="737">
        <f t="shared" si="43"/>
        <v>32.851666035732698</v>
      </c>
      <c r="R39" s="737">
        <f t="shared" si="43"/>
        <v>50.047456325723822</v>
      </c>
      <c r="S39" s="737">
        <f t="shared" si="43"/>
        <v>73.531306099833898</v>
      </c>
      <c r="T39" s="737">
        <f t="shared" si="43"/>
        <v>88.682499789599646</v>
      </c>
      <c r="U39" s="737">
        <f t="shared" si="43"/>
        <v>103.1889644688745</v>
      </c>
      <c r="V39" s="737">
        <f t="shared" ref="V39" si="44">V20+V27+V37</f>
        <v>119.15520028238556</v>
      </c>
      <c r="W39" s="737">
        <f t="shared" ref="W39:X39" si="45">W20+W27+W37</f>
        <v>136.297455306351</v>
      </c>
      <c r="X39" s="737">
        <f t="shared" si="45"/>
        <v>154.54954851620926</v>
      </c>
      <c r="Y39" s="737">
        <f t="shared" ref="Y39" si="46">Y20+Y27+Y37</f>
        <v>173.85062836290945</v>
      </c>
      <c r="AA39" s="35"/>
      <c r="AB39" s="176"/>
      <c r="AC39" s="35"/>
      <c r="AD39" s="35"/>
      <c r="AE39" s="35"/>
      <c r="AF39" s="35"/>
      <c r="AG39" s="329"/>
      <c r="AH39" s="35"/>
      <c r="AI39" s="35"/>
      <c r="AJ39" s="35"/>
      <c r="AK39" s="35"/>
      <c r="AL39" s="35"/>
      <c r="AM39" s="35"/>
    </row>
    <row r="40" spans="2:39" ht="13.95" customHeight="1">
      <c r="B40" s="97" t="s">
        <v>266</v>
      </c>
      <c r="C40" s="21" t="str">
        <f>C39</f>
        <v>S$m</v>
      </c>
      <c r="D40" s="49"/>
      <c r="E40" s="347"/>
      <c r="F40" s="347"/>
      <c r="G40" s="347"/>
      <c r="H40" s="347"/>
      <c r="I40" s="347"/>
      <c r="J40" s="507"/>
      <c r="K40" s="507"/>
      <c r="L40" s="507">
        <f>L42-L41-L39</f>
        <v>49.949980276134113</v>
      </c>
      <c r="M40" s="507">
        <f>61.035</f>
        <v>61.034999999999997</v>
      </c>
      <c r="N40" s="507">
        <v>49.554000000000002</v>
      </c>
      <c r="O40" s="507">
        <f>N42</f>
        <v>44.002000000000002</v>
      </c>
      <c r="P40" s="514">
        <f>O42</f>
        <v>55.332999999999998</v>
      </c>
      <c r="Q40" s="49">
        <f t="shared" ref="Q40:Y40" si="47">P42</f>
        <v>80.686999999999998</v>
      </c>
      <c r="R40" s="49">
        <f t="shared" si="47"/>
        <v>113.30066603573269</v>
      </c>
      <c r="S40" s="49">
        <f t="shared" si="47"/>
        <v>163.11012236145652</v>
      </c>
      <c r="T40" s="49">
        <f t="shared" si="47"/>
        <v>236.40342846129042</v>
      </c>
      <c r="U40" s="49">
        <f t="shared" si="47"/>
        <v>324.84792825089005</v>
      </c>
      <c r="V40" s="49">
        <f t="shared" si="47"/>
        <v>427.79889271976452</v>
      </c>
      <c r="W40" s="49">
        <f t="shared" si="47"/>
        <v>546.71609300215005</v>
      </c>
      <c r="X40" s="49">
        <f t="shared" si="47"/>
        <v>682.77554830850113</v>
      </c>
      <c r="Y40" s="49">
        <f t="shared" si="47"/>
        <v>837.08709682471044</v>
      </c>
    </row>
    <row r="41" spans="2:39" ht="13.95" customHeight="1">
      <c r="B41" s="97" t="s">
        <v>152</v>
      </c>
      <c r="C41" s="21" t="str">
        <f t="shared" ref="C41:C42" si="48">C40</f>
        <v>S$m</v>
      </c>
      <c r="D41" s="49"/>
      <c r="E41" s="347"/>
      <c r="F41" s="347"/>
      <c r="G41" s="347"/>
      <c r="H41" s="347"/>
      <c r="I41" s="347"/>
      <c r="J41" s="507"/>
      <c r="K41" s="507"/>
      <c r="L41" s="507">
        <v>2.4729999999999999</v>
      </c>
      <c r="M41" s="507">
        <f>M42-M39-M40</f>
        <v>32.950000000000003</v>
      </c>
      <c r="N41" s="507">
        <v>-0.35699999999999998</v>
      </c>
      <c r="O41" s="507">
        <f>O42-O40-O39</f>
        <v>0.13399999999999679</v>
      </c>
      <c r="P41" s="514">
        <f>P42-P40-P39</f>
        <v>-0.23799999999999955</v>
      </c>
      <c r="Q41" s="49">
        <f t="shared" ref="Q41:Y41" si="49">P41</f>
        <v>-0.23799999999999955</v>
      </c>
      <c r="R41" s="49">
        <f t="shared" si="49"/>
        <v>-0.23799999999999955</v>
      </c>
      <c r="S41" s="49">
        <f t="shared" si="49"/>
        <v>-0.23799999999999955</v>
      </c>
      <c r="T41" s="49">
        <f t="shared" si="49"/>
        <v>-0.23799999999999955</v>
      </c>
      <c r="U41" s="49">
        <f t="shared" si="49"/>
        <v>-0.23799999999999955</v>
      </c>
      <c r="V41" s="49">
        <f t="shared" si="49"/>
        <v>-0.23799999999999955</v>
      </c>
      <c r="W41" s="49">
        <f t="shared" si="49"/>
        <v>-0.23799999999999955</v>
      </c>
      <c r="X41" s="49">
        <f t="shared" si="49"/>
        <v>-0.23799999999999955</v>
      </c>
      <c r="Y41" s="49">
        <f t="shared" si="49"/>
        <v>-0.23799999999999955</v>
      </c>
    </row>
    <row r="42" spans="2:39" ht="13.95" customHeight="1">
      <c r="B42" s="97" t="s">
        <v>267</v>
      </c>
      <c r="C42" s="21" t="str">
        <f t="shared" si="48"/>
        <v>S$m</v>
      </c>
      <c r="D42" s="49" t="e">
        <f t="shared" ref="D42:J42" ca="1" si="50">SUM(D39:D41)</f>
        <v>#REF!</v>
      </c>
      <c r="E42" s="49"/>
      <c r="F42" s="49"/>
      <c r="G42" s="49"/>
      <c r="H42" s="49">
        <f t="shared" si="50"/>
        <v>1.0600000000000023</v>
      </c>
      <c r="I42" s="49">
        <f t="shared" si="50"/>
        <v>15.594000000000008</v>
      </c>
      <c r="J42" s="367">
        <f t="shared" si="50"/>
        <v>-15.803000000000011</v>
      </c>
      <c r="K42" s="367">
        <f>SUM(K39:K41)</f>
        <v>5.2800000000000011</v>
      </c>
      <c r="L42" s="367">
        <f>'4. Balance Sheet'!K7</f>
        <v>94.582999999999998</v>
      </c>
      <c r="M42" s="367">
        <f>'4. Balance Sheet'!L7</f>
        <v>49.554000000000002</v>
      </c>
      <c r="N42" s="367">
        <f>'4. Balance Sheet'!M7</f>
        <v>44.002000000000002</v>
      </c>
      <c r="O42" s="367">
        <f>'4. Balance Sheet'!N7</f>
        <v>55.332999999999998</v>
      </c>
      <c r="P42" s="258">
        <f>'4. Balance Sheet'!O7</f>
        <v>80.686999999999998</v>
      </c>
      <c r="Q42" s="49">
        <f t="shared" ref="Q42:U42" si="51">SUM(Q39:Q41)</f>
        <v>113.30066603573269</v>
      </c>
      <c r="R42" s="49">
        <f t="shared" si="51"/>
        <v>163.11012236145652</v>
      </c>
      <c r="S42" s="49">
        <f t="shared" si="51"/>
        <v>236.40342846129042</v>
      </c>
      <c r="T42" s="49">
        <f t="shared" si="51"/>
        <v>324.84792825089005</v>
      </c>
      <c r="U42" s="49">
        <f t="shared" si="51"/>
        <v>427.79889271976452</v>
      </c>
      <c r="V42" s="49">
        <f t="shared" ref="V42" si="52">SUM(V39:V41)</f>
        <v>546.71609300215005</v>
      </c>
      <c r="W42" s="49">
        <f t="shared" ref="W42:X42" si="53">SUM(W39:W41)</f>
        <v>682.77554830850113</v>
      </c>
      <c r="X42" s="49">
        <f t="shared" si="53"/>
        <v>837.08709682471044</v>
      </c>
      <c r="Y42" s="49">
        <f t="shared" ref="Y42" si="54">SUM(Y39:Y41)</f>
        <v>1010.6997251876198</v>
      </c>
    </row>
    <row r="43" spans="2:39" s="35" customFormat="1">
      <c r="B43" s="98"/>
      <c r="C43" s="332"/>
      <c r="D43" s="94"/>
      <c r="E43" s="94"/>
      <c r="F43" s="94"/>
      <c r="G43" s="94"/>
      <c r="H43" s="94"/>
      <c r="I43" s="94"/>
      <c r="J43" s="493"/>
      <c r="K43" s="493"/>
      <c r="L43" s="493"/>
      <c r="M43" s="493"/>
      <c r="N43" s="493"/>
      <c r="O43" s="493"/>
      <c r="P43" s="296"/>
      <c r="Q43" s="94"/>
      <c r="R43" s="94"/>
      <c r="S43" s="94"/>
      <c r="T43" s="94"/>
      <c r="U43" s="94"/>
      <c r="V43" s="94"/>
      <c r="W43" s="94"/>
      <c r="X43" s="94"/>
      <c r="Y43" s="94"/>
      <c r="AG43" s="329"/>
    </row>
    <row r="44" spans="2:39">
      <c r="B44" s="665" t="s">
        <v>230</v>
      </c>
      <c r="C44" s="666" t="str">
        <f>C42</f>
        <v>S$m</v>
      </c>
      <c r="D44" s="667"/>
      <c r="E44" s="667"/>
      <c r="F44" s="667"/>
      <c r="G44" s="667"/>
      <c r="H44" s="667"/>
      <c r="I44" s="667"/>
      <c r="J44" s="667"/>
      <c r="K44" s="667"/>
      <c r="L44" s="667">
        <f t="shared" ref="L44" si="55">L20+L23+L25+L35</f>
        <v>-37.479812623274164</v>
      </c>
      <c r="M44" s="667">
        <f t="shared" ref="M44:W44" si="56">M20+M23+M25+M35</f>
        <v>-45.007000000000005</v>
      </c>
      <c r="N44" s="667">
        <f t="shared" ref="N44" si="57">N20+N23+N25+N35</f>
        <v>-5.1660000000000013</v>
      </c>
      <c r="O44" s="667">
        <f>O20+O23+O25+O35</f>
        <v>11.438000000000002</v>
      </c>
      <c r="P44" s="668">
        <f t="shared" si="56"/>
        <v>25.607999999999997</v>
      </c>
      <c r="Q44" s="667">
        <f t="shared" si="56"/>
        <v>32.851666035732698</v>
      </c>
      <c r="R44" s="667">
        <f t="shared" si="56"/>
        <v>50.047456325723822</v>
      </c>
      <c r="S44" s="667">
        <f t="shared" si="56"/>
        <v>73.531306099833913</v>
      </c>
      <c r="T44" s="667">
        <f t="shared" si="56"/>
        <v>88.682499789599646</v>
      </c>
      <c r="U44" s="667">
        <f t="shared" si="56"/>
        <v>103.1889644688745</v>
      </c>
      <c r="V44" s="667">
        <f t="shared" si="56"/>
        <v>119.15520028238556</v>
      </c>
      <c r="W44" s="667">
        <f t="shared" si="56"/>
        <v>136.297455306351</v>
      </c>
      <c r="X44" s="667">
        <f t="shared" ref="X44:Y44" si="58">X20+X23+X25+X35</f>
        <v>154.54954851620926</v>
      </c>
      <c r="Y44" s="667">
        <f t="shared" si="58"/>
        <v>173.85062836290945</v>
      </c>
    </row>
    <row r="45" spans="2:39">
      <c r="B45" s="99"/>
      <c r="C45" s="333"/>
      <c r="D45" s="78"/>
      <c r="E45" s="78"/>
      <c r="F45" s="78"/>
      <c r="G45" s="78"/>
      <c r="H45" s="78"/>
      <c r="I45" s="78"/>
      <c r="J45" s="34"/>
      <c r="K45" s="34"/>
      <c r="L45" s="34"/>
      <c r="M45" s="34"/>
      <c r="N45" s="34"/>
      <c r="O45" s="34"/>
      <c r="P45" s="271"/>
      <c r="Q45" s="78"/>
      <c r="R45" s="78"/>
      <c r="S45" s="78"/>
      <c r="T45" s="78"/>
      <c r="U45" s="78"/>
      <c r="V45" s="78"/>
      <c r="W45" s="78"/>
      <c r="X45" s="78"/>
      <c r="Y45" s="78"/>
    </row>
    <row r="46" spans="2:39">
      <c r="B46" s="100"/>
      <c r="C46" s="334"/>
      <c r="D46" s="78"/>
      <c r="E46" s="78"/>
      <c r="F46" s="101"/>
      <c r="G46" s="101"/>
      <c r="H46" s="101"/>
      <c r="I46" s="101"/>
      <c r="J46" s="494"/>
      <c r="K46" s="494"/>
      <c r="L46" s="494"/>
      <c r="M46" s="494"/>
      <c r="N46" s="494"/>
      <c r="O46" s="494"/>
      <c r="P46" s="297"/>
      <c r="Q46" s="101"/>
      <c r="R46" s="101"/>
      <c r="S46" s="101"/>
      <c r="T46" s="101"/>
      <c r="U46" s="101"/>
      <c r="V46" s="101"/>
      <c r="W46" s="101"/>
      <c r="X46" s="101"/>
      <c r="Y46" s="101"/>
    </row>
    <row r="47" spans="2:39" ht="14.4" thickBot="1">
      <c r="B47" s="102"/>
      <c r="C47" s="335"/>
      <c r="D47" s="103"/>
      <c r="E47" s="103"/>
      <c r="F47" s="103"/>
      <c r="G47" s="103"/>
      <c r="H47" s="103"/>
      <c r="I47" s="103"/>
      <c r="J47" s="495"/>
      <c r="K47" s="495"/>
      <c r="L47" s="495"/>
      <c r="M47" s="690"/>
      <c r="N47" s="690"/>
      <c r="O47" s="690"/>
      <c r="P47" s="298"/>
      <c r="Q47" s="103"/>
      <c r="R47" s="103"/>
      <c r="S47" s="103"/>
      <c r="T47" s="103"/>
      <c r="U47" s="103"/>
      <c r="V47" s="103"/>
      <c r="W47" s="103"/>
      <c r="X47" s="103"/>
      <c r="Y47" s="103"/>
    </row>
    <row r="48" spans="2:39">
      <c r="B48" s="104" t="s">
        <v>68</v>
      </c>
      <c r="C48" s="33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262"/>
      <c r="Q48" s="47"/>
      <c r="R48" s="47"/>
      <c r="S48" s="47"/>
      <c r="T48" s="47"/>
      <c r="U48" s="47"/>
      <c r="V48" s="47"/>
      <c r="W48" s="47"/>
      <c r="X48" s="47"/>
      <c r="Y48" s="47"/>
    </row>
    <row r="49" spans="2:25">
      <c r="B49" s="10"/>
      <c r="C49" s="11"/>
      <c r="D49" s="12" t="str">
        <f t="shared" ref="D49:T49" si="59">D5</f>
        <v>F2000</v>
      </c>
      <c r="E49" s="12" t="str">
        <f t="shared" si="59"/>
        <v>FY14</v>
      </c>
      <c r="F49" s="12" t="str">
        <f t="shared" si="59"/>
        <v>FY15</v>
      </c>
      <c r="G49" s="12" t="str">
        <f t="shared" si="59"/>
        <v>FY16</v>
      </c>
      <c r="H49" s="12" t="str">
        <f t="shared" si="59"/>
        <v>FY17</v>
      </c>
      <c r="I49" s="12" t="str">
        <f t="shared" si="59"/>
        <v>FY18</v>
      </c>
      <c r="J49" s="12" t="str">
        <f t="shared" si="59"/>
        <v>FY19</v>
      </c>
      <c r="K49" s="12" t="str">
        <f>K5</f>
        <v>FY20</v>
      </c>
      <c r="L49" s="12" t="str">
        <f t="shared" si="59"/>
        <v>FY21</v>
      </c>
      <c r="M49" s="12" t="str">
        <f t="shared" ref="M49:N49" si="60">M5</f>
        <v>FY22</v>
      </c>
      <c r="N49" s="12" t="str">
        <f t="shared" si="60"/>
        <v>FY23</v>
      </c>
      <c r="O49" s="12" t="str">
        <f t="shared" si="59"/>
        <v>FY24</v>
      </c>
      <c r="P49" s="233" t="str">
        <f t="shared" si="59"/>
        <v>FY25</v>
      </c>
      <c r="Q49" s="12" t="str">
        <f t="shared" si="59"/>
        <v>FY26E</v>
      </c>
      <c r="R49" s="12" t="str">
        <f t="shared" si="59"/>
        <v>FY27E</v>
      </c>
      <c r="S49" s="12" t="str">
        <f t="shared" si="59"/>
        <v>FY28E</v>
      </c>
      <c r="T49" s="12" t="str">
        <f t="shared" si="59"/>
        <v>FY29E</v>
      </c>
      <c r="U49" s="12" t="str">
        <f>U5</f>
        <v>FY30E</v>
      </c>
      <c r="V49" s="12" t="str">
        <f>V5</f>
        <v>FY31E</v>
      </c>
      <c r="W49" s="12" t="str">
        <f>W5</f>
        <v>FY32E</v>
      </c>
      <c r="X49" s="12" t="str">
        <f>X5</f>
        <v>FY33E</v>
      </c>
      <c r="Y49" s="12" t="str">
        <f>Y5</f>
        <v>FY34E</v>
      </c>
    </row>
    <row r="50" spans="2:25">
      <c r="B50" s="102"/>
      <c r="C50" s="335"/>
      <c r="D50" s="103"/>
      <c r="E50" s="103"/>
      <c r="F50" s="103"/>
      <c r="G50" s="103"/>
      <c r="H50" s="103"/>
      <c r="I50" s="103"/>
      <c r="J50" s="495"/>
      <c r="K50" s="495"/>
      <c r="L50" s="495"/>
      <c r="M50" s="495"/>
      <c r="N50" s="495"/>
      <c r="O50" s="495"/>
      <c r="P50" s="298"/>
      <c r="Q50" s="103"/>
      <c r="R50" s="103"/>
      <c r="S50" s="103"/>
      <c r="T50" s="103"/>
      <c r="U50" s="103"/>
      <c r="V50" s="103"/>
      <c r="W50" s="103"/>
      <c r="X50" s="103"/>
      <c r="Y50" s="103"/>
    </row>
    <row r="51" spans="2:25">
      <c r="B51" s="1" t="s">
        <v>69</v>
      </c>
      <c r="C51" s="214" t="str">
        <f>C41</f>
        <v>S$m</v>
      </c>
      <c r="D51" s="49" t="e">
        <f>D20</f>
        <v>#REF!</v>
      </c>
      <c r="E51" s="49"/>
      <c r="F51" s="49"/>
      <c r="G51" s="49"/>
      <c r="H51" s="49">
        <f t="shared" ref="H51:T51" si="61">H13</f>
        <v>-2.1779999999999999</v>
      </c>
      <c r="I51" s="49">
        <f t="shared" si="61"/>
        <v>-1.5720000000000001</v>
      </c>
      <c r="J51" s="367">
        <f t="shared" si="61"/>
        <v>-2.6829999999999998</v>
      </c>
      <c r="K51" s="367">
        <f>K13</f>
        <v>-3.4000000000000004</v>
      </c>
      <c r="L51" s="367">
        <f t="shared" si="61"/>
        <v>-4.5254240631163718</v>
      </c>
      <c r="M51" s="367">
        <f t="shared" ref="M51:N51" si="62">M13</f>
        <v>22.530999999999999</v>
      </c>
      <c r="N51" s="367">
        <f t="shared" si="62"/>
        <v>39.177999999999997</v>
      </c>
      <c r="O51" s="367">
        <f>O13</f>
        <v>58.454000000000008</v>
      </c>
      <c r="P51" s="510">
        <f t="shared" si="61"/>
        <v>79.778000000000006</v>
      </c>
      <c r="Q51" s="49">
        <f t="shared" si="61"/>
        <v>87.623089254963986</v>
      </c>
      <c r="R51" s="49">
        <f t="shared" si="61"/>
        <v>104.00511818077514</v>
      </c>
      <c r="S51" s="49">
        <f t="shared" si="61"/>
        <v>123.2743760115396</v>
      </c>
      <c r="T51" s="49">
        <f t="shared" si="61"/>
        <v>143.20910492160189</v>
      </c>
      <c r="U51" s="49">
        <f>U13</f>
        <v>162.92692689013563</v>
      </c>
      <c r="V51" s="49">
        <f>V13</f>
        <v>183.48301049406484</v>
      </c>
      <c r="W51" s="49">
        <f>W13</f>
        <v>204.64667492913162</v>
      </c>
      <c r="X51" s="49">
        <f>X13</f>
        <v>226.39649107803905</v>
      </c>
      <c r="Y51" s="49">
        <f>Y13</f>
        <v>248.71185261986938</v>
      </c>
    </row>
    <row r="52" spans="2:25">
      <c r="B52" s="22" t="s">
        <v>49</v>
      </c>
      <c r="C52" s="214" t="str">
        <f>C51</f>
        <v>S$m</v>
      </c>
      <c r="D52" s="49" t="e">
        <v>#REF!</v>
      </c>
      <c r="E52" s="49"/>
      <c r="F52" s="49"/>
      <c r="G52" s="49"/>
      <c r="H52" s="49">
        <f t="shared" ref="H52:T52" si="63">H11</f>
        <v>-0.311</v>
      </c>
      <c r="I52" s="49">
        <f t="shared" si="63"/>
        <v>-1.427</v>
      </c>
      <c r="J52" s="367">
        <f t="shared" si="63"/>
        <v>-2.59</v>
      </c>
      <c r="K52" s="367">
        <f>K11</f>
        <v>-2.6639999999999997</v>
      </c>
      <c r="L52" s="367">
        <f t="shared" si="63"/>
        <v>-0.5</v>
      </c>
      <c r="M52" s="367">
        <f t="shared" ref="M52:N52" si="64">M11</f>
        <v>15.5</v>
      </c>
      <c r="N52" s="367">
        <f t="shared" si="64"/>
        <v>31.1</v>
      </c>
      <c r="O52" s="367">
        <f>O11</f>
        <v>49.74</v>
      </c>
      <c r="P52" s="510">
        <f t="shared" si="63"/>
        <v>68.317000000000007</v>
      </c>
      <c r="Q52" s="49">
        <f t="shared" si="63"/>
        <v>81.295729238638387</v>
      </c>
      <c r="R52" s="49">
        <f t="shared" si="63"/>
        <v>96.44326856862007</v>
      </c>
      <c r="S52" s="49">
        <f t="shared" si="63"/>
        <v>115.02244701390089</v>
      </c>
      <c r="T52" s="49">
        <f t="shared" si="63"/>
        <v>134.33486119469703</v>
      </c>
      <c r="U52" s="49">
        <f>U11</f>
        <v>153.70995391724543</v>
      </c>
      <c r="V52" s="49">
        <f>V11</f>
        <v>173.71445019047735</v>
      </c>
      <c r="W52" s="49">
        <f>W11</f>
        <v>194.33854698069538</v>
      </c>
      <c r="X52" s="49">
        <f>X11</f>
        <v>215.56394741975117</v>
      </c>
      <c r="Y52" s="49">
        <f>Y11</f>
        <v>237.37061733731355</v>
      </c>
    </row>
    <row r="53" spans="2:25">
      <c r="B53" s="22" t="s">
        <v>198</v>
      </c>
      <c r="C53" s="214" t="s">
        <v>122</v>
      </c>
      <c r="D53" s="105" t="e">
        <f>D52/#REF!-1</f>
        <v>#REF!</v>
      </c>
      <c r="E53" s="105"/>
      <c r="F53" s="105"/>
      <c r="G53" s="105"/>
      <c r="H53" s="105">
        <f t="shared" ref="H53:J53" si="65">H52/H51</f>
        <v>0.14279155188246098</v>
      </c>
      <c r="I53" s="105">
        <f t="shared" si="65"/>
        <v>0.90776081424936383</v>
      </c>
      <c r="J53" s="46">
        <f t="shared" si="65"/>
        <v>0.96533730898248227</v>
      </c>
      <c r="K53" s="46">
        <f>K52/K51</f>
        <v>0.7835294117647057</v>
      </c>
      <c r="L53" s="46">
        <f t="shared" ref="L53:V53" si="66">L51/L52</f>
        <v>9.0508481262327436</v>
      </c>
      <c r="M53" s="46">
        <f t="shared" si="66"/>
        <v>1.4536129032258063</v>
      </c>
      <c r="N53" s="46">
        <f t="shared" ref="N53" si="67">N51/N52</f>
        <v>1.2597427652733117</v>
      </c>
      <c r="O53" s="46">
        <f t="shared" si="66"/>
        <v>1.1751909931644553</v>
      </c>
      <c r="P53" s="220">
        <f t="shared" si="66"/>
        <v>1.1677620504413249</v>
      </c>
      <c r="Q53" s="105">
        <f t="shared" si="66"/>
        <v>1.0778313950263247</v>
      </c>
      <c r="R53" s="105">
        <f t="shared" si="66"/>
        <v>1.0784072307418195</v>
      </c>
      <c r="S53" s="105">
        <f t="shared" si="66"/>
        <v>1.0717419009234035</v>
      </c>
      <c r="T53" s="105">
        <f t="shared" si="66"/>
        <v>1.0660606163432369</v>
      </c>
      <c r="U53" s="105">
        <f t="shared" si="66"/>
        <v>1.0599634099028645</v>
      </c>
      <c r="V53" s="105">
        <f t="shared" si="66"/>
        <v>1.056233435346779</v>
      </c>
      <c r="W53" s="105">
        <f>W51/W52</f>
        <v>1.0530421170096542</v>
      </c>
      <c r="X53" s="105">
        <f>X51/X52</f>
        <v>1.0502521121363328</v>
      </c>
      <c r="Y53" s="105">
        <f>Y51/Y52</f>
        <v>1.0477785979148357</v>
      </c>
    </row>
    <row r="55" spans="2:25">
      <c r="B55" s="1" t="s">
        <v>274</v>
      </c>
      <c r="C55" s="2" t="s">
        <v>122</v>
      </c>
      <c r="L55" s="153">
        <f>L44/'2. Income'!K59</f>
        <v>-1.9085646833503226E-2</v>
      </c>
      <c r="M55" s="153">
        <f>M44/'2. Income'!L59</f>
        <v>-2.2404933628306659E-2</v>
      </c>
      <c r="N55" s="153">
        <f>N44/'2. Income'!M59</f>
        <v>-2.5600360148495425E-3</v>
      </c>
      <c r="O55" s="153">
        <f>O44/'2. Income'!N59</f>
        <v>5.6871277423976886E-3</v>
      </c>
      <c r="P55" s="669">
        <f>P44/'2. Income'!O59</f>
        <v>1.2751196760592871E-2</v>
      </c>
      <c r="Q55" s="153">
        <f>Q44/'2. Income'!P59</f>
        <v>1.6628127342650685E-2</v>
      </c>
      <c r="R55" s="153">
        <f>R44/'2. Income'!Q59</f>
        <v>2.5987082818881239E-2</v>
      </c>
      <c r="S55" s="153">
        <f>S44/'2. Income'!R59</f>
        <v>3.9691606012451523E-2</v>
      </c>
      <c r="T55" s="153">
        <f>T44/'2. Income'!S59</f>
        <v>5.0270073297289823E-2</v>
      </c>
      <c r="U55" s="153">
        <f>U44/'2. Income'!T59</f>
        <v>6.2118237510715622E-2</v>
      </c>
      <c r="V55" s="153">
        <f>V44/'2. Income'!U59</f>
        <v>7.726047607057264E-2</v>
      </c>
      <c r="W55" s="153">
        <f>W44/'2. Income'!V59</f>
        <v>9.6926526737764238E-2</v>
      </c>
      <c r="X55" s="153">
        <f>X44/'2. Income'!W59</f>
        <v>0.12345376811617663</v>
      </c>
      <c r="Y55" s="153">
        <f>Y44/'2. Income'!X59</f>
        <v>0.16123116825202802</v>
      </c>
    </row>
    <row r="59" spans="2:25">
      <c r="S59" s="1">
        <v>180.18396287480334</v>
      </c>
    </row>
    <row r="61" spans="2:25">
      <c r="S61" s="1">
        <f>S59/S44-1</f>
        <v>1.4504387645469872</v>
      </c>
    </row>
  </sheetData>
  <dataConsolidate/>
  <phoneticPr fontId="2" type="noConversion"/>
  <printOptions horizontalCentered="1" verticalCentered="1"/>
  <pageMargins left="0" right="0" top="0" bottom="0" header="0" footer="0"/>
  <pageSetup paperSize="5" scale="31" orientation="landscape" r:id="rId1"/>
  <headerFooter alignWithMargins="0"/>
  <ignoredErrors>
    <ignoredError sqref="C16" formula="1"/>
    <ignoredError sqref="K15" formulaRange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rgb="FF0070C0"/>
    <outlinePr summaryBelow="0" summaryRight="0"/>
    <pageSetUpPr fitToPage="1"/>
  </sheetPr>
  <dimension ref="B1:Z75"/>
  <sheetViews>
    <sheetView showGridLines="0" zoomScale="80" zoomScaleNormal="80" workbookViewId="0">
      <pane xSplit="3" ySplit="5" topLeftCell="L29" activePane="bottomRight" state="frozen"/>
      <selection activeCell="C134" sqref="C134"/>
      <selection pane="topRight" activeCell="C134" sqref="C134"/>
      <selection pane="bottomLeft" activeCell="C134" sqref="C134"/>
      <selection pane="bottomRight" activeCell="O42" sqref="O42"/>
    </sheetView>
  </sheetViews>
  <sheetFormatPr defaultColWidth="9.109375" defaultRowHeight="13.8" outlineLevelRow="1" outlineLevelCol="1"/>
  <cols>
    <col min="1" max="1" width="1.88671875" style="1" customWidth="1"/>
    <col min="2" max="2" width="37.6640625" style="1" customWidth="1"/>
    <col min="3" max="3" width="7.44140625" style="2" customWidth="1" collapsed="1"/>
    <col min="4" max="8" width="7.33203125" style="1" hidden="1" customWidth="1" outlineLevel="1"/>
    <col min="9" max="11" width="7.33203125" style="25" hidden="1" customWidth="1" outlineLevel="1"/>
    <col min="12" max="14" width="7.33203125" style="25" customWidth="1"/>
    <col min="15" max="15" width="7.33203125" style="160" customWidth="1"/>
    <col min="16" max="24" width="7.33203125" style="1" customWidth="1"/>
    <col min="25" max="16384" width="9.109375" style="1"/>
  </cols>
  <sheetData>
    <row r="1" spans="2:26" s="35" customFormat="1" ht="18">
      <c r="B1" s="4" t="str">
        <f>'3. Cashflow'!B1</f>
        <v>TUA (S$)</v>
      </c>
      <c r="C1" s="326"/>
      <c r="I1" s="201"/>
      <c r="J1" s="201"/>
      <c r="K1" s="201"/>
      <c r="L1" s="42"/>
      <c r="M1" s="42"/>
      <c r="N1" s="42"/>
      <c r="O1" s="289"/>
    </row>
    <row r="2" spans="2:26" ht="15.75" customHeight="1">
      <c r="B2" s="588">
        <f>'2. Income'!B2</f>
        <v>5.28</v>
      </c>
      <c r="C2" s="327"/>
    </row>
    <row r="3" spans="2:26" ht="12.6" customHeight="1" thickBot="1">
      <c r="B3" s="7"/>
      <c r="C3" s="328"/>
      <c r="D3" s="107"/>
      <c r="E3" s="107"/>
      <c r="F3" s="107"/>
      <c r="G3" s="107"/>
      <c r="H3" s="107"/>
      <c r="I3" s="387"/>
      <c r="J3" s="513"/>
      <c r="K3" s="513"/>
      <c r="L3" s="513"/>
      <c r="M3" s="513"/>
      <c r="N3" s="513"/>
      <c r="O3" s="313"/>
      <c r="P3" s="107"/>
      <c r="Q3" s="107"/>
      <c r="R3" s="107"/>
      <c r="S3" s="107"/>
      <c r="T3" s="107"/>
      <c r="U3" s="107"/>
      <c r="V3" s="107"/>
      <c r="W3" s="107"/>
      <c r="X3" s="107"/>
    </row>
    <row r="4" spans="2:26" ht="15.6">
      <c r="B4" s="8" t="s">
        <v>268</v>
      </c>
      <c r="C4" s="323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251"/>
      <c r="P4" s="9"/>
      <c r="Q4" s="9"/>
      <c r="R4" s="9"/>
      <c r="S4" s="9"/>
      <c r="T4" s="9"/>
      <c r="U4" s="9"/>
      <c r="V4" s="9"/>
      <c r="W4" s="9"/>
      <c r="X4" s="9"/>
    </row>
    <row r="5" spans="2:26" s="26" customFormat="1" ht="15.6" customHeight="1">
      <c r="B5" s="10"/>
      <c r="C5" s="11" t="s">
        <v>113</v>
      </c>
      <c r="D5" s="108" t="str">
        <f>'1.Assumptions'!E6</f>
        <v>FY14</v>
      </c>
      <c r="E5" s="108" t="str">
        <f>'1.Assumptions'!F6</f>
        <v>FY15</v>
      </c>
      <c r="F5" s="108" t="str">
        <f>'1.Assumptions'!G6</f>
        <v>FY16</v>
      </c>
      <c r="G5" s="108" t="str">
        <f>'1.Assumptions'!H6</f>
        <v>FY17</v>
      </c>
      <c r="H5" s="108" t="str">
        <f>'1.Assumptions'!I6</f>
        <v>FY18</v>
      </c>
      <c r="I5" s="108" t="str">
        <f>'1.Assumptions'!J6</f>
        <v>FY19</v>
      </c>
      <c r="J5" s="108" t="str">
        <f>'1.Assumptions'!K6</f>
        <v>FY20</v>
      </c>
      <c r="K5" s="108" t="str">
        <f>'1.Assumptions'!L6</f>
        <v>FY21</v>
      </c>
      <c r="L5" s="108" t="str">
        <f>'1.Assumptions'!M6</f>
        <v>FY22</v>
      </c>
      <c r="M5" s="108" t="str">
        <f>'1.Assumptions'!N6</f>
        <v>FY23</v>
      </c>
      <c r="N5" s="108" t="str">
        <f>'1.Assumptions'!O6</f>
        <v>FY24</v>
      </c>
      <c r="O5" s="314" t="str">
        <f>'1.Assumptions'!P6</f>
        <v>FY25</v>
      </c>
      <c r="P5" s="108" t="str">
        <f>'1.Assumptions'!Q6</f>
        <v>FY26E</v>
      </c>
      <c r="Q5" s="108" t="str">
        <f>'1.Assumptions'!R6</f>
        <v>FY27E</v>
      </c>
      <c r="R5" s="108" t="str">
        <f>'1.Assumptions'!S6</f>
        <v>FY28E</v>
      </c>
      <c r="S5" s="108" t="str">
        <f>'1.Assumptions'!T6</f>
        <v>FY29E</v>
      </c>
      <c r="T5" s="108" t="str">
        <f>'1.Assumptions'!U6</f>
        <v>FY30E</v>
      </c>
      <c r="U5" s="108" t="str">
        <f>'1.Assumptions'!V6</f>
        <v>FY31E</v>
      </c>
      <c r="V5" s="108" t="str">
        <f>'1.Assumptions'!W6</f>
        <v>FY32E</v>
      </c>
      <c r="W5" s="108" t="str">
        <f>'1.Assumptions'!X6</f>
        <v>FY33E</v>
      </c>
      <c r="X5" s="108" t="str">
        <f>'1.Assumptions'!Y6</f>
        <v>FY34E</v>
      </c>
    </row>
    <row r="6" spans="2:26" ht="18" customHeight="1">
      <c r="B6" s="26" t="s">
        <v>149</v>
      </c>
      <c r="D6" s="49"/>
      <c r="E6" s="49"/>
      <c r="F6" s="49"/>
      <c r="G6" s="49"/>
      <c r="H6" s="49"/>
      <c r="I6" s="367"/>
      <c r="J6" s="367"/>
      <c r="K6" s="367"/>
      <c r="L6" s="367"/>
      <c r="M6" s="367"/>
      <c r="N6" s="367"/>
      <c r="O6" s="510"/>
      <c r="P6" s="49"/>
      <c r="Q6" s="49"/>
      <c r="R6" s="49"/>
      <c r="S6" s="49"/>
      <c r="T6" s="49"/>
      <c r="U6" s="49"/>
      <c r="V6" s="49"/>
      <c r="W6" s="49"/>
      <c r="X6" s="49"/>
    </row>
    <row r="7" spans="2:26">
      <c r="B7" s="319" t="s">
        <v>150</v>
      </c>
      <c r="C7" s="21" t="s">
        <v>256</v>
      </c>
      <c r="D7" s="80"/>
      <c r="E7" s="80"/>
      <c r="F7" s="80"/>
      <c r="G7" s="80"/>
      <c r="H7" s="80"/>
      <c r="I7" s="487"/>
      <c r="J7" s="450">
        <v>137.58799999999999</v>
      </c>
      <c r="K7" s="450">
        <f>61.035+33.548</f>
        <v>94.582999999999998</v>
      </c>
      <c r="L7" s="450">
        <f>16.614+32.94</f>
        <v>49.554000000000002</v>
      </c>
      <c r="M7" s="450">
        <f>9.088+34.914</f>
        <v>44.002000000000002</v>
      </c>
      <c r="N7" s="450">
        <f>20.201+35.132</f>
        <v>55.332999999999998</v>
      </c>
      <c r="O7" s="295">
        <f>39.747+40.94</f>
        <v>80.686999999999998</v>
      </c>
      <c r="P7" s="49">
        <f>'3. Cashflow'!Q42</f>
        <v>113.30066603573269</v>
      </c>
      <c r="Q7" s="49">
        <f>'3. Cashflow'!R42</f>
        <v>163.11012236145652</v>
      </c>
      <c r="R7" s="49">
        <f>'3. Cashflow'!S42</f>
        <v>236.40342846129042</v>
      </c>
      <c r="S7" s="49">
        <f>'3. Cashflow'!T42</f>
        <v>324.84792825089005</v>
      </c>
      <c r="T7" s="49">
        <f>'3. Cashflow'!U42</f>
        <v>427.79889271976452</v>
      </c>
      <c r="U7" s="49">
        <f>'3. Cashflow'!V42</f>
        <v>546.71609300215005</v>
      </c>
      <c r="V7" s="49">
        <f>'3. Cashflow'!W42</f>
        <v>682.77554830850113</v>
      </c>
      <c r="W7" s="49">
        <f>'3. Cashflow'!X42</f>
        <v>837.08709682471044</v>
      </c>
      <c r="X7" s="49">
        <f>'3. Cashflow'!Y42</f>
        <v>1010.6997251876198</v>
      </c>
      <c r="Y7" s="6"/>
      <c r="Z7" s="6"/>
    </row>
    <row r="8" spans="2:26">
      <c r="B8" s="319" t="s">
        <v>151</v>
      </c>
      <c r="C8" s="21" t="s">
        <v>256</v>
      </c>
      <c r="D8" s="80"/>
      <c r="E8" s="80"/>
      <c r="F8" s="80"/>
      <c r="G8" s="80"/>
      <c r="H8" s="80"/>
      <c r="I8" s="487"/>
      <c r="J8" s="450">
        <v>6.5110000000000001</v>
      </c>
      <c r="K8" s="450">
        <v>6.9889999999999999</v>
      </c>
      <c r="L8" s="450">
        <v>5.61</v>
      </c>
      <c r="M8" s="450">
        <v>3.0409999999999999</v>
      </c>
      <c r="N8" s="450">
        <v>4.6269999999999998</v>
      </c>
      <c r="O8" s="295">
        <v>5.218</v>
      </c>
      <c r="P8" s="49">
        <f>'1.Assumptions'!Q14*('1.Assumptions'!Q196/365)</f>
        <v>6.245664248988823</v>
      </c>
      <c r="Q8" s="49">
        <f>'1.Assumptions'!R14*('1.Assumptions'!R196/365)</f>
        <v>7.3929285659868498</v>
      </c>
      <c r="R8" s="49">
        <f>'1.Assumptions'!S14*('1.Assumptions'!S196/365)</f>
        <v>8.5326653345439389</v>
      </c>
      <c r="S8" s="49">
        <f>'1.Assumptions'!T14*('1.Assumptions'!T196/365)</f>
        <v>9.6538521449806538</v>
      </c>
      <c r="T8" s="49">
        <f>'1.Assumptions'!U14*('1.Assumptions'!U196/365)</f>
        <v>10.71144706542756</v>
      </c>
      <c r="U8" s="49">
        <f>'1.Assumptions'!V14*('1.Assumptions'!V196/365)</f>
        <v>11.749393017338438</v>
      </c>
      <c r="V8" s="49">
        <f>'1.Assumptions'!W14*('1.Assumptions'!W196/365)</f>
        <v>12.768730314266753</v>
      </c>
      <c r="W8" s="49">
        <f>'1.Assumptions'!X14*('1.Assumptions'!X196/365)</f>
        <v>13.769841094322267</v>
      </c>
      <c r="X8" s="49">
        <f>'1.Assumptions'!Y14*('1.Assumptions'!Y196/365)</f>
        <v>14.752958202437597</v>
      </c>
      <c r="Y8" s="6"/>
      <c r="Z8" s="6"/>
    </row>
    <row r="9" spans="2:26">
      <c r="B9" s="319" t="s">
        <v>205</v>
      </c>
      <c r="C9" s="21" t="s">
        <v>256</v>
      </c>
      <c r="D9" s="80"/>
      <c r="E9" s="80"/>
      <c r="F9" s="80"/>
      <c r="G9" s="80"/>
      <c r="H9" s="80"/>
      <c r="I9" s="487"/>
      <c r="J9" s="450">
        <v>0.246</v>
      </c>
      <c r="K9" s="450">
        <v>0.28100000000000003</v>
      </c>
      <c r="L9" s="450">
        <v>0.14699999999999999</v>
      </c>
      <c r="M9" s="450">
        <v>0.29199999999999998</v>
      </c>
      <c r="N9" s="450">
        <v>0.67300000000000004</v>
      </c>
      <c r="O9" s="295">
        <v>0.91</v>
      </c>
      <c r="P9" s="49">
        <f>'1.Assumptions'!Q14*('1.Assumptions'!Q197/365)</f>
        <v>1.0892208636603735</v>
      </c>
      <c r="Q9" s="49">
        <f>'1.Assumptions'!R14*('1.Assumptions'!R197/365)</f>
        <v>1.289299539104644</v>
      </c>
      <c r="R9" s="49">
        <f>'1.Assumptions'!S14*('1.Assumptions'!S197/365)</f>
        <v>1.4880654377989622</v>
      </c>
      <c r="S9" s="49">
        <f>'1.Assumptions'!T14*('1.Assumptions'!T197/365)</f>
        <v>1.6835962920529695</v>
      </c>
      <c r="T9" s="49">
        <f>'1.Assumptions'!U14*('1.Assumptions'!U197/365)</f>
        <v>1.8680369546836104</v>
      </c>
      <c r="U9" s="49">
        <f>'1.Assumptions'!V14*('1.Assumptions'!V197/365)</f>
        <v>2.0490509095013372</v>
      </c>
      <c r="V9" s="49">
        <f>'1.Assumptions'!W14*('1.Assumptions'!W197/365)</f>
        <v>2.2268195833619671</v>
      </c>
      <c r="W9" s="49">
        <f>'1.Assumptions'!X14*('1.Assumptions'!X197/365)</f>
        <v>2.4014096197457384</v>
      </c>
      <c r="X9" s="49">
        <f>'1.Assumptions'!Y14*('1.Assumptions'!Y197/365)</f>
        <v>2.5728616259521297</v>
      </c>
      <c r="Y9" s="6"/>
      <c r="Z9" s="6"/>
    </row>
    <row r="10" spans="2:26">
      <c r="B10" s="320" t="s">
        <v>152</v>
      </c>
      <c r="C10" s="29" t="s">
        <v>256</v>
      </c>
      <c r="D10" s="177"/>
      <c r="E10" s="177"/>
      <c r="F10" s="177"/>
      <c r="G10" s="177"/>
      <c r="H10" s="177"/>
      <c r="I10" s="177"/>
      <c r="J10" s="559">
        <f t="shared" ref="J10:O10" si="0">J11-SUM(J7:J9)</f>
        <v>1.6310000000000002</v>
      </c>
      <c r="K10" s="559">
        <f t="shared" si="0"/>
        <v>1.9279999999999973</v>
      </c>
      <c r="L10" s="559">
        <f t="shared" si="0"/>
        <v>1.5850000000000009</v>
      </c>
      <c r="M10" s="559">
        <f t="shared" si="0"/>
        <v>1.3010000000000019</v>
      </c>
      <c r="N10" s="559">
        <f t="shared" si="0"/>
        <v>3.0662999999999982</v>
      </c>
      <c r="O10" s="558">
        <f t="shared" si="0"/>
        <v>4.6460000000000008</v>
      </c>
      <c r="P10" s="157">
        <f t="shared" ref="P10:X10" si="1">O10</f>
        <v>4.6460000000000008</v>
      </c>
      <c r="Q10" s="157">
        <f t="shared" si="1"/>
        <v>4.6460000000000008</v>
      </c>
      <c r="R10" s="157">
        <f t="shared" si="1"/>
        <v>4.6460000000000008</v>
      </c>
      <c r="S10" s="157">
        <f t="shared" si="1"/>
        <v>4.6460000000000008</v>
      </c>
      <c r="T10" s="157">
        <f t="shared" si="1"/>
        <v>4.6460000000000008</v>
      </c>
      <c r="U10" s="157">
        <f t="shared" si="1"/>
        <v>4.6460000000000008</v>
      </c>
      <c r="V10" s="157">
        <f t="shared" si="1"/>
        <v>4.6460000000000008</v>
      </c>
      <c r="W10" s="157">
        <f t="shared" si="1"/>
        <v>4.6460000000000008</v>
      </c>
      <c r="X10" s="157">
        <f t="shared" si="1"/>
        <v>4.6460000000000008</v>
      </c>
      <c r="Y10" s="6"/>
      <c r="Z10" s="6"/>
    </row>
    <row r="11" spans="2:26" s="26" customFormat="1">
      <c r="B11" s="190" t="s">
        <v>149</v>
      </c>
      <c r="C11" s="27" t="s">
        <v>256</v>
      </c>
      <c r="D11" s="78"/>
      <c r="E11" s="78"/>
      <c r="F11" s="78"/>
      <c r="G11" s="78"/>
      <c r="H11" s="78"/>
      <c r="I11" s="34"/>
      <c r="J11" s="509">
        <v>145.976</v>
      </c>
      <c r="K11" s="509">
        <v>103.78100000000001</v>
      </c>
      <c r="L11" s="509">
        <v>56.896000000000001</v>
      </c>
      <c r="M11" s="509">
        <v>48.636000000000003</v>
      </c>
      <c r="N11" s="509">
        <v>63.699300000000001</v>
      </c>
      <c r="O11" s="518">
        <v>91.460999999999999</v>
      </c>
      <c r="P11" s="78">
        <f t="shared" ref="P11:T11" si="2">SUM(P7:P10)</f>
        <v>125.28155114838188</v>
      </c>
      <c r="Q11" s="78">
        <f t="shared" si="2"/>
        <v>176.438350466548</v>
      </c>
      <c r="R11" s="78">
        <f t="shared" si="2"/>
        <v>251.07015923363332</v>
      </c>
      <c r="S11" s="78">
        <f t="shared" si="2"/>
        <v>340.83137668792369</v>
      </c>
      <c r="T11" s="78">
        <f t="shared" si="2"/>
        <v>445.02437673987566</v>
      </c>
      <c r="U11" s="78">
        <f t="shared" ref="U11" si="3">SUM(U7:U10)</f>
        <v>565.16053692898981</v>
      </c>
      <c r="V11" s="78">
        <f t="shared" ref="V11:W11" si="4">SUM(V7:V10)</f>
        <v>702.41709820612982</v>
      </c>
      <c r="W11" s="78">
        <f t="shared" si="4"/>
        <v>857.90434753877844</v>
      </c>
      <c r="X11" s="78">
        <f t="shared" ref="X11" si="5">SUM(X7:X10)</f>
        <v>1032.6715450160095</v>
      </c>
      <c r="Y11" s="6"/>
      <c r="Z11" s="6"/>
    </row>
    <row r="12" spans="2:26" s="26" customFormat="1">
      <c r="B12" s="190"/>
      <c r="C12" s="65"/>
      <c r="D12" s="49"/>
      <c r="E12" s="49"/>
      <c r="F12" s="49"/>
      <c r="G12" s="49"/>
      <c r="H12" s="49"/>
      <c r="I12" s="367"/>
      <c r="J12" s="367"/>
      <c r="K12" s="367"/>
      <c r="L12" s="367"/>
      <c r="M12" s="367"/>
      <c r="N12" s="367"/>
      <c r="O12" s="258"/>
      <c r="P12" s="49"/>
      <c r="Q12" s="49"/>
      <c r="R12" s="49"/>
      <c r="S12" s="49"/>
      <c r="T12" s="49"/>
      <c r="U12" s="49"/>
      <c r="V12" s="49"/>
      <c r="W12" s="49"/>
      <c r="X12" s="49"/>
      <c r="Y12" s="155"/>
      <c r="Z12" s="155"/>
    </row>
    <row r="13" spans="2:26" s="26" customFormat="1">
      <c r="B13" s="190" t="s">
        <v>153</v>
      </c>
      <c r="C13" s="65"/>
      <c r="D13" s="49"/>
      <c r="E13" s="49"/>
      <c r="F13" s="49"/>
      <c r="G13" s="49"/>
      <c r="H13" s="49"/>
      <c r="I13" s="367"/>
      <c r="J13" s="367"/>
      <c r="K13" s="367"/>
      <c r="L13" s="367"/>
      <c r="M13" s="367"/>
      <c r="N13" s="367"/>
      <c r="O13" s="258"/>
      <c r="P13" s="49"/>
      <c r="Q13" s="49"/>
      <c r="R13" s="49"/>
      <c r="S13" s="49"/>
      <c r="T13" s="49"/>
      <c r="U13" s="49"/>
      <c r="V13" s="49"/>
      <c r="W13" s="49"/>
      <c r="X13" s="49"/>
      <c r="Y13" s="155"/>
      <c r="Z13" s="155"/>
    </row>
    <row r="14" spans="2:26">
      <c r="B14" s="319" t="s">
        <v>206</v>
      </c>
      <c r="C14" s="21" t="s">
        <v>256</v>
      </c>
      <c r="D14" s="80"/>
      <c r="E14" s="80"/>
      <c r="F14" s="80"/>
      <c r="G14" s="80"/>
      <c r="H14" s="80"/>
      <c r="I14" s="487"/>
      <c r="J14" s="450">
        <v>235.33699999999999</v>
      </c>
      <c r="K14" s="450">
        <v>254.72399999999999</v>
      </c>
      <c r="L14" s="450">
        <v>261.88400000000001</v>
      </c>
      <c r="M14" s="450">
        <v>272.75</v>
      </c>
      <c r="N14" s="450">
        <v>280.48099999999999</v>
      </c>
      <c r="O14" s="295">
        <v>291.89499999999998</v>
      </c>
      <c r="P14" s="49">
        <f>'1.Assumptions'!Q127</f>
        <v>296.85030022298417</v>
      </c>
      <c r="Q14" s="49">
        <f>'1.Assumptions'!R127</f>
        <v>297.74396924124414</v>
      </c>
      <c r="R14" s="49">
        <f>'1.Assumptions'!S127</f>
        <v>291.87323961370623</v>
      </c>
      <c r="S14" s="49">
        <f>'1.Assumptions'!T127</f>
        <v>277.08295201558713</v>
      </c>
      <c r="T14" s="49">
        <f>'1.Assumptions'!U127</f>
        <v>264.11915701944338</v>
      </c>
      <c r="U14" s="49">
        <f>'1.Assumptions'!V127</f>
        <v>252.06168083607542</v>
      </c>
      <c r="V14" s="49">
        <f>'1.Assumptions'!W127</f>
        <v>240.1762741166155</v>
      </c>
      <c r="W14" s="49">
        <f>'1.Assumptions'!X127</f>
        <v>227.89546245416946</v>
      </c>
      <c r="X14" s="49">
        <f>'1.Assumptions'!Y127</f>
        <v>214.80134369278863</v>
      </c>
      <c r="Y14" s="26"/>
      <c r="Z14" s="26"/>
    </row>
    <row r="15" spans="2:26">
      <c r="B15" s="319" t="s">
        <v>255</v>
      </c>
      <c r="C15" s="21" t="s">
        <v>256</v>
      </c>
      <c r="D15" s="80"/>
      <c r="E15" s="80"/>
      <c r="F15" s="80"/>
      <c r="G15" s="80"/>
      <c r="H15" s="80"/>
      <c r="I15" s="487"/>
      <c r="J15" s="450">
        <v>0.34200000000000003</v>
      </c>
      <c r="K15" s="450">
        <v>3.2989999999999999</v>
      </c>
      <c r="L15" s="450">
        <v>2.8530000000000002</v>
      </c>
      <c r="M15" s="450">
        <v>2.2200000000000002</v>
      </c>
      <c r="N15" s="450">
        <v>1.619</v>
      </c>
      <c r="O15" s="295">
        <v>1.1379999999999999</v>
      </c>
      <c r="P15" s="49">
        <f t="shared" ref="P15:X15" si="6">O15</f>
        <v>1.1379999999999999</v>
      </c>
      <c r="Q15" s="49">
        <f t="shared" si="6"/>
        <v>1.1379999999999999</v>
      </c>
      <c r="R15" s="49">
        <f t="shared" si="6"/>
        <v>1.1379999999999999</v>
      </c>
      <c r="S15" s="49">
        <f t="shared" si="6"/>
        <v>1.1379999999999999</v>
      </c>
      <c r="T15" s="49">
        <f t="shared" si="6"/>
        <v>1.1379999999999999</v>
      </c>
      <c r="U15" s="49">
        <f t="shared" si="6"/>
        <v>1.1379999999999999</v>
      </c>
      <c r="V15" s="49">
        <f t="shared" si="6"/>
        <v>1.1379999999999999</v>
      </c>
      <c r="W15" s="49">
        <f t="shared" si="6"/>
        <v>1.1379999999999999</v>
      </c>
      <c r="X15" s="49">
        <f t="shared" si="6"/>
        <v>1.1379999999999999</v>
      </c>
    </row>
    <row r="16" spans="2:26">
      <c r="B16" s="319" t="s">
        <v>257</v>
      </c>
      <c r="C16" s="21" t="s">
        <v>256</v>
      </c>
      <c r="D16" s="80"/>
      <c r="E16" s="80"/>
      <c r="F16" s="80"/>
      <c r="G16" s="80"/>
      <c r="H16" s="80"/>
      <c r="I16" s="487"/>
      <c r="J16" s="450">
        <v>127.36799999999999</v>
      </c>
      <c r="K16" s="450">
        <v>117.081</v>
      </c>
      <c r="L16" s="450">
        <v>138.256</v>
      </c>
      <c r="M16" s="450">
        <v>128.43100000000001</v>
      </c>
      <c r="N16" s="450">
        <v>117.94199999999999</v>
      </c>
      <c r="O16" s="295">
        <v>105.46</v>
      </c>
      <c r="P16" s="49">
        <f>'1.Assumptions'!Q144-'4. Balance Sheet'!P17</f>
        <v>94.70716395791257</v>
      </c>
      <c r="Q16" s="49">
        <f>'1.Assumptions'!R144-'4. Balance Sheet'!Q17</f>
        <v>84.510093136963164</v>
      </c>
      <c r="R16" s="49">
        <f>'1.Assumptions'!S144-'4. Balance Sheet'!R17</f>
        <v>75.780461209070552</v>
      </c>
      <c r="S16" s="49">
        <f>'1.Assumptions'!T144-'4. Balance Sheet'!S17</f>
        <v>68.307092147053297</v>
      </c>
      <c r="T16" s="49">
        <f>'1.Assumptions'!U144-'4. Balance Sheet'!T17</f>
        <v>61.909199819123344</v>
      </c>
      <c r="U16" s="49">
        <f>'1.Assumptions'!V144-'4. Balance Sheet'!U17</f>
        <v>56.432014643320429</v>
      </c>
      <c r="V16" s="49">
        <f>'1.Assumptions'!W144-'4. Balance Sheet'!V17</f>
        <v>51.743039600856463</v>
      </c>
      <c r="W16" s="49">
        <f>'1.Assumptions'!X144-'4. Balance Sheet'!W17</f>
        <v>47.728845038660218</v>
      </c>
      <c r="X16" s="49">
        <f>'1.Assumptions'!Y144-'4. Balance Sheet'!X17</f>
        <v>44.292324725108195</v>
      </c>
    </row>
    <row r="17" spans="2:24" s="25" customFormat="1">
      <c r="B17" s="557" t="s">
        <v>258</v>
      </c>
      <c r="C17" s="21" t="s">
        <v>256</v>
      </c>
      <c r="D17" s="487"/>
      <c r="E17" s="487"/>
      <c r="F17" s="487"/>
      <c r="G17" s="487"/>
      <c r="H17" s="487"/>
      <c r="I17" s="487"/>
      <c r="J17" s="450">
        <v>4.7960000000000003</v>
      </c>
      <c r="K17" s="450">
        <v>4.4329999999999998</v>
      </c>
      <c r="L17" s="450">
        <v>4.1470000000000002</v>
      </c>
      <c r="M17" s="450">
        <v>5.0739999999999998</v>
      </c>
      <c r="N17" s="450">
        <v>3.823</v>
      </c>
      <c r="O17" s="295">
        <v>3.0920000000000001</v>
      </c>
      <c r="P17" s="36">
        <f t="shared" ref="P17:X17" si="7">O17</f>
        <v>3.0920000000000001</v>
      </c>
      <c r="Q17" s="36">
        <f t="shared" si="7"/>
        <v>3.0920000000000001</v>
      </c>
      <c r="R17" s="36">
        <f t="shared" si="7"/>
        <v>3.0920000000000001</v>
      </c>
      <c r="S17" s="36">
        <f t="shared" si="7"/>
        <v>3.0920000000000001</v>
      </c>
      <c r="T17" s="36">
        <f t="shared" si="7"/>
        <v>3.0920000000000001</v>
      </c>
      <c r="U17" s="36">
        <f t="shared" si="7"/>
        <v>3.0920000000000001</v>
      </c>
      <c r="V17" s="36">
        <f t="shared" si="7"/>
        <v>3.0920000000000001</v>
      </c>
      <c r="W17" s="36">
        <f t="shared" si="7"/>
        <v>3.0920000000000001</v>
      </c>
      <c r="X17" s="36">
        <f t="shared" si="7"/>
        <v>3.0920000000000001</v>
      </c>
    </row>
    <row r="18" spans="2:24">
      <c r="B18" s="319" t="s">
        <v>154</v>
      </c>
      <c r="C18" s="21" t="s">
        <v>256</v>
      </c>
      <c r="D18" s="80"/>
      <c r="E18" s="80"/>
      <c r="F18" s="80"/>
      <c r="G18" s="80"/>
      <c r="H18" s="80"/>
      <c r="I18" s="487"/>
      <c r="J18" s="450">
        <v>4.867</v>
      </c>
      <c r="K18" s="450">
        <v>9.6790000000000003</v>
      </c>
      <c r="L18" s="450">
        <v>11.154</v>
      </c>
      <c r="M18" s="450">
        <v>9.9169999999999998</v>
      </c>
      <c r="N18" s="450">
        <v>7.6749999999999998</v>
      </c>
      <c r="O18" s="295">
        <v>2.992</v>
      </c>
      <c r="P18" s="49">
        <f t="shared" ref="P18:X19" si="8">O18</f>
        <v>2.992</v>
      </c>
      <c r="Q18" s="49">
        <f t="shared" si="8"/>
        <v>2.992</v>
      </c>
      <c r="R18" s="49">
        <f t="shared" si="8"/>
        <v>2.992</v>
      </c>
      <c r="S18" s="49">
        <f t="shared" si="8"/>
        <v>2.992</v>
      </c>
      <c r="T18" s="49">
        <f t="shared" si="8"/>
        <v>2.992</v>
      </c>
      <c r="U18" s="49">
        <f t="shared" si="8"/>
        <v>2.992</v>
      </c>
      <c r="V18" s="49">
        <f t="shared" si="8"/>
        <v>2.992</v>
      </c>
      <c r="W18" s="49">
        <f t="shared" si="8"/>
        <v>2.992</v>
      </c>
      <c r="X18" s="49">
        <f t="shared" si="8"/>
        <v>2.992</v>
      </c>
    </row>
    <row r="19" spans="2:24" ht="13.5" customHeight="1">
      <c r="B19" s="320" t="s">
        <v>156</v>
      </c>
      <c r="C19" s="29" t="s">
        <v>256</v>
      </c>
      <c r="D19" s="178"/>
      <c r="E19" s="178"/>
      <c r="F19" s="178"/>
      <c r="G19" s="178"/>
      <c r="H19" s="178"/>
      <c r="I19" s="178"/>
      <c r="J19" s="339">
        <f t="shared" ref="J19:O19" si="9">J20-SUM(J14:J18)</f>
        <v>0.62699999999995271</v>
      </c>
      <c r="K19" s="339">
        <f t="shared" si="9"/>
        <v>0.98300000000006094</v>
      </c>
      <c r="L19" s="339">
        <f t="shared" si="9"/>
        <v>0.92699999999996407</v>
      </c>
      <c r="M19" s="339">
        <f t="shared" si="9"/>
        <v>1.17999999999995</v>
      </c>
      <c r="N19" s="339">
        <f t="shared" si="9"/>
        <v>1.36099999999999</v>
      </c>
      <c r="O19" s="503">
        <f t="shared" si="9"/>
        <v>2.33400000000006</v>
      </c>
      <c r="P19" s="215">
        <f t="shared" si="8"/>
        <v>2.33400000000006</v>
      </c>
      <c r="Q19" s="215">
        <f t="shared" si="8"/>
        <v>2.33400000000006</v>
      </c>
      <c r="R19" s="215">
        <f t="shared" si="8"/>
        <v>2.33400000000006</v>
      </c>
      <c r="S19" s="215">
        <f t="shared" si="8"/>
        <v>2.33400000000006</v>
      </c>
      <c r="T19" s="215">
        <f t="shared" si="8"/>
        <v>2.33400000000006</v>
      </c>
      <c r="U19" s="215">
        <f t="shared" si="8"/>
        <v>2.33400000000006</v>
      </c>
      <c r="V19" s="215">
        <f t="shared" si="8"/>
        <v>2.33400000000006</v>
      </c>
      <c r="W19" s="215">
        <f t="shared" si="8"/>
        <v>2.33400000000006</v>
      </c>
      <c r="X19" s="215">
        <f t="shared" si="8"/>
        <v>2.33400000000006</v>
      </c>
    </row>
    <row r="20" spans="2:24" s="26" customFormat="1">
      <c r="B20" s="190" t="s">
        <v>153</v>
      </c>
      <c r="C20" s="27" t="s">
        <v>256</v>
      </c>
      <c r="D20" s="78"/>
      <c r="E20" s="78"/>
      <c r="F20" s="78"/>
      <c r="G20" s="78"/>
      <c r="H20" s="78"/>
      <c r="I20" s="34"/>
      <c r="J20" s="509">
        <v>373.33699999999999</v>
      </c>
      <c r="K20" s="509">
        <v>390.19900000000001</v>
      </c>
      <c r="L20" s="509">
        <v>419.221</v>
      </c>
      <c r="M20" s="509">
        <v>419.572</v>
      </c>
      <c r="N20" s="509">
        <v>412.90100000000001</v>
      </c>
      <c r="O20" s="518">
        <v>406.911</v>
      </c>
      <c r="P20" s="78">
        <f t="shared" ref="P20:T20" si="10">SUM(P14:P19)</f>
        <v>401.11346418089676</v>
      </c>
      <c r="Q20" s="78">
        <f t="shared" si="10"/>
        <v>391.81006237820736</v>
      </c>
      <c r="R20" s="78">
        <f t="shared" si="10"/>
        <v>377.20970082277682</v>
      </c>
      <c r="S20" s="78">
        <f t="shared" si="10"/>
        <v>354.94604416264048</v>
      </c>
      <c r="T20" s="78">
        <f t="shared" si="10"/>
        <v>335.58435683856675</v>
      </c>
      <c r="U20" s="78">
        <f t="shared" ref="U20" si="11">SUM(U14:U19)</f>
        <v>318.04969547939589</v>
      </c>
      <c r="V20" s="78">
        <f t="shared" ref="V20:W20" si="12">SUM(V14:V19)</f>
        <v>301.47531371747203</v>
      </c>
      <c r="W20" s="78">
        <f t="shared" si="12"/>
        <v>285.18030749282974</v>
      </c>
      <c r="X20" s="78">
        <f t="shared" ref="X20" si="13">SUM(X14:X19)</f>
        <v>268.64966841789692</v>
      </c>
    </row>
    <row r="21" spans="2:24" s="26" customFormat="1">
      <c r="B21" s="190" t="s">
        <v>157</v>
      </c>
      <c r="C21" s="27" t="s">
        <v>256</v>
      </c>
      <c r="D21" s="78"/>
      <c r="E21" s="78"/>
      <c r="F21" s="78"/>
      <c r="G21" s="78"/>
      <c r="H21" s="78"/>
      <c r="I21" s="34"/>
      <c r="J21" s="34">
        <f>J11+J20</f>
        <v>519.31299999999999</v>
      </c>
      <c r="K21" s="34">
        <f>K11+K20</f>
        <v>493.98</v>
      </c>
      <c r="L21" s="34">
        <f>L11+L20</f>
        <v>476.11700000000002</v>
      </c>
      <c r="M21" s="34">
        <f>M11+M20</f>
        <v>468.20800000000003</v>
      </c>
      <c r="N21" s="34">
        <f>N11+N20</f>
        <v>476.6003</v>
      </c>
      <c r="O21" s="271">
        <f t="shared" ref="O21:T21" si="14">O11+O20</f>
        <v>498.37200000000001</v>
      </c>
      <c r="P21" s="78">
        <f t="shared" si="14"/>
        <v>526.39501532927864</v>
      </c>
      <c r="Q21" s="78">
        <f t="shared" si="14"/>
        <v>568.24841284475542</v>
      </c>
      <c r="R21" s="78">
        <f t="shared" si="14"/>
        <v>628.27986005641014</v>
      </c>
      <c r="S21" s="78">
        <f t="shared" si="14"/>
        <v>695.77742085056411</v>
      </c>
      <c r="T21" s="78">
        <f t="shared" si="14"/>
        <v>780.60873357844241</v>
      </c>
      <c r="U21" s="78">
        <f t="shared" ref="U21" si="15">U11+U20</f>
        <v>883.21023240838576</v>
      </c>
      <c r="V21" s="78">
        <f t="shared" ref="V21:W21" si="16">V11+V20</f>
        <v>1003.8924119236019</v>
      </c>
      <c r="W21" s="78">
        <f t="shared" si="16"/>
        <v>1143.0846550316082</v>
      </c>
      <c r="X21" s="78">
        <f t="shared" ref="X21" si="17">X11+X20</f>
        <v>1301.3212134339065</v>
      </c>
    </row>
    <row r="22" spans="2:24" s="26" customFormat="1">
      <c r="B22" s="190"/>
      <c r="C22" s="65"/>
      <c r="I22" s="40"/>
      <c r="J22" s="367"/>
      <c r="K22" s="367"/>
      <c r="L22" s="367"/>
      <c r="M22" s="367"/>
      <c r="N22" s="367"/>
      <c r="O22" s="258"/>
      <c r="P22" s="49"/>
      <c r="Q22" s="49"/>
      <c r="R22" s="49"/>
      <c r="S22" s="49"/>
      <c r="T22" s="49"/>
      <c r="U22" s="49"/>
      <c r="V22" s="49"/>
      <c r="W22" s="49"/>
      <c r="X22" s="49"/>
    </row>
    <row r="23" spans="2:24" s="26" customFormat="1">
      <c r="B23" s="190" t="s">
        <v>158</v>
      </c>
      <c r="C23" s="65"/>
      <c r="D23" s="49"/>
      <c r="E23" s="49"/>
      <c r="F23" s="49"/>
      <c r="G23" s="49"/>
      <c r="H23" s="49"/>
      <c r="I23" s="367"/>
      <c r="J23" s="367"/>
      <c r="K23" s="367"/>
      <c r="L23" s="367"/>
      <c r="M23" s="367"/>
      <c r="N23" s="367"/>
      <c r="O23" s="258"/>
      <c r="P23" s="49"/>
      <c r="Q23" s="49"/>
      <c r="R23" s="49"/>
      <c r="S23" s="49"/>
      <c r="T23" s="49"/>
      <c r="U23" s="49"/>
      <c r="V23" s="49"/>
      <c r="W23" s="49"/>
      <c r="X23" s="49"/>
    </row>
    <row r="24" spans="2:24" ht="13.5" customHeight="1">
      <c r="B24" s="319" t="s">
        <v>207</v>
      </c>
      <c r="C24" s="21" t="s">
        <v>256</v>
      </c>
      <c r="D24" s="82"/>
      <c r="E24" s="80"/>
      <c r="F24" s="80"/>
      <c r="G24" s="80"/>
      <c r="H24" s="80"/>
      <c r="I24" s="487"/>
      <c r="J24" s="450">
        <v>7.8550000000000004</v>
      </c>
      <c r="K24" s="450">
        <v>8.6229999999999993</v>
      </c>
      <c r="L24" s="450">
        <v>14.757999999999999</v>
      </c>
      <c r="M24" s="450">
        <v>21.029</v>
      </c>
      <c r="N24" s="450">
        <v>25.951000000000001</v>
      </c>
      <c r="O24" s="295">
        <v>28.178999999999998</v>
      </c>
      <c r="P24" s="49">
        <f>'1.Assumptions'!Q14*('1.Assumptions'!Q198/365)</f>
        <v>35.713245128974798</v>
      </c>
      <c r="Q24" s="49">
        <f>'1.Assumptions'!R14*('1.Assumptions'!R198/365)</f>
        <v>44.62243773357217</v>
      </c>
      <c r="R24" s="49">
        <f>'1.Assumptions'!S14*('1.Assumptions'!S198/365)</f>
        <v>54.212869398462288</v>
      </c>
      <c r="S24" s="49">
        <f>'1.Assumptions'!T14*('1.Assumptions'!T198/365)</f>
        <v>64.403830790057881</v>
      </c>
      <c r="T24" s="49">
        <f>'1.Assumptions'!U14*('1.Assumptions'!U198/365)</f>
        <v>74.862839346025652</v>
      </c>
      <c r="U24" s="49">
        <f>'1.Assumptions'!V14*('1.Assumptions'!V198/365)</f>
        <v>85.850359556341743</v>
      </c>
      <c r="V24" s="49">
        <f>'1.Assumptions'!W14*('1.Assumptions'!W198/365)</f>
        <v>97.35559347556692</v>
      </c>
      <c r="W24" s="49">
        <f>'1.Assumptions'!X14*('1.Assumptions'!X198/365)</f>
        <v>109.36383795029408</v>
      </c>
      <c r="X24" s="49">
        <f>'1.Assumptions'!Y14*('1.Assumptions'!Y198/365)</f>
        <v>121.85964234717166</v>
      </c>
    </row>
    <row r="25" spans="2:24">
      <c r="B25" s="319" t="s">
        <v>259</v>
      </c>
      <c r="C25" s="21" t="s">
        <v>256</v>
      </c>
      <c r="D25" s="82"/>
      <c r="E25" s="80"/>
      <c r="F25" s="80"/>
      <c r="G25" s="80"/>
      <c r="H25" s="80"/>
      <c r="I25" s="487"/>
      <c r="J25" s="450">
        <v>0.3</v>
      </c>
      <c r="K25" s="450">
        <v>0.54500000000000004</v>
      </c>
      <c r="L25" s="450">
        <v>0.53500000000000003</v>
      </c>
      <c r="M25" s="450">
        <v>0.54600000000000004</v>
      </c>
      <c r="N25" s="450">
        <v>0.58699999999999997</v>
      </c>
      <c r="O25" s="295">
        <v>0.57999999999999996</v>
      </c>
      <c r="P25" s="49">
        <f t="shared" ref="P25:X25" si="18">O25</f>
        <v>0.57999999999999996</v>
      </c>
      <c r="Q25" s="49">
        <f t="shared" si="18"/>
        <v>0.57999999999999996</v>
      </c>
      <c r="R25" s="49">
        <f t="shared" si="18"/>
        <v>0.57999999999999996</v>
      </c>
      <c r="S25" s="49">
        <f t="shared" si="18"/>
        <v>0.57999999999999996</v>
      </c>
      <c r="T25" s="49">
        <f t="shared" si="18"/>
        <v>0.57999999999999996</v>
      </c>
      <c r="U25" s="49">
        <f t="shared" si="18"/>
        <v>0.57999999999999996</v>
      </c>
      <c r="V25" s="49">
        <f t="shared" si="18"/>
        <v>0.57999999999999996</v>
      </c>
      <c r="W25" s="49">
        <f t="shared" si="18"/>
        <v>0.57999999999999996</v>
      </c>
      <c r="X25" s="49">
        <f t="shared" si="18"/>
        <v>0.57999999999999996</v>
      </c>
    </row>
    <row r="26" spans="2:24">
      <c r="B26" s="319" t="s">
        <v>260</v>
      </c>
      <c r="C26" s="21" t="s">
        <v>256</v>
      </c>
      <c r="D26" s="80"/>
      <c r="E26" s="80"/>
      <c r="F26" s="80"/>
      <c r="G26" s="80"/>
      <c r="H26" s="80"/>
      <c r="I26" s="487"/>
      <c r="J26" s="450">
        <v>0.623</v>
      </c>
      <c r="K26" s="450">
        <v>2.5169999999999999</v>
      </c>
      <c r="L26" s="450">
        <v>3.9929999999999999</v>
      </c>
      <c r="M26" s="450">
        <v>3.8330000000000002</v>
      </c>
      <c r="N26" s="450">
        <v>9.7949999999999999</v>
      </c>
      <c r="O26" s="295">
        <v>20.006</v>
      </c>
      <c r="P26" s="49">
        <f t="shared" ref="P26:X26" si="19">O26</f>
        <v>20.006</v>
      </c>
      <c r="Q26" s="49">
        <f t="shared" si="19"/>
        <v>20.006</v>
      </c>
      <c r="R26" s="49">
        <f t="shared" si="19"/>
        <v>20.006</v>
      </c>
      <c r="S26" s="49">
        <f t="shared" si="19"/>
        <v>20.006</v>
      </c>
      <c r="T26" s="49">
        <f t="shared" si="19"/>
        <v>20.006</v>
      </c>
      <c r="U26" s="49">
        <f t="shared" si="19"/>
        <v>20.006</v>
      </c>
      <c r="V26" s="49">
        <f t="shared" si="19"/>
        <v>20.006</v>
      </c>
      <c r="W26" s="49">
        <f t="shared" si="19"/>
        <v>20.006</v>
      </c>
      <c r="X26" s="49">
        <f t="shared" si="19"/>
        <v>20.006</v>
      </c>
    </row>
    <row r="27" spans="2:24">
      <c r="B27" s="319" t="s">
        <v>160</v>
      </c>
      <c r="C27" s="21" t="s">
        <v>256</v>
      </c>
      <c r="D27" s="80"/>
      <c r="E27" s="80"/>
      <c r="F27" s="80"/>
      <c r="G27" s="80"/>
      <c r="H27" s="80"/>
      <c r="I27" s="487"/>
      <c r="J27" s="450">
        <v>0</v>
      </c>
      <c r="K27" s="450">
        <v>0</v>
      </c>
      <c r="L27" s="450">
        <v>0</v>
      </c>
      <c r="M27" s="450">
        <v>0</v>
      </c>
      <c r="N27" s="450">
        <v>0</v>
      </c>
      <c r="O27" s="295">
        <f t="shared" ref="O27:X27" si="20">N27</f>
        <v>0</v>
      </c>
      <c r="P27" s="49">
        <f t="shared" si="20"/>
        <v>0</v>
      </c>
      <c r="Q27" s="49">
        <f t="shared" si="20"/>
        <v>0</v>
      </c>
      <c r="R27" s="49">
        <f t="shared" si="20"/>
        <v>0</v>
      </c>
      <c r="S27" s="49">
        <f t="shared" si="20"/>
        <v>0</v>
      </c>
      <c r="T27" s="49">
        <f t="shared" si="20"/>
        <v>0</v>
      </c>
      <c r="U27" s="49">
        <f t="shared" si="20"/>
        <v>0</v>
      </c>
      <c r="V27" s="49">
        <f t="shared" si="20"/>
        <v>0</v>
      </c>
      <c r="W27" s="49">
        <f t="shared" si="20"/>
        <v>0</v>
      </c>
      <c r="X27" s="49">
        <f t="shared" si="20"/>
        <v>0</v>
      </c>
    </row>
    <row r="28" spans="2:24">
      <c r="B28" s="320" t="s">
        <v>152</v>
      </c>
      <c r="C28" s="29" t="s">
        <v>256</v>
      </c>
      <c r="D28" s="178"/>
      <c r="E28" s="178"/>
      <c r="F28" s="178"/>
      <c r="G28" s="178"/>
      <c r="H28" s="178"/>
      <c r="I28" s="178"/>
      <c r="J28" s="339">
        <f t="shared" ref="J28:O28" si="21">J29-SUM(J24:J27)</f>
        <v>2.4169999999999998</v>
      </c>
      <c r="K28" s="339">
        <f t="shared" si="21"/>
        <v>0.74600000000000044</v>
      </c>
      <c r="L28" s="339">
        <f t="shared" si="21"/>
        <v>0.57100000000000151</v>
      </c>
      <c r="M28" s="339">
        <f t="shared" si="21"/>
        <v>0.6319999999999979</v>
      </c>
      <c r="N28" s="339">
        <f t="shared" si="21"/>
        <v>1.3160000000000025</v>
      </c>
      <c r="O28" s="503">
        <f t="shared" si="21"/>
        <v>2.6749999999999972</v>
      </c>
      <c r="P28" s="215">
        <f t="shared" ref="P28:X28" si="22">O28</f>
        <v>2.6749999999999972</v>
      </c>
      <c r="Q28" s="215">
        <f t="shared" si="22"/>
        <v>2.6749999999999972</v>
      </c>
      <c r="R28" s="215">
        <f t="shared" si="22"/>
        <v>2.6749999999999972</v>
      </c>
      <c r="S28" s="215">
        <f t="shared" si="22"/>
        <v>2.6749999999999972</v>
      </c>
      <c r="T28" s="215">
        <f t="shared" si="22"/>
        <v>2.6749999999999972</v>
      </c>
      <c r="U28" s="215">
        <f t="shared" si="22"/>
        <v>2.6749999999999972</v>
      </c>
      <c r="V28" s="215">
        <f t="shared" si="22"/>
        <v>2.6749999999999972</v>
      </c>
      <c r="W28" s="215">
        <f t="shared" si="22"/>
        <v>2.6749999999999972</v>
      </c>
      <c r="X28" s="215">
        <f t="shared" si="22"/>
        <v>2.6749999999999972</v>
      </c>
    </row>
    <row r="29" spans="2:24" s="26" customFormat="1">
      <c r="B29" s="190" t="s">
        <v>158</v>
      </c>
      <c r="C29" s="27" t="s">
        <v>256</v>
      </c>
      <c r="D29" s="78"/>
      <c r="E29" s="78"/>
      <c r="F29" s="78"/>
      <c r="G29" s="78"/>
      <c r="H29" s="78"/>
      <c r="I29" s="34"/>
      <c r="J29" s="509">
        <v>11.195</v>
      </c>
      <c r="K29" s="509">
        <v>12.430999999999999</v>
      </c>
      <c r="L29" s="509">
        <v>19.856999999999999</v>
      </c>
      <c r="M29" s="509">
        <v>26.04</v>
      </c>
      <c r="N29" s="509">
        <v>37.649000000000001</v>
      </c>
      <c r="O29" s="518">
        <v>51.44</v>
      </c>
      <c r="P29" s="78">
        <f t="shared" ref="P29:T29" si="23">SUM(P24:P28)</f>
        <v>58.974245128974793</v>
      </c>
      <c r="Q29" s="78">
        <f t="shared" si="23"/>
        <v>67.883437733572165</v>
      </c>
      <c r="R29" s="78">
        <f t="shared" si="23"/>
        <v>77.473869398462284</v>
      </c>
      <c r="S29" s="78">
        <f t="shared" si="23"/>
        <v>87.664830790057877</v>
      </c>
      <c r="T29" s="78">
        <f t="shared" si="23"/>
        <v>98.123839346025648</v>
      </c>
      <c r="U29" s="78">
        <f t="shared" ref="U29" si="24">SUM(U24:U28)</f>
        <v>109.11135955634174</v>
      </c>
      <c r="V29" s="78">
        <f t="shared" ref="V29:W29" si="25">SUM(V24:V28)</f>
        <v>120.61659347556692</v>
      </c>
      <c r="W29" s="78">
        <f t="shared" si="25"/>
        <v>132.62483795029408</v>
      </c>
      <c r="X29" s="78">
        <f t="shared" ref="X29" si="26">SUM(X24:X28)</f>
        <v>145.12064234717167</v>
      </c>
    </row>
    <row r="30" spans="2:24" s="26" customFormat="1">
      <c r="B30" s="190"/>
      <c r="C30" s="65"/>
      <c r="D30" s="49"/>
      <c r="E30" s="49"/>
      <c r="F30" s="49"/>
      <c r="G30" s="49"/>
      <c r="H30" s="49"/>
      <c r="I30" s="367"/>
      <c r="J30" s="367"/>
      <c r="K30" s="367"/>
      <c r="L30" s="367"/>
      <c r="M30" s="367"/>
      <c r="N30" s="367"/>
      <c r="O30" s="258"/>
      <c r="P30" s="49"/>
      <c r="Q30" s="49"/>
      <c r="R30" s="49"/>
      <c r="S30" s="49"/>
      <c r="T30" s="49"/>
      <c r="U30" s="49"/>
      <c r="V30" s="49"/>
      <c r="W30" s="49"/>
      <c r="X30" s="49"/>
    </row>
    <row r="31" spans="2:24" s="26" customFormat="1">
      <c r="B31" s="193" t="s">
        <v>162</v>
      </c>
      <c r="C31" s="65"/>
      <c r="D31" s="49"/>
      <c r="E31" s="49"/>
      <c r="F31" s="49"/>
      <c r="G31" s="49"/>
      <c r="H31" s="49"/>
      <c r="I31" s="367"/>
      <c r="J31" s="367"/>
      <c r="K31" s="367"/>
      <c r="L31" s="367"/>
      <c r="M31" s="367"/>
      <c r="N31" s="367"/>
      <c r="O31" s="258"/>
      <c r="P31" s="49"/>
      <c r="Q31" s="49"/>
      <c r="R31" s="49"/>
      <c r="S31" s="49"/>
      <c r="T31" s="49"/>
      <c r="U31" s="49"/>
      <c r="V31" s="49"/>
      <c r="W31" s="49"/>
      <c r="X31" s="49"/>
    </row>
    <row r="32" spans="2:24">
      <c r="B32" s="319" t="s">
        <v>160</v>
      </c>
      <c r="C32" s="21" t="s">
        <v>256</v>
      </c>
      <c r="D32" s="80"/>
      <c r="E32" s="80"/>
      <c r="F32" s="80"/>
      <c r="G32" s="80"/>
      <c r="H32" s="80"/>
      <c r="I32" s="487"/>
      <c r="J32" s="450">
        <v>0</v>
      </c>
      <c r="K32" s="450">
        <v>0</v>
      </c>
      <c r="L32" s="450">
        <v>0</v>
      </c>
      <c r="M32" s="450">
        <v>0</v>
      </c>
      <c r="N32" s="450">
        <v>0</v>
      </c>
      <c r="O32" s="295">
        <f>N32+'3. Cashflow'!P30</f>
        <v>0</v>
      </c>
      <c r="P32" s="49">
        <f>O32+'3. Cashflow'!Q30</f>
        <v>0</v>
      </c>
      <c r="Q32" s="49">
        <f>P32+'3. Cashflow'!R30</f>
        <v>0</v>
      </c>
      <c r="R32" s="49">
        <f>Q32+'3. Cashflow'!S30</f>
        <v>0</v>
      </c>
      <c r="S32" s="49">
        <f>R32+'3. Cashflow'!T30</f>
        <v>0</v>
      </c>
      <c r="T32" s="49">
        <f>S32+'3. Cashflow'!U30</f>
        <v>0</v>
      </c>
      <c r="U32" s="49">
        <f>T32+'3. Cashflow'!V30</f>
        <v>0</v>
      </c>
      <c r="V32" s="49">
        <f>U32+'3. Cashflow'!W30</f>
        <v>0</v>
      </c>
      <c r="W32" s="49">
        <f>V32+'3. Cashflow'!X30</f>
        <v>0</v>
      </c>
      <c r="X32" s="49">
        <f>W32+'3. Cashflow'!Y30</f>
        <v>0</v>
      </c>
    </row>
    <row r="33" spans="2:24" s="35" customFormat="1">
      <c r="B33" s="319" t="s">
        <v>161</v>
      </c>
      <c r="C33" s="64" t="s">
        <v>256</v>
      </c>
      <c r="D33" s="80"/>
      <c r="E33" s="80"/>
      <c r="F33" s="80"/>
      <c r="G33" s="80"/>
      <c r="H33" s="80"/>
      <c r="I33" s="487"/>
      <c r="J33" s="450">
        <v>0.51800000000000002</v>
      </c>
      <c r="K33" s="450">
        <v>0.441</v>
      </c>
      <c r="L33" s="450">
        <v>0.48799999999999999</v>
      </c>
      <c r="M33" s="450">
        <v>0.49399999999999999</v>
      </c>
      <c r="N33" s="450">
        <v>0.5</v>
      </c>
      <c r="O33" s="295">
        <v>0.54900000000000004</v>
      </c>
      <c r="P33" s="49">
        <f t="shared" ref="P33:X33" si="27">O33</f>
        <v>0.54900000000000004</v>
      </c>
      <c r="Q33" s="49">
        <f t="shared" si="27"/>
        <v>0.54900000000000004</v>
      </c>
      <c r="R33" s="49">
        <f t="shared" si="27"/>
        <v>0.54900000000000004</v>
      </c>
      <c r="S33" s="49">
        <f t="shared" si="27"/>
        <v>0.54900000000000004</v>
      </c>
      <c r="T33" s="49">
        <f t="shared" si="27"/>
        <v>0.54900000000000004</v>
      </c>
      <c r="U33" s="49">
        <f t="shared" si="27"/>
        <v>0.54900000000000004</v>
      </c>
      <c r="V33" s="49">
        <f t="shared" si="27"/>
        <v>0.54900000000000004</v>
      </c>
      <c r="W33" s="49">
        <f t="shared" si="27"/>
        <v>0.54900000000000004</v>
      </c>
      <c r="X33" s="49">
        <f t="shared" si="27"/>
        <v>0.54900000000000004</v>
      </c>
    </row>
    <row r="34" spans="2:24">
      <c r="B34" s="319" t="s">
        <v>261</v>
      </c>
      <c r="C34" s="21" t="s">
        <v>256</v>
      </c>
      <c r="D34" s="80"/>
      <c r="E34" s="80"/>
      <c r="F34" s="80"/>
      <c r="G34" s="80"/>
      <c r="H34" s="80"/>
      <c r="I34" s="487"/>
      <c r="J34" s="450">
        <v>0.06</v>
      </c>
      <c r="K34" s="450">
        <v>2.3540000000000001</v>
      </c>
      <c r="L34" s="450">
        <v>1.986</v>
      </c>
      <c r="M34" s="450">
        <v>1.4490000000000001</v>
      </c>
      <c r="N34" s="450">
        <v>0.90300000000000002</v>
      </c>
      <c r="O34" s="295">
        <v>0.45800000000000002</v>
      </c>
      <c r="P34" s="49">
        <f t="shared" ref="P34:X35" si="28">O34</f>
        <v>0.45800000000000002</v>
      </c>
      <c r="Q34" s="49">
        <f t="shared" si="28"/>
        <v>0.45800000000000002</v>
      </c>
      <c r="R34" s="49">
        <f t="shared" si="28"/>
        <v>0.45800000000000002</v>
      </c>
      <c r="S34" s="49">
        <f t="shared" si="28"/>
        <v>0.45800000000000002</v>
      </c>
      <c r="T34" s="49">
        <f t="shared" si="28"/>
        <v>0.45800000000000002</v>
      </c>
      <c r="U34" s="49">
        <f t="shared" si="28"/>
        <v>0.45800000000000002</v>
      </c>
      <c r="V34" s="49">
        <f t="shared" si="28"/>
        <v>0.45800000000000002</v>
      </c>
      <c r="W34" s="49">
        <f t="shared" si="28"/>
        <v>0.45800000000000002</v>
      </c>
      <c r="X34" s="49">
        <f t="shared" si="28"/>
        <v>0.45800000000000002</v>
      </c>
    </row>
    <row r="35" spans="2:24" s="25" customFormat="1">
      <c r="B35" s="320" t="s">
        <v>152</v>
      </c>
      <c r="C35" s="29" t="s">
        <v>256</v>
      </c>
      <c r="D35" s="178"/>
      <c r="E35" s="178"/>
      <c r="F35" s="178"/>
      <c r="G35" s="178"/>
      <c r="H35" s="178"/>
      <c r="I35" s="178"/>
      <c r="J35" s="339">
        <f t="shared" ref="J35:O35" si="29">J36-SUM(J31:J34)</f>
        <v>0</v>
      </c>
      <c r="K35" s="339">
        <f t="shared" si="29"/>
        <v>0</v>
      </c>
      <c r="L35" s="339">
        <f t="shared" si="29"/>
        <v>0</v>
      </c>
      <c r="M35" s="339">
        <f t="shared" si="29"/>
        <v>0</v>
      </c>
      <c r="N35" s="339">
        <f t="shared" si="29"/>
        <v>0</v>
      </c>
      <c r="O35" s="503">
        <f t="shared" ca="1" si="29"/>
        <v>0</v>
      </c>
      <c r="P35" s="215">
        <f t="shared" ca="1" si="28"/>
        <v>0</v>
      </c>
      <c r="Q35" s="215">
        <f t="shared" ca="1" si="28"/>
        <v>0</v>
      </c>
      <c r="R35" s="215">
        <f t="shared" ca="1" si="28"/>
        <v>0</v>
      </c>
      <c r="S35" s="215">
        <f t="shared" ca="1" si="28"/>
        <v>0</v>
      </c>
      <c r="T35" s="215">
        <f t="shared" ca="1" si="28"/>
        <v>0</v>
      </c>
      <c r="U35" s="215">
        <f t="shared" ca="1" si="28"/>
        <v>0</v>
      </c>
      <c r="V35" s="215">
        <f t="shared" ca="1" si="28"/>
        <v>0</v>
      </c>
      <c r="W35" s="215">
        <f t="shared" ca="1" si="28"/>
        <v>0</v>
      </c>
      <c r="X35" s="215">
        <f t="shared" ca="1" si="28"/>
        <v>0</v>
      </c>
    </row>
    <row r="36" spans="2:24" s="40" customFormat="1">
      <c r="B36" s="193" t="s">
        <v>162</v>
      </c>
      <c r="C36" s="27" t="s">
        <v>256</v>
      </c>
      <c r="D36" s="78"/>
      <c r="E36" s="78"/>
      <c r="F36" s="78"/>
      <c r="G36" s="78"/>
      <c r="H36" s="78"/>
      <c r="I36" s="34"/>
      <c r="J36" s="509">
        <v>0.57799999999999996</v>
      </c>
      <c r="K36" s="509">
        <v>2.7949999999999999</v>
      </c>
      <c r="L36" s="509">
        <v>2.4740000000000002</v>
      </c>
      <c r="M36" s="509">
        <v>1.9430000000000001</v>
      </c>
      <c r="N36" s="509">
        <v>1.403</v>
      </c>
      <c r="O36" s="518">
        <f t="shared" ref="O36:T36" ca="1" si="30">SUM(O32:O35)</f>
        <v>1.0070000000000001</v>
      </c>
      <c r="P36" s="78">
        <f t="shared" ca="1" si="30"/>
        <v>1.0070000000000001</v>
      </c>
      <c r="Q36" s="78">
        <f t="shared" ca="1" si="30"/>
        <v>1.0070000000000001</v>
      </c>
      <c r="R36" s="78">
        <f t="shared" ca="1" si="30"/>
        <v>1.0070000000000001</v>
      </c>
      <c r="S36" s="78">
        <f t="shared" ca="1" si="30"/>
        <v>1.0070000000000001</v>
      </c>
      <c r="T36" s="78">
        <f t="shared" ca="1" si="30"/>
        <v>1.0070000000000001</v>
      </c>
      <c r="U36" s="78">
        <f t="shared" ref="U36" ca="1" si="31">SUM(U32:U35)</f>
        <v>1.0070000000000001</v>
      </c>
      <c r="V36" s="78">
        <f t="shared" ref="V36:W36" ca="1" si="32">SUM(V32:V35)</f>
        <v>1.0070000000000001</v>
      </c>
      <c r="W36" s="78">
        <f t="shared" ca="1" si="32"/>
        <v>1.0070000000000001</v>
      </c>
      <c r="X36" s="78">
        <f t="shared" ref="X36" ca="1" si="33">SUM(X32:X35)</f>
        <v>1.0070000000000001</v>
      </c>
    </row>
    <row r="37" spans="2:24" s="40" customFormat="1">
      <c r="B37" s="193" t="s">
        <v>163</v>
      </c>
      <c r="C37" s="27" t="s">
        <v>256</v>
      </c>
      <c r="D37" s="78"/>
      <c r="E37" s="78"/>
      <c r="F37" s="78"/>
      <c r="G37" s="78"/>
      <c r="H37" s="78"/>
      <c r="I37" s="34"/>
      <c r="J37" s="34">
        <f>J29+J36</f>
        <v>11.773</v>
      </c>
      <c r="K37" s="34">
        <f>K29+K36</f>
        <v>15.225999999999999</v>
      </c>
      <c r="L37" s="34">
        <f>L29+L36</f>
        <v>22.331</v>
      </c>
      <c r="M37" s="34">
        <f>M29+M36</f>
        <v>27.983000000000001</v>
      </c>
      <c r="N37" s="34">
        <f>N29+N36</f>
        <v>39.052</v>
      </c>
      <c r="O37" s="271">
        <f t="shared" ref="O37:T37" ca="1" si="34">O29+O36</f>
        <v>52.446999999999996</v>
      </c>
      <c r="P37" s="78">
        <f t="shared" ca="1" si="34"/>
        <v>59.981245128974791</v>
      </c>
      <c r="Q37" s="78">
        <f t="shared" ca="1" si="34"/>
        <v>68.89043773357217</v>
      </c>
      <c r="R37" s="78">
        <f t="shared" ca="1" si="34"/>
        <v>78.480869398462289</v>
      </c>
      <c r="S37" s="78">
        <f t="shared" ca="1" si="34"/>
        <v>88.671830790057882</v>
      </c>
      <c r="T37" s="78">
        <f t="shared" ca="1" si="34"/>
        <v>99.130839346025653</v>
      </c>
      <c r="U37" s="78">
        <f t="shared" ref="U37" ca="1" si="35">U29+U36</f>
        <v>110.11835955634174</v>
      </c>
      <c r="V37" s="78">
        <f t="shared" ref="V37:W37" ca="1" si="36">V29+V36</f>
        <v>121.62359347556692</v>
      </c>
      <c r="W37" s="78">
        <f t="shared" ca="1" si="36"/>
        <v>133.63183795029408</v>
      </c>
      <c r="X37" s="78">
        <f t="shared" ref="X37" ca="1" si="37">X29+X36</f>
        <v>146.12764234717167</v>
      </c>
    </row>
    <row r="38" spans="2:24" s="40" customFormat="1">
      <c r="B38" s="193"/>
      <c r="C38" s="27"/>
      <c r="D38" s="78"/>
      <c r="E38" s="78"/>
      <c r="F38" s="78"/>
      <c r="G38" s="78"/>
      <c r="H38" s="78"/>
      <c r="I38" s="34"/>
      <c r="J38" s="34"/>
      <c r="K38" s="34"/>
      <c r="L38" s="34"/>
      <c r="M38" s="34"/>
      <c r="N38" s="34"/>
      <c r="O38" s="271"/>
      <c r="P38" s="78"/>
      <c r="Q38" s="78"/>
      <c r="R38" s="78"/>
      <c r="S38" s="78"/>
      <c r="T38" s="78"/>
      <c r="U38" s="78"/>
      <c r="V38" s="78"/>
      <c r="W38" s="78"/>
      <c r="X38" s="78"/>
    </row>
    <row r="39" spans="2:24" s="40" customFormat="1">
      <c r="B39" s="193" t="s">
        <v>164</v>
      </c>
      <c r="C39" s="27" t="s">
        <v>256</v>
      </c>
      <c r="D39" s="78"/>
      <c r="E39" s="78"/>
      <c r="F39" s="78"/>
      <c r="G39" s="78"/>
      <c r="H39" s="78"/>
      <c r="I39" s="34"/>
      <c r="J39" s="34">
        <f>J21-J37</f>
        <v>507.53999999999996</v>
      </c>
      <c r="K39" s="34">
        <f>K21-K37</f>
        <v>478.75400000000002</v>
      </c>
      <c r="L39" s="34">
        <f>L21-L37</f>
        <v>453.786</v>
      </c>
      <c r="M39" s="34">
        <f>M21-M37</f>
        <v>440.22500000000002</v>
      </c>
      <c r="N39" s="34">
        <f>N21-N37</f>
        <v>437.54829999999998</v>
      </c>
      <c r="O39" s="271">
        <f t="shared" ref="O39:T39" ca="1" si="38">O21-O37</f>
        <v>445.92500000000001</v>
      </c>
      <c r="P39" s="78">
        <f t="shared" ca="1" si="38"/>
        <v>466.41377020030382</v>
      </c>
      <c r="Q39" s="78">
        <f t="shared" ca="1" si="38"/>
        <v>499.35797511118324</v>
      </c>
      <c r="R39" s="78">
        <f t="shared" ca="1" si="38"/>
        <v>549.7989906579478</v>
      </c>
      <c r="S39" s="78">
        <f t="shared" ca="1" si="38"/>
        <v>607.10559006050619</v>
      </c>
      <c r="T39" s="78">
        <f t="shared" ca="1" si="38"/>
        <v>681.4778942324167</v>
      </c>
      <c r="U39" s="78">
        <f t="shared" ref="U39" ca="1" si="39">U21-U37</f>
        <v>773.09187285204405</v>
      </c>
      <c r="V39" s="78">
        <f t="shared" ref="V39:W39" ca="1" si="40">V21-V37</f>
        <v>882.26881844803495</v>
      </c>
      <c r="W39" s="78">
        <f t="shared" ca="1" si="40"/>
        <v>1009.4528170813142</v>
      </c>
      <c r="X39" s="78">
        <f t="shared" ref="X39" ca="1" si="41">X21-X37</f>
        <v>1155.1935710867347</v>
      </c>
    </row>
    <row r="40" spans="2:24" s="40" customFormat="1">
      <c r="B40" s="193"/>
      <c r="C40" s="27"/>
      <c r="D40" s="78"/>
      <c r="E40" s="78"/>
      <c r="F40" s="78"/>
      <c r="G40" s="78"/>
      <c r="H40" s="78"/>
      <c r="I40" s="34"/>
      <c r="J40" s="34"/>
      <c r="K40" s="34"/>
      <c r="L40" s="34"/>
      <c r="M40" s="34"/>
      <c r="N40" s="34"/>
      <c r="O40" s="271"/>
      <c r="P40" s="78"/>
      <c r="Q40" s="78"/>
      <c r="R40" s="78"/>
      <c r="S40" s="78"/>
      <c r="T40" s="78"/>
      <c r="U40" s="78"/>
      <c r="V40" s="78"/>
      <c r="W40" s="78"/>
      <c r="X40" s="78"/>
    </row>
    <row r="41" spans="2:24" s="25" customFormat="1">
      <c r="B41" s="319" t="s">
        <v>208</v>
      </c>
      <c r="C41" s="21" t="s">
        <v>256</v>
      </c>
      <c r="D41" s="238"/>
      <c r="E41" s="238"/>
      <c r="F41" s="238"/>
      <c r="G41" s="238"/>
      <c r="H41" s="238"/>
      <c r="I41" s="450"/>
      <c r="J41" s="450">
        <v>525</v>
      </c>
      <c r="K41" s="450">
        <v>525</v>
      </c>
      <c r="L41" s="450">
        <v>525</v>
      </c>
      <c r="M41" s="450">
        <v>525.91499999999996</v>
      </c>
      <c r="N41" s="450">
        <v>527.24</v>
      </c>
      <c r="O41" s="295">
        <v>528.78800000000001</v>
      </c>
      <c r="P41" s="49">
        <f t="shared" ref="P41:X42" si="42">O41</f>
        <v>528.78800000000001</v>
      </c>
      <c r="Q41" s="49">
        <f t="shared" si="42"/>
        <v>528.78800000000001</v>
      </c>
      <c r="R41" s="49">
        <f t="shared" si="42"/>
        <v>528.78800000000001</v>
      </c>
      <c r="S41" s="49">
        <f t="shared" si="42"/>
        <v>528.78800000000001</v>
      </c>
      <c r="T41" s="49">
        <f t="shared" si="42"/>
        <v>528.78800000000001</v>
      </c>
      <c r="U41" s="49">
        <f t="shared" si="42"/>
        <v>528.78800000000001</v>
      </c>
      <c r="V41" s="49">
        <f t="shared" si="42"/>
        <v>528.78800000000001</v>
      </c>
      <c r="W41" s="49">
        <f t="shared" si="42"/>
        <v>528.78800000000001</v>
      </c>
      <c r="X41" s="49">
        <f t="shared" si="42"/>
        <v>528.78800000000001</v>
      </c>
    </row>
    <row r="42" spans="2:24" s="25" customFormat="1">
      <c r="B42" s="319" t="s">
        <v>209</v>
      </c>
      <c r="C42" s="21" t="s">
        <v>256</v>
      </c>
      <c r="D42" s="80"/>
      <c r="E42" s="80"/>
      <c r="F42" s="80"/>
      <c r="G42" s="80"/>
      <c r="H42" s="80"/>
      <c r="I42" s="487"/>
      <c r="J42" s="223">
        <f t="shared" ref="J42:O42" si="43">J44-J43-J41</f>
        <v>-14.007999999999981</v>
      </c>
      <c r="K42" s="223">
        <f t="shared" si="43"/>
        <v>-13.678999999999974</v>
      </c>
      <c r="L42" s="223">
        <f t="shared" si="43"/>
        <v>-11.913999999999987</v>
      </c>
      <c r="M42" s="223">
        <f t="shared" si="43"/>
        <v>-11.087999999999965</v>
      </c>
      <c r="N42" s="223">
        <f t="shared" si="43"/>
        <v>-10.724000000000046</v>
      </c>
      <c r="O42" s="468">
        <f t="shared" si="43"/>
        <v>-10.787000000000035</v>
      </c>
      <c r="P42" s="221">
        <f t="shared" si="42"/>
        <v>-10.787000000000035</v>
      </c>
      <c r="Q42" s="221">
        <f t="shared" si="42"/>
        <v>-10.787000000000035</v>
      </c>
      <c r="R42" s="221">
        <f t="shared" si="42"/>
        <v>-10.787000000000035</v>
      </c>
      <c r="S42" s="221">
        <f t="shared" si="42"/>
        <v>-10.787000000000035</v>
      </c>
      <c r="T42" s="221">
        <f t="shared" si="42"/>
        <v>-10.787000000000035</v>
      </c>
      <c r="U42" s="221">
        <f t="shared" si="42"/>
        <v>-10.787000000000035</v>
      </c>
      <c r="V42" s="221">
        <f t="shared" si="42"/>
        <v>-10.787000000000035</v>
      </c>
      <c r="W42" s="221">
        <f t="shared" si="42"/>
        <v>-10.787000000000035</v>
      </c>
      <c r="X42" s="221">
        <f t="shared" si="42"/>
        <v>-10.787000000000035</v>
      </c>
    </row>
    <row r="43" spans="2:24" s="25" customFormat="1">
      <c r="B43" s="320" t="s">
        <v>2</v>
      </c>
      <c r="C43" s="29" t="s">
        <v>256</v>
      </c>
      <c r="D43" s="178"/>
      <c r="E43" s="178"/>
      <c r="F43" s="178"/>
      <c r="G43" s="178"/>
      <c r="H43" s="178"/>
      <c r="I43" s="178"/>
      <c r="J43" s="451">
        <v>-3.452</v>
      </c>
      <c r="K43" s="451">
        <v>-32.567</v>
      </c>
      <c r="L43" s="451">
        <v>-59.3</v>
      </c>
      <c r="M43" s="451">
        <v>-74.602000000000004</v>
      </c>
      <c r="N43" s="451">
        <v>-78.974000000000004</v>
      </c>
      <c r="O43" s="500">
        <v>-72.075999999999993</v>
      </c>
      <c r="P43" s="360">
        <f>O43+'2. Income'!P40+'3. Cashflow'!Q34+1.6+0.6+1</f>
        <v>-51.831020677343986</v>
      </c>
      <c r="Q43" s="360">
        <f>P43+'2. Income'!Q40+'3. Cashflow'!R34+3.2+1.1+1.1</f>
        <v>-18.746722071891611</v>
      </c>
      <c r="R43" s="360">
        <f>Q43+'2. Income'!R40+'3. Cashflow'!S34+4.9+1.4+1</f>
        <v>31.823099102635098</v>
      </c>
      <c r="S43" s="360">
        <f>R43+'2. Income'!S40+'3. Cashflow'!T34-3.8+0.2</f>
        <v>88.878281380818322</v>
      </c>
      <c r="T43" s="360">
        <f>S43+'2. Income'!T40+'3. Cashflow'!U34-6.2+0.4</f>
        <v>162.74380266704202</v>
      </c>
      <c r="U43" s="360">
        <f>T43+'2. Income'!U40+'3. Cashflow'!V34-9.1+0.1+0.7</f>
        <v>253.59222069728975</v>
      </c>
      <c r="V43" s="360">
        <f>U43+'2. Income'!V40+'3. Cashflow'!W34-12.5-0.1+1.4</f>
        <v>361.66805280979423</v>
      </c>
      <c r="W43" s="360">
        <f>V43+'2. Income'!W40+'3. Cashflow'!X34-16.6+2.1</f>
        <v>487.3609341999304</v>
      </c>
      <c r="X43" s="360">
        <f>W43+'2. Income'!X40+'3. Cashflow'!Y34-21.4+3.4</f>
        <v>631.38718538622743</v>
      </c>
    </row>
    <row r="44" spans="2:24" s="40" customFormat="1" ht="12.75" customHeight="1">
      <c r="B44" s="193" t="s">
        <v>3</v>
      </c>
      <c r="C44" s="27" t="s">
        <v>256</v>
      </c>
      <c r="D44" s="78"/>
      <c r="E44" s="78"/>
      <c r="F44" s="78"/>
      <c r="G44" s="78"/>
      <c r="H44" s="78"/>
      <c r="I44" s="34"/>
      <c r="J44" s="509">
        <v>507.54</v>
      </c>
      <c r="K44" s="509">
        <v>478.75400000000002</v>
      </c>
      <c r="L44" s="509">
        <v>453.786</v>
      </c>
      <c r="M44" s="509">
        <v>440.22500000000002</v>
      </c>
      <c r="N44" s="509">
        <v>437.54199999999997</v>
      </c>
      <c r="O44" s="518">
        <v>445.92500000000001</v>
      </c>
      <c r="P44" s="78">
        <f t="shared" ref="P44:S44" si="44">SUM(P41:P43)</f>
        <v>466.16997932265599</v>
      </c>
      <c r="Q44" s="78">
        <f t="shared" si="44"/>
        <v>499.25427792810837</v>
      </c>
      <c r="R44" s="78">
        <f t="shared" si="44"/>
        <v>549.82409910263505</v>
      </c>
      <c r="S44" s="78">
        <f t="shared" si="44"/>
        <v>606.87928138081827</v>
      </c>
      <c r="T44" s="78">
        <f>SUM(T41:T43)</f>
        <v>680.74480266704199</v>
      </c>
      <c r="U44" s="78">
        <f>SUM(U41:U43)</f>
        <v>771.59322069728978</v>
      </c>
      <c r="V44" s="78">
        <f>SUM(V41:V43)</f>
        <v>879.66905280979427</v>
      </c>
      <c r="W44" s="78">
        <f>SUM(W41:W43)</f>
        <v>1005.3619341999304</v>
      </c>
      <c r="X44" s="78">
        <f>SUM(X41:X43)</f>
        <v>1149.3881853862274</v>
      </c>
    </row>
    <row r="45" spans="2:24" s="40" customFormat="1" ht="14.25" customHeight="1" collapsed="1">
      <c r="C45" s="27"/>
      <c r="D45" s="66"/>
      <c r="E45" s="66"/>
      <c r="F45" s="66"/>
      <c r="G45" s="66"/>
      <c r="H45" s="66"/>
      <c r="I45" s="77"/>
      <c r="J45" s="77"/>
      <c r="K45" s="77"/>
      <c r="L45" s="77"/>
      <c r="M45" s="77"/>
      <c r="N45" s="77"/>
      <c r="O45" s="272"/>
      <c r="P45" s="66"/>
      <c r="Q45" s="66"/>
      <c r="R45" s="66"/>
      <c r="S45" s="66"/>
      <c r="T45" s="66"/>
      <c r="U45" s="66"/>
      <c r="V45" s="66"/>
      <c r="W45" s="66"/>
      <c r="X45" s="66"/>
    </row>
    <row r="46" spans="2:24" s="187" customFormat="1" ht="14.25" hidden="1" customHeight="1" outlineLevel="1">
      <c r="B46" s="236" t="s">
        <v>4</v>
      </c>
      <c r="C46" s="335"/>
      <c r="D46" s="237"/>
      <c r="E46" s="237"/>
      <c r="F46" s="237"/>
      <c r="G46" s="237"/>
      <c r="H46" s="237"/>
      <c r="I46" s="496"/>
      <c r="J46" s="496">
        <f t="shared" ref="J46" si="45">J39-J44</f>
        <v>0</v>
      </c>
      <c r="K46" s="496">
        <f t="shared" ref="K46:S46" si="46">K39-K44</f>
        <v>0</v>
      </c>
      <c r="L46" s="496">
        <f t="shared" ref="L46:M46" si="47">L39-L44</f>
        <v>0</v>
      </c>
      <c r="M46" s="496">
        <f t="shared" si="47"/>
        <v>0</v>
      </c>
      <c r="N46" s="496">
        <f t="shared" ref="N46" si="48">N39-N44</f>
        <v>6.3000000000101863E-3</v>
      </c>
      <c r="O46" s="315">
        <f t="shared" ca="1" si="46"/>
        <v>0</v>
      </c>
      <c r="P46" s="237">
        <f t="shared" ca="1" si="46"/>
        <v>0.24379087764782525</v>
      </c>
      <c r="Q46" s="237">
        <f t="shared" ca="1" si="46"/>
        <v>0.10369718307487119</v>
      </c>
      <c r="R46" s="237">
        <f t="shared" ca="1" si="46"/>
        <v>-2.5108444687248266E-2</v>
      </c>
      <c r="S46" s="237">
        <f t="shared" ca="1" si="46"/>
        <v>0.2263086796879179</v>
      </c>
      <c r="T46" s="237">
        <f ca="1">T39-T44</f>
        <v>0.73309156537470699</v>
      </c>
      <c r="U46" s="237">
        <f ca="1">U39-U44</f>
        <v>1.4986521547542679</v>
      </c>
      <c r="V46" s="237">
        <f ca="1">V39-V44</f>
        <v>2.5997656382406831</v>
      </c>
      <c r="W46" s="237">
        <f ca="1">W39-W44</f>
        <v>4.0908828813837772</v>
      </c>
      <c r="X46" s="237">
        <f ca="1">X39-X44</f>
        <v>5.8053857005072587</v>
      </c>
    </row>
    <row r="47" spans="2:24" s="20" customFormat="1" ht="10.199999999999999" hidden="1" outlineLevel="1">
      <c r="B47" s="111"/>
      <c r="C47" s="337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316"/>
      <c r="P47" s="112"/>
      <c r="Q47" s="112"/>
      <c r="R47" s="112"/>
      <c r="S47" s="112"/>
      <c r="T47" s="112"/>
      <c r="U47" s="112"/>
      <c r="V47" s="112"/>
      <c r="W47" s="112"/>
      <c r="X47" s="112"/>
    </row>
    <row r="48" spans="2:24" hidden="1" outlineLevel="1">
      <c r="B48" s="113"/>
      <c r="C48" s="335"/>
      <c r="D48" s="114"/>
      <c r="E48" s="114"/>
      <c r="F48" s="114"/>
      <c r="G48" s="114"/>
      <c r="H48" s="114"/>
      <c r="I48" s="497"/>
      <c r="J48" s="497"/>
      <c r="K48" s="497"/>
      <c r="L48" s="497"/>
      <c r="M48" s="497"/>
      <c r="N48" s="497"/>
      <c r="O48" s="317"/>
      <c r="P48" s="114"/>
      <c r="Q48" s="114"/>
      <c r="R48" s="114"/>
      <c r="S48" s="114"/>
      <c r="T48" s="114"/>
      <c r="U48" s="114"/>
      <c r="V48" s="114"/>
      <c r="W48" s="114"/>
      <c r="X48" s="114"/>
    </row>
    <row r="49" spans="2:24" ht="14.4" thickBot="1">
      <c r="D49" s="48"/>
      <c r="E49" s="48"/>
      <c r="F49" s="48"/>
      <c r="G49" s="48"/>
      <c r="H49" s="48"/>
      <c r="I49" s="75"/>
      <c r="J49" s="75"/>
      <c r="K49" s="75"/>
      <c r="L49" s="75"/>
      <c r="M49" s="75"/>
      <c r="N49" s="75"/>
      <c r="O49" s="263"/>
      <c r="P49" s="48"/>
      <c r="Q49" s="48"/>
      <c r="R49" s="48"/>
      <c r="S49" s="48"/>
      <c r="T49" s="48"/>
      <c r="U49" s="48"/>
      <c r="V49" s="48"/>
      <c r="W49" s="48"/>
      <c r="X49" s="48"/>
    </row>
    <row r="50" spans="2:24">
      <c r="B50" s="104" t="s">
        <v>5</v>
      </c>
      <c r="C50" s="336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262"/>
      <c r="P50" s="47"/>
      <c r="Q50" s="47"/>
      <c r="R50" s="47"/>
      <c r="S50" s="47"/>
      <c r="T50" s="47"/>
      <c r="U50" s="47"/>
      <c r="V50" s="47"/>
      <c r="W50" s="47"/>
      <c r="X50" s="47"/>
    </row>
    <row r="51" spans="2:24">
      <c r="B51" s="10"/>
      <c r="C51" s="11" t="s">
        <v>113</v>
      </c>
      <c r="D51" s="108" t="str">
        <f t="shared" ref="D51:S51" si="49">D5</f>
        <v>FY14</v>
      </c>
      <c r="E51" s="108" t="str">
        <f t="shared" si="49"/>
        <v>FY15</v>
      </c>
      <c r="F51" s="108" t="str">
        <f t="shared" si="49"/>
        <v>FY16</v>
      </c>
      <c r="G51" s="108" t="str">
        <f t="shared" si="49"/>
        <v>FY17</v>
      </c>
      <c r="H51" s="108" t="str">
        <f t="shared" si="49"/>
        <v>FY18</v>
      </c>
      <c r="I51" s="108" t="str">
        <f t="shared" si="49"/>
        <v>FY19</v>
      </c>
      <c r="J51" s="108" t="str">
        <f t="shared" si="49"/>
        <v>FY20</v>
      </c>
      <c r="K51" s="108" t="str">
        <f t="shared" si="49"/>
        <v>FY21</v>
      </c>
      <c r="L51" s="108" t="str">
        <f t="shared" ref="L51:M51" si="50">L5</f>
        <v>FY22</v>
      </c>
      <c r="M51" s="108" t="str">
        <f t="shared" si="50"/>
        <v>FY23</v>
      </c>
      <c r="N51" s="108" t="str">
        <f t="shared" si="49"/>
        <v>FY24</v>
      </c>
      <c r="O51" s="314" t="str">
        <f t="shared" si="49"/>
        <v>FY25</v>
      </c>
      <c r="P51" s="108" t="str">
        <f t="shared" si="49"/>
        <v>FY26E</v>
      </c>
      <c r="Q51" s="108" t="str">
        <f t="shared" si="49"/>
        <v>FY27E</v>
      </c>
      <c r="R51" s="108" t="str">
        <f t="shared" si="49"/>
        <v>FY28E</v>
      </c>
      <c r="S51" s="108" t="str">
        <f t="shared" si="49"/>
        <v>FY29E</v>
      </c>
      <c r="T51" s="108" t="str">
        <f>T5</f>
        <v>FY30E</v>
      </c>
      <c r="U51" s="108" t="str">
        <f>U5</f>
        <v>FY31E</v>
      </c>
      <c r="V51" s="108" t="str">
        <f>V5</f>
        <v>FY32E</v>
      </c>
      <c r="W51" s="108" t="str">
        <f>W5</f>
        <v>FY33E</v>
      </c>
      <c r="X51" s="108" t="str">
        <f>X5</f>
        <v>FY34E</v>
      </c>
    </row>
    <row r="52" spans="2:24">
      <c r="D52" s="48"/>
      <c r="E52" s="48"/>
      <c r="F52" s="48"/>
      <c r="G52" s="48"/>
      <c r="H52" s="48"/>
      <c r="I52" s="75"/>
      <c r="J52" s="75"/>
      <c r="K52" s="75"/>
      <c r="L52" s="75"/>
      <c r="M52" s="75"/>
      <c r="N52" s="75"/>
      <c r="O52" s="263"/>
      <c r="P52" s="48"/>
      <c r="Q52" s="48"/>
      <c r="R52" s="48"/>
      <c r="S52" s="48"/>
      <c r="T52" s="48"/>
      <c r="U52" s="48"/>
      <c r="V52" s="48"/>
      <c r="W52" s="48"/>
      <c r="X52" s="48"/>
    </row>
    <row r="53" spans="2:24">
      <c r="B53" s="1" t="s">
        <v>147</v>
      </c>
      <c r="C53" s="2" t="str">
        <f>C41</f>
        <v>S$m</v>
      </c>
      <c r="D53" s="115"/>
      <c r="E53" s="115"/>
      <c r="F53" s="115"/>
      <c r="G53" s="115"/>
      <c r="H53" s="115"/>
      <c r="I53" s="17"/>
      <c r="J53" s="17">
        <f t="shared" ref="J53:U53" si="51">J8-J24+J9</f>
        <v>-1.0980000000000003</v>
      </c>
      <c r="K53" s="17">
        <f t="shared" si="51"/>
        <v>-1.3529999999999993</v>
      </c>
      <c r="L53" s="17">
        <f t="shared" ref="L53:M53" si="52">L8-L24+L9</f>
        <v>-9.0009999999999994</v>
      </c>
      <c r="M53" s="17">
        <f t="shared" si="52"/>
        <v>-17.695999999999998</v>
      </c>
      <c r="N53" s="17">
        <f t="shared" si="51"/>
        <v>-20.651000000000003</v>
      </c>
      <c r="O53" s="252">
        <f t="shared" si="51"/>
        <v>-22.050999999999998</v>
      </c>
      <c r="P53" s="115">
        <f t="shared" si="51"/>
        <v>-28.378360016325601</v>
      </c>
      <c r="Q53" s="115">
        <f t="shared" si="51"/>
        <v>-35.940209628480673</v>
      </c>
      <c r="R53" s="115">
        <f t="shared" si="51"/>
        <v>-44.192138626119387</v>
      </c>
      <c r="S53" s="115">
        <f t="shared" si="51"/>
        <v>-53.06638235302426</v>
      </c>
      <c r="T53" s="115">
        <f t="shared" si="51"/>
        <v>-62.283355325914478</v>
      </c>
      <c r="U53" s="115">
        <f t="shared" si="51"/>
        <v>-72.051915629501977</v>
      </c>
      <c r="V53" s="115">
        <f t="shared" ref="V53:W53" si="53">V8-V24+V9</f>
        <v>-82.3600435779382</v>
      </c>
      <c r="W53" s="115">
        <f t="shared" si="53"/>
        <v>-93.192587236226089</v>
      </c>
      <c r="X53" s="115">
        <f t="shared" ref="X53" si="54">X8-X24+X9</f>
        <v>-104.53382251878193</v>
      </c>
    </row>
    <row r="54" spans="2:24">
      <c r="B54" s="1" t="s">
        <v>6</v>
      </c>
      <c r="C54" s="2" t="str">
        <f>C53</f>
        <v>S$m</v>
      </c>
      <c r="D54" s="115"/>
      <c r="E54" s="115"/>
      <c r="F54" s="115"/>
      <c r="G54" s="115"/>
      <c r="H54" s="115"/>
      <c r="I54" s="17"/>
      <c r="J54" s="17">
        <f t="shared" ref="J54:X54" si="55">-(J53-I53)</f>
        <v>1.0980000000000003</v>
      </c>
      <c r="K54" s="17">
        <f t="shared" si="55"/>
        <v>0.25499999999999901</v>
      </c>
      <c r="L54" s="17">
        <f t="shared" si="55"/>
        <v>7.6479999999999997</v>
      </c>
      <c r="M54" s="17">
        <f t="shared" si="55"/>
        <v>8.6949999999999985</v>
      </c>
      <c r="N54" s="17">
        <f t="shared" si="55"/>
        <v>2.9550000000000054</v>
      </c>
      <c r="O54" s="252">
        <f t="shared" si="55"/>
        <v>1.399999999999995</v>
      </c>
      <c r="P54" s="115">
        <f t="shared" si="55"/>
        <v>6.3273600163256027</v>
      </c>
      <c r="Q54" s="115">
        <f t="shared" si="55"/>
        <v>7.561849612155072</v>
      </c>
      <c r="R54" s="115">
        <f t="shared" si="55"/>
        <v>8.2519289976387142</v>
      </c>
      <c r="S54" s="115">
        <f t="shared" si="55"/>
        <v>8.8742437269048722</v>
      </c>
      <c r="T54" s="115">
        <f t="shared" si="55"/>
        <v>9.2169729728902183</v>
      </c>
      <c r="U54" s="115">
        <f t="shared" si="55"/>
        <v>9.768560303587499</v>
      </c>
      <c r="V54" s="115">
        <f t="shared" si="55"/>
        <v>10.308127948436223</v>
      </c>
      <c r="W54" s="115">
        <f t="shared" si="55"/>
        <v>10.832543658287889</v>
      </c>
      <c r="X54" s="115">
        <f t="shared" si="55"/>
        <v>11.341235282555843</v>
      </c>
    </row>
    <row r="55" spans="2:24">
      <c r="B55" s="1" t="s">
        <v>148</v>
      </c>
      <c r="C55" s="2" t="s">
        <v>122</v>
      </c>
      <c r="D55" s="50"/>
      <c r="E55" s="50"/>
      <c r="F55" s="50"/>
      <c r="G55" s="50"/>
      <c r="H55" s="50"/>
      <c r="I55" s="24"/>
      <c r="J55" s="24"/>
      <c r="K55" s="24">
        <f t="shared" ref="K55:N55" si="56">K53/J53-1</f>
        <v>0.23224043715846898</v>
      </c>
      <c r="L55" s="24">
        <f t="shared" si="56"/>
        <v>5.6526237989652657</v>
      </c>
      <c r="M55" s="24">
        <f t="shared" si="56"/>
        <v>0.96600377735807119</v>
      </c>
      <c r="N55" s="24">
        <f t="shared" si="56"/>
        <v>0.16698688969258613</v>
      </c>
      <c r="O55" s="218">
        <f t="shared" ref="O55:X55" si="57">O53/N53-1</f>
        <v>6.7793327199651143E-2</v>
      </c>
      <c r="P55" s="50">
        <f t="shared" si="57"/>
        <v>0.28694208953451561</v>
      </c>
      <c r="Q55" s="50">
        <f t="shared" si="57"/>
        <v>0.26646534922401655</v>
      </c>
      <c r="R55" s="50">
        <f t="shared" si="57"/>
        <v>0.22960158226510474</v>
      </c>
      <c r="S55" s="50">
        <f t="shared" si="57"/>
        <v>0.20081046092799459</v>
      </c>
      <c r="T55" s="50">
        <f t="shared" si="57"/>
        <v>0.17368760718554888</v>
      </c>
      <c r="U55" s="50">
        <f t="shared" si="57"/>
        <v>0.15684062383073094</v>
      </c>
      <c r="V55" s="50">
        <f t="shared" si="57"/>
        <v>0.14306528644486893</v>
      </c>
      <c r="W55" s="50">
        <f t="shared" si="57"/>
        <v>0.13152668682158897</v>
      </c>
      <c r="X55" s="50">
        <f t="shared" si="57"/>
        <v>0.12169675313131822</v>
      </c>
    </row>
    <row r="56" spans="2:24">
      <c r="D56" s="80"/>
      <c r="E56" s="80"/>
      <c r="F56" s="80"/>
      <c r="G56" s="80"/>
      <c r="H56" s="80"/>
      <c r="I56" s="487"/>
      <c r="J56" s="487"/>
      <c r="K56" s="487"/>
      <c r="L56" s="487"/>
      <c r="M56" s="487"/>
      <c r="N56" s="487"/>
      <c r="O56" s="290"/>
      <c r="P56" s="80"/>
      <c r="Q56" s="80"/>
      <c r="R56" s="80"/>
      <c r="S56" s="80"/>
      <c r="T56" s="80"/>
      <c r="U56" s="80"/>
      <c r="V56" s="80"/>
      <c r="W56" s="80"/>
      <c r="X56" s="80"/>
    </row>
    <row r="57" spans="2:24">
      <c r="B57" s="1" t="s">
        <v>7</v>
      </c>
      <c r="C57" s="2" t="str">
        <f>C54</f>
        <v>S$m</v>
      </c>
      <c r="D57" s="49"/>
      <c r="E57" s="49"/>
      <c r="F57" s="49"/>
      <c r="G57" s="49"/>
      <c r="H57" s="49"/>
      <c r="I57" s="367"/>
      <c r="J57" s="367">
        <f t="shared" ref="J57:U57" si="58">J27+J32-J7</f>
        <v>-137.58799999999999</v>
      </c>
      <c r="K57" s="367">
        <f t="shared" si="58"/>
        <v>-94.582999999999998</v>
      </c>
      <c r="L57" s="367">
        <f t="shared" ref="L57:M57" si="59">L27+L32-L7</f>
        <v>-49.554000000000002</v>
      </c>
      <c r="M57" s="367">
        <f t="shared" si="59"/>
        <v>-44.002000000000002</v>
      </c>
      <c r="N57" s="367">
        <f t="shared" si="58"/>
        <v>-55.332999999999998</v>
      </c>
      <c r="O57" s="510">
        <f t="shared" si="58"/>
        <v>-80.686999999999998</v>
      </c>
      <c r="P57" s="49">
        <f t="shared" si="58"/>
        <v>-113.30066603573269</v>
      </c>
      <c r="Q57" s="49">
        <f t="shared" si="58"/>
        <v>-163.11012236145652</v>
      </c>
      <c r="R57" s="49">
        <f t="shared" si="58"/>
        <v>-236.40342846129042</v>
      </c>
      <c r="S57" s="49">
        <f t="shared" si="58"/>
        <v>-324.84792825089005</v>
      </c>
      <c r="T57" s="49">
        <f t="shared" si="58"/>
        <v>-427.79889271976452</v>
      </c>
      <c r="U57" s="49">
        <f t="shared" si="58"/>
        <v>-546.71609300215005</v>
      </c>
      <c r="V57" s="49">
        <f t="shared" ref="V57:W57" si="60">V27+V32-V7</f>
        <v>-682.77554830850113</v>
      </c>
      <c r="W57" s="49">
        <f t="shared" si="60"/>
        <v>-837.08709682471044</v>
      </c>
      <c r="X57" s="49">
        <f t="shared" ref="X57" si="61">X27+X32-X7</f>
        <v>-1010.6997251876198</v>
      </c>
    </row>
    <row r="58" spans="2:24">
      <c r="B58" s="1" t="s">
        <v>8</v>
      </c>
      <c r="C58" s="2" t="s">
        <v>122</v>
      </c>
      <c r="D58" s="50"/>
      <c r="E58" s="50"/>
      <c r="F58" s="50"/>
      <c r="G58" s="50"/>
      <c r="H58" s="50"/>
      <c r="I58" s="24"/>
      <c r="J58" s="24">
        <f t="shared" ref="J58" si="62">J57/J44</f>
        <v>-0.27108799306458603</v>
      </c>
      <c r="K58" s="24">
        <f t="shared" ref="K58:S58" si="63">K57/K44</f>
        <v>-0.19756075145064061</v>
      </c>
      <c r="L58" s="24">
        <f t="shared" ref="L58:M58" si="64">L57/L44</f>
        <v>-0.1092012534542714</v>
      </c>
      <c r="M58" s="24">
        <f t="shared" si="64"/>
        <v>-9.9953432903628833E-2</v>
      </c>
      <c r="N58" s="24">
        <f t="shared" si="63"/>
        <v>-0.12646328809577137</v>
      </c>
      <c r="O58" s="218">
        <f t="shared" si="63"/>
        <v>-0.18094298368559733</v>
      </c>
      <c r="P58" s="50">
        <f t="shared" si="63"/>
        <v>-0.24304582247093287</v>
      </c>
      <c r="Q58" s="50">
        <f t="shared" si="63"/>
        <v>-0.3267075107265161</v>
      </c>
      <c r="R58" s="50">
        <f t="shared" si="63"/>
        <v>-0.42996192572701558</v>
      </c>
      <c r="S58" s="50">
        <f t="shared" si="63"/>
        <v>-0.53527602311908085</v>
      </c>
      <c r="T58" s="50">
        <f>T57/T44</f>
        <v>-0.62842770307422324</v>
      </c>
      <c r="U58" s="50">
        <f>U57/U44</f>
        <v>-0.70855481662744779</v>
      </c>
      <c r="V58" s="50">
        <f>V57/V44</f>
        <v>-0.77617320528398048</v>
      </c>
      <c r="W58" s="50">
        <f>W57/W44</f>
        <v>-0.83262262907424134</v>
      </c>
      <c r="X58" s="50">
        <f>X57/X44</f>
        <v>-0.87933714478541969</v>
      </c>
    </row>
    <row r="59" spans="2:24">
      <c r="B59" s="1" t="s">
        <v>9</v>
      </c>
      <c r="C59" s="2" t="str">
        <f>C54</f>
        <v>S$m</v>
      </c>
      <c r="D59" s="106"/>
      <c r="E59" s="106"/>
      <c r="F59" s="106"/>
      <c r="G59" s="106"/>
      <c r="H59" s="106"/>
      <c r="I59" s="498"/>
      <c r="J59" s="498">
        <f t="shared" ref="J59" si="65">J21-J17</f>
        <v>514.51699999999994</v>
      </c>
      <c r="K59" s="498">
        <f t="shared" ref="K59:S59" si="66">K21-K17</f>
        <v>489.54700000000003</v>
      </c>
      <c r="L59" s="498">
        <f t="shared" ref="L59:M59" si="67">L21-L17</f>
        <v>471.97</v>
      </c>
      <c r="M59" s="498">
        <f t="shared" si="67"/>
        <v>463.13400000000001</v>
      </c>
      <c r="N59" s="498">
        <f t="shared" si="66"/>
        <v>472.77730000000003</v>
      </c>
      <c r="O59" s="318">
        <f t="shared" si="66"/>
        <v>495.28000000000003</v>
      </c>
      <c r="P59" s="106">
        <f t="shared" si="66"/>
        <v>523.30301532927865</v>
      </c>
      <c r="Q59" s="106">
        <f t="shared" si="66"/>
        <v>565.15641284475544</v>
      </c>
      <c r="R59" s="106">
        <f t="shared" si="66"/>
        <v>625.18786005641016</v>
      </c>
      <c r="S59" s="106">
        <f t="shared" si="66"/>
        <v>692.68542085056413</v>
      </c>
      <c r="T59" s="106">
        <f>T21-T17</f>
        <v>777.51673357844243</v>
      </c>
      <c r="U59" s="106">
        <f>U21-U17</f>
        <v>880.11823240838578</v>
      </c>
      <c r="V59" s="106">
        <f>V21-V17</f>
        <v>1000.8004119236019</v>
      </c>
      <c r="W59" s="106">
        <f>W21-W17</f>
        <v>1139.9926550316081</v>
      </c>
      <c r="X59" s="106">
        <f>X21-X17</f>
        <v>1298.2292134339064</v>
      </c>
    </row>
    <row r="60" spans="2:24">
      <c r="D60" s="106"/>
      <c r="E60" s="106"/>
      <c r="F60" s="106"/>
      <c r="G60" s="106"/>
      <c r="H60" s="106"/>
      <c r="I60" s="498"/>
      <c r="J60" s="498"/>
      <c r="K60" s="498"/>
      <c r="L60" s="498"/>
      <c r="M60" s="498"/>
      <c r="N60" s="498"/>
      <c r="O60" s="318"/>
      <c r="P60" s="106"/>
      <c r="Q60" s="106"/>
      <c r="R60" s="106"/>
      <c r="S60" s="106"/>
      <c r="T60" s="106"/>
      <c r="U60" s="106"/>
      <c r="V60" s="106"/>
      <c r="W60" s="106"/>
      <c r="X60" s="106"/>
    </row>
    <row r="61" spans="2:24">
      <c r="B61" s="1" t="s">
        <v>75</v>
      </c>
      <c r="C61" s="2" t="str">
        <f>C54</f>
        <v>S$m</v>
      </c>
      <c r="D61" s="106"/>
      <c r="E61" s="106"/>
      <c r="F61" s="106"/>
      <c r="G61" s="106"/>
      <c r="H61" s="106"/>
      <c r="I61" s="498"/>
      <c r="J61" s="498">
        <f>'2. Income'!J31*0.7</f>
        <v>-2.5059999999999998</v>
      </c>
      <c r="K61" s="498">
        <f>'2. Income'!K31*0.7</f>
        <v>-23.254631068259275</v>
      </c>
      <c r="L61" s="498">
        <f>'2. Income'!L31*0.7</f>
        <v>-18.5885</v>
      </c>
      <c r="M61" s="498">
        <f>'2. Income'!M31*0.7</f>
        <v>-9.730699999999997</v>
      </c>
      <c r="N61" s="498">
        <f>'2. Income'!N31*0.7</f>
        <v>-2.4499999999999948</v>
      </c>
      <c r="O61" s="318">
        <f>'2. Income'!O31*0.7</f>
        <v>7.1672552857142877</v>
      </c>
      <c r="P61" s="106">
        <f>'2. Income'!P31*0.7</f>
        <v>13.15822830876545</v>
      </c>
      <c r="Q61" s="106">
        <f>'2. Income'!Q31*0.7</f>
        <v>21.386728414778055</v>
      </c>
      <c r="R61" s="106">
        <f>'2. Income'!R31*0.7</f>
        <v>33.560164423297714</v>
      </c>
      <c r="S61" s="106">
        <f>'2. Income'!S31*0.7</f>
        <v>46.96007974826626</v>
      </c>
      <c r="T61" s="106">
        <f>'2. Income'!T31*0.7</f>
        <v>61.508291598011226</v>
      </c>
      <c r="U61" s="106">
        <f>'2. Income'!U31*0.7</f>
        <v>76.225760972068784</v>
      </c>
      <c r="V61" s="106">
        <f>'2. Income'!V31*0.7</f>
        <v>91.236866290047871</v>
      </c>
      <c r="W61" s="106">
        <f>'2. Income'!W31*0.7</f>
        <v>106.6467059513096</v>
      </c>
      <c r="X61" s="106">
        <f>'2. Income'!X31*0.7</f>
        <v>122.54581283056666</v>
      </c>
    </row>
    <row r="62" spans="2:24" s="35" customFormat="1">
      <c r="B62" s="35" t="s">
        <v>76</v>
      </c>
      <c r="C62" s="329" t="s">
        <v>122</v>
      </c>
      <c r="D62" s="88"/>
      <c r="E62" s="88"/>
      <c r="F62" s="88"/>
      <c r="G62" s="88"/>
      <c r="H62" s="88"/>
      <c r="I62" s="499"/>
      <c r="J62" s="499">
        <f t="shared" ref="J62" si="68">J61/J59</f>
        <v>-4.8705873664038309E-3</v>
      </c>
      <c r="K62" s="499">
        <f t="shared" ref="K62:S62" si="69">K61/K59</f>
        <v>-4.7502346185880569E-2</v>
      </c>
      <c r="L62" s="499">
        <f t="shared" ref="L62:M62" si="70">L61/L59</f>
        <v>-3.93849185329576E-2</v>
      </c>
      <c r="M62" s="499">
        <f t="shared" si="70"/>
        <v>-2.1010549862458806E-2</v>
      </c>
      <c r="N62" s="499">
        <f t="shared" si="69"/>
        <v>-5.1821438973486981E-3</v>
      </c>
      <c r="O62" s="292">
        <f t="shared" si="69"/>
        <v>1.4471117924637148E-2</v>
      </c>
      <c r="P62" s="88">
        <f t="shared" si="69"/>
        <v>2.514456810550935E-2</v>
      </c>
      <c r="Q62" s="88">
        <f t="shared" si="69"/>
        <v>3.7842140562692049E-2</v>
      </c>
      <c r="R62" s="88">
        <f t="shared" si="69"/>
        <v>5.368012811424331E-2</v>
      </c>
      <c r="S62" s="88">
        <f t="shared" si="69"/>
        <v>6.7794237231964427E-2</v>
      </c>
      <c r="T62" s="88">
        <f>T61/T59</f>
        <v>7.910864029244169E-2</v>
      </c>
      <c r="U62" s="88">
        <f>U61/U59</f>
        <v>8.6608546630697544E-2</v>
      </c>
      <c r="V62" s="88">
        <f>V61/V59</f>
        <v>9.1163897619391282E-2</v>
      </c>
      <c r="W62" s="88">
        <f>W61/W59</f>
        <v>9.3550344803188801E-2</v>
      </c>
      <c r="X62" s="88">
        <f>X61/X59</f>
        <v>9.4394588846467634E-2</v>
      </c>
    </row>
    <row r="63" spans="2:24" s="35" customFormat="1">
      <c r="C63" s="329"/>
      <c r="D63" s="88"/>
      <c r="E63" s="88"/>
      <c r="F63" s="88"/>
      <c r="G63" s="88"/>
      <c r="H63" s="88"/>
      <c r="I63" s="499"/>
      <c r="J63" s="499"/>
      <c r="K63" s="499"/>
      <c r="L63" s="499"/>
      <c r="M63" s="499"/>
      <c r="N63" s="499"/>
      <c r="O63" s="292"/>
      <c r="P63" s="88"/>
      <c r="Q63" s="88"/>
      <c r="R63" s="88"/>
      <c r="S63" s="88"/>
      <c r="T63" s="88"/>
      <c r="U63" s="88"/>
      <c r="V63" s="88"/>
      <c r="W63" s="88"/>
      <c r="X63" s="88"/>
    </row>
    <row r="64" spans="2:24">
      <c r="B64" s="1" t="s">
        <v>10</v>
      </c>
      <c r="C64" s="2" t="s">
        <v>122</v>
      </c>
      <c r="D64" s="50"/>
      <c r="E64" s="50"/>
      <c r="F64" s="50"/>
      <c r="G64" s="50"/>
      <c r="H64" s="50"/>
      <c r="I64" s="24"/>
      <c r="J64" s="24">
        <f>'2. Income'!J41/AVERAGE('4. Balance Sheet'!J21:J21)</f>
        <v>-5.7113917810645981E-3</v>
      </c>
      <c r="K64" s="24">
        <f>'2. Income'!K41/AVERAGE('4. Balance Sheet'!K21:K21)</f>
        <v>-5.7087331470909747E-2</v>
      </c>
      <c r="L64" s="24">
        <f>'2. Income'!L41/AVERAGE('4. Balance Sheet'!L21:L21)</f>
        <v>-5.6343293770228745E-2</v>
      </c>
      <c r="M64" s="24">
        <f>'2. Income'!M41/AVERAGE('4. Balance Sheet'!M21:M21)</f>
        <v>-3.2844376858148505E-2</v>
      </c>
      <c r="N64" s="24">
        <f>'2. Income'!N41/AVERAGE('4. Balance Sheet'!N21:N21)</f>
        <v>-9.1733051783643299E-3</v>
      </c>
      <c r="O64" s="218">
        <f>'2. Income'!O41/AVERAGE('4. Balance Sheet'!O21:O21)</f>
        <v>1.2849710903600089E-2</v>
      </c>
      <c r="P64" s="50">
        <f>'2. Income'!P41/AVERAGE('4. Balance Sheet'!P21:P21)</f>
        <v>3.238058649167444E-2</v>
      </c>
      <c r="Q64" s="50">
        <f>'2. Income'!Q41/AVERAGE('4. Balance Sheet'!Q21:Q21)</f>
        <v>4.8718655397310684E-2</v>
      </c>
      <c r="R64" s="50">
        <f>'2. Income'!R41/AVERAGE('4. Balance Sheet'!R21:R21)</f>
        <v>6.8870297976194442E-2</v>
      </c>
      <c r="S64" s="50">
        <f>'2. Income'!S41/AVERAGE('4. Balance Sheet'!S21:S21)</f>
        <v>8.7176129119042586E-2</v>
      </c>
      <c r="T64" s="50">
        <f>'2. Income'!T41/AVERAGE('4. Balance Sheet'!T21:T21)</f>
        <v>0.1020556366581033</v>
      </c>
      <c r="U64" s="50">
        <f>'2. Income'!U41/AVERAGE('4. Balance Sheet'!U21:U21)</f>
        <v>0.1122591364910758</v>
      </c>
      <c r="V64" s="50">
        <f>'2. Income'!V41/AVERAGE('4. Balance Sheet'!V21:V21)</f>
        <v>0.11881336156725693</v>
      </c>
      <c r="W64" s="50">
        <f>'2. Income'!W41/AVERAGE('4. Balance Sheet'!W21:W21)</f>
        <v>0.12264435601776109</v>
      </c>
      <c r="X64" s="50">
        <f>'2. Income'!X41/AVERAGE('4. Balance Sheet'!X21:X21)</f>
        <v>0.12450903705684217</v>
      </c>
    </row>
    <row r="65" spans="2:24">
      <c r="B65" s="1" t="s">
        <v>11</v>
      </c>
      <c r="C65" s="2" t="s">
        <v>122</v>
      </c>
      <c r="D65" s="50"/>
      <c r="E65" s="50"/>
      <c r="F65" s="50"/>
      <c r="G65" s="50"/>
      <c r="H65" s="50"/>
      <c r="I65" s="24"/>
      <c r="J65" s="24">
        <f>'2. Income'!J41/AVERAGE('4. Balance Sheet'!J44:J44)</f>
        <v>-5.8438743744335412E-3</v>
      </c>
      <c r="K65" s="24">
        <f>'2. Income'!K41/AVERAGE('4. Balance Sheet'!K44:K44)</f>
        <v>-5.8902902116744711E-2</v>
      </c>
      <c r="L65" s="24">
        <f>'2. Income'!L41/AVERAGE('4. Balance Sheet'!L44:L44)</f>
        <v>-5.9115970964287133E-2</v>
      </c>
      <c r="M65" s="24">
        <f>'2. Income'!M41/AVERAGE('4. Balance Sheet'!M44:M44)</f>
        <v>-3.493213697541029E-2</v>
      </c>
      <c r="N65" s="24">
        <f>'2. Income'!N41/AVERAGE('4. Balance Sheet'!N44:N44)</f>
        <v>-9.9921836075165197E-3</v>
      </c>
      <c r="O65" s="218">
        <f>'2. Income'!O41/AVERAGE('4. Balance Sheet'!O44:O44)</f>
        <v>1.4361016140492198E-2</v>
      </c>
      <c r="P65" s="50">
        <f>'2. Income'!P41/AVERAGE('4. Balance Sheet'!P44:P44)</f>
        <v>3.6563871717827733E-2</v>
      </c>
      <c r="Q65" s="50">
        <f>'2. Income'!Q41/AVERAGE('4. Balance Sheet'!Q44:Q44)</f>
        <v>5.5451299727147969E-2</v>
      </c>
      <c r="R65" s="50">
        <f>'2. Income'!R41/AVERAGE('4. Balance Sheet'!R44:R44)</f>
        <v>7.8697571178031583E-2</v>
      </c>
      <c r="S65" s="50">
        <f>'2. Income'!S41/AVERAGE('4. Balance Sheet'!S44:S44)</f>
        <v>9.9946042218109488E-2</v>
      </c>
      <c r="T65" s="50">
        <f>'2. Income'!T41/AVERAGE('4. Balance Sheet'!T44:T44)</f>
        <v>0.11702699891957714</v>
      </c>
      <c r="U65" s="50">
        <f>'2. Income'!U41/AVERAGE('4. Balance Sheet'!U44:U44)</f>
        <v>0.12849830113935837</v>
      </c>
      <c r="V65" s="50">
        <f>'2. Income'!V41/AVERAGE('4. Balance Sheet'!V44:V44)</f>
        <v>0.13559171114582208</v>
      </c>
      <c r="W65" s="50">
        <f>'2. Income'!W41/AVERAGE('4. Balance Sheet'!W44:W44)</f>
        <v>0.1394451854810895</v>
      </c>
      <c r="X65" s="50">
        <f>'2. Income'!X41/AVERAGE('4. Balance Sheet'!X44:X44)</f>
        <v>0.14096738877810164</v>
      </c>
    </row>
    <row r="66" spans="2:24">
      <c r="B66" s="1" t="s">
        <v>12</v>
      </c>
      <c r="C66" s="2" t="s">
        <v>122</v>
      </c>
      <c r="D66" s="50"/>
      <c r="E66" s="50"/>
      <c r="F66" s="50"/>
      <c r="G66" s="50"/>
      <c r="H66" s="50"/>
      <c r="I66" s="24"/>
      <c r="J66" s="24">
        <f>J53/'2. Income'!J9</f>
        <v>-0.54626865671641811</v>
      </c>
      <c r="K66" s="24">
        <f>K53/'2. Income'!K9</f>
        <v>-4.1888544891640851E-2</v>
      </c>
      <c r="L66" s="24">
        <f>L53/'2. Income'!L9</f>
        <v>-0.15672447416074661</v>
      </c>
      <c r="M66" s="24">
        <f>M53/'2. Income'!M9</f>
        <v>-0.20552845528455282</v>
      </c>
      <c r="N66" s="24">
        <f>N53/'2. Income'!N9</f>
        <v>-0.17640627002092857</v>
      </c>
      <c r="O66" s="218">
        <f>O53/'2. Income'!O9</f>
        <v>-0.14583319555311591</v>
      </c>
      <c r="P66" s="50">
        <f>P53/'2. Income'!P9</f>
        <v>-0.15671209334879851</v>
      </c>
      <c r="Q66" s="50">
        <f>Q53/'2. Income'!Q9</f>
        <v>-0.16767099745838754</v>
      </c>
      <c r="R66" s="50">
        <f>R53/'2. Income'!R9</f>
        <v>-0.17862990156797662</v>
      </c>
      <c r="S66" s="50">
        <f>S53/'2. Income'!S9</f>
        <v>-0.18958880567756561</v>
      </c>
      <c r="T66" s="50">
        <f>T53/'2. Income'!T9</f>
        <v>-0.20054770978715467</v>
      </c>
      <c r="U66" s="50">
        <f>U53/'2. Income'!U9</f>
        <v>-0.21150661389674372</v>
      </c>
      <c r="V66" s="50">
        <f>V53/'2. Income'!V9</f>
        <v>-0.22246551800633277</v>
      </c>
      <c r="W66" s="50">
        <f>W53/'2. Income'!W9</f>
        <v>-0.23342442211592182</v>
      </c>
      <c r="X66" s="50">
        <f>X53/'2. Income'!X9</f>
        <v>-0.24438332622551087</v>
      </c>
    </row>
    <row r="67" spans="2:24">
      <c r="B67" s="1" t="s">
        <v>13</v>
      </c>
      <c r="C67" s="2" t="s">
        <v>122</v>
      </c>
      <c r="D67" s="50"/>
      <c r="E67" s="50"/>
      <c r="F67" s="50"/>
      <c r="G67" s="50"/>
      <c r="H67" s="50"/>
      <c r="I67" s="24"/>
      <c r="J67" s="24">
        <f>J8/'2. Income'!J9</f>
        <v>3.239303482587065</v>
      </c>
      <c r="K67" s="24">
        <f>K8/'2. Income'!K9</f>
        <v>0.2163777089783282</v>
      </c>
      <c r="L67" s="24">
        <f>L8/'2. Income'!L9</f>
        <v>9.76807354784789E-2</v>
      </c>
      <c r="M67" s="24">
        <f>M8/'2. Income'!M9</f>
        <v>3.5319396051103367E-2</v>
      </c>
      <c r="N67" s="24">
        <f>N8/'2. Income'!N9</f>
        <v>3.9525050185794212E-2</v>
      </c>
      <c r="O67" s="218">
        <f>O8/'2. Income'!O9</f>
        <v>3.4508984372416625E-2</v>
      </c>
      <c r="P67" s="50">
        <f>P8/'2. Income'!P9</f>
        <v>3.4490052217595352E-2</v>
      </c>
      <c r="Q67" s="50">
        <f>Q8/'2. Income'!Q9</f>
        <v>3.4490052217595352E-2</v>
      </c>
      <c r="R67" s="50">
        <f>R8/'2. Income'!R9</f>
        <v>3.4490052217595345E-2</v>
      </c>
      <c r="S67" s="50">
        <f>S8/'2. Income'!S9</f>
        <v>3.4490052217595352E-2</v>
      </c>
      <c r="T67" s="50">
        <f>T8/'2. Income'!T9</f>
        <v>3.4490052217595352E-2</v>
      </c>
      <c r="U67" s="50">
        <f>U8/'2. Income'!U9</f>
        <v>3.4490052217595352E-2</v>
      </c>
      <c r="V67" s="50">
        <f>V8/'2. Income'!V9</f>
        <v>3.4490052217595352E-2</v>
      </c>
      <c r="W67" s="50">
        <f>W8/'2. Income'!W9</f>
        <v>3.4490052217595352E-2</v>
      </c>
      <c r="X67" s="50">
        <f>X8/'2. Income'!X9</f>
        <v>3.4490052217595352E-2</v>
      </c>
    </row>
    <row r="68" spans="2:24">
      <c r="B68" s="1" t="s">
        <v>14</v>
      </c>
      <c r="C68" s="2" t="s">
        <v>122</v>
      </c>
      <c r="D68" s="50"/>
      <c r="E68" s="50"/>
      <c r="F68" s="50"/>
      <c r="G68" s="50"/>
      <c r="H68" s="50"/>
      <c r="I68" s="24"/>
      <c r="J68" s="24">
        <f>J24/'2. Income'!J9</f>
        <v>3.9079601990049757</v>
      </c>
      <c r="K68" s="24">
        <f>K24/'2. Income'!K9</f>
        <v>0.2669659442724458</v>
      </c>
      <c r="L68" s="24">
        <f>L24/'2. Income'!L9</f>
        <v>0.25696475832288618</v>
      </c>
      <c r="M68" s="24">
        <f>M24/'2. Income'!M9</f>
        <v>0.24423925667828109</v>
      </c>
      <c r="N68" s="24">
        <f>N24/'2. Income'!N9</f>
        <v>0.22168026310169564</v>
      </c>
      <c r="O68" s="218">
        <f>O24/'2. Income'!O9</f>
        <v>0.18636041982183366</v>
      </c>
      <c r="P68" s="50">
        <f>P24/'2. Income'!P9</f>
        <v>0.19721708376455635</v>
      </c>
      <c r="Q68" s="50">
        <f>Q24/'2. Income'!Q9</f>
        <v>0.20817598787414537</v>
      </c>
      <c r="R68" s="50">
        <f>R24/'2. Income'!R9</f>
        <v>0.21913489198373443</v>
      </c>
      <c r="S68" s="50">
        <f>S24/'2. Income'!S9</f>
        <v>0.23009379609332342</v>
      </c>
      <c r="T68" s="50">
        <f>T24/'2. Income'!T9</f>
        <v>0.2410527002029125</v>
      </c>
      <c r="U68" s="50">
        <f>U24/'2. Income'!U9</f>
        <v>0.25201160431250152</v>
      </c>
      <c r="V68" s="50">
        <f>V24/'2. Income'!V9</f>
        <v>0.26297050842209058</v>
      </c>
      <c r="W68" s="50">
        <f>W24/'2. Income'!W9</f>
        <v>0.27392941253167963</v>
      </c>
      <c r="X68" s="50">
        <f>X24/'2. Income'!X9</f>
        <v>0.28488831664126868</v>
      </c>
    </row>
    <row r="69" spans="2:24">
      <c r="B69" s="1" t="s">
        <v>15</v>
      </c>
      <c r="C69" s="2" t="s">
        <v>122</v>
      </c>
      <c r="D69" s="50"/>
      <c r="E69" s="50"/>
      <c r="F69" s="50"/>
      <c r="G69" s="50"/>
      <c r="H69" s="50"/>
      <c r="I69" s="24"/>
      <c r="J69" s="24"/>
      <c r="K69" s="24">
        <f t="shared" ref="K69:X69" si="71">(K14/J14)-1</f>
        <v>8.2379736293060501E-2</v>
      </c>
      <c r="L69" s="24">
        <f t="shared" si="71"/>
        <v>2.8108855074512107E-2</v>
      </c>
      <c r="M69" s="24">
        <f t="shared" si="71"/>
        <v>4.1491652792839506E-2</v>
      </c>
      <c r="N69" s="24">
        <f t="shared" si="71"/>
        <v>2.8344637946837725E-2</v>
      </c>
      <c r="O69" s="218">
        <f t="shared" si="71"/>
        <v>4.0694378585358626E-2</v>
      </c>
      <c r="P69" s="50">
        <f t="shared" si="71"/>
        <v>1.6976310738396228E-2</v>
      </c>
      <c r="Q69" s="50">
        <f t="shared" si="71"/>
        <v>3.0105040068637567E-3</v>
      </c>
      <c r="R69" s="50">
        <f t="shared" si="71"/>
        <v>-1.9717375443400575E-2</v>
      </c>
      <c r="S69" s="50">
        <f t="shared" si="71"/>
        <v>-5.0673667848734727E-2</v>
      </c>
      <c r="T69" s="50">
        <f t="shared" si="71"/>
        <v>-4.6786692944625785E-2</v>
      </c>
      <c r="U69" s="50">
        <f t="shared" si="71"/>
        <v>-4.5651653289504934E-2</v>
      </c>
      <c r="V69" s="50">
        <f t="shared" si="71"/>
        <v>-4.7152771020317896E-2</v>
      </c>
      <c r="W69" s="50">
        <f t="shared" si="71"/>
        <v>-5.1132493030861204E-2</v>
      </c>
      <c r="X69" s="50">
        <f t="shared" si="71"/>
        <v>-5.7456689222209034E-2</v>
      </c>
    </row>
    <row r="70" spans="2:24" s="25" customFormat="1">
      <c r="B70" s="25" t="s">
        <v>16</v>
      </c>
      <c r="C70" s="2" t="s">
        <v>122</v>
      </c>
      <c r="D70" s="24"/>
      <c r="E70" s="24"/>
      <c r="F70" s="24"/>
      <c r="G70" s="24"/>
      <c r="H70" s="24"/>
      <c r="I70" s="24"/>
      <c r="J70" s="24">
        <f>'2. Income'!J26/'4. Balance Sheet'!J14</f>
        <v>3.8328014719317409E-3</v>
      </c>
      <c r="K70" s="24">
        <f>'2. Income'!K26/'4. Balance Sheet'!K14</f>
        <v>8.8105490581075876E-2</v>
      </c>
      <c r="L70" s="24">
        <f>'2. Income'!L26/'4. Balance Sheet'!L14</f>
        <v>0.11862885857860732</v>
      </c>
      <c r="M70" s="24">
        <f>'2. Income'!M26/'4. Balance Sheet'!M14</f>
        <v>0.12358570119156737</v>
      </c>
      <c r="N70" s="24">
        <f>'2. Income'!N26/'4. Balance Sheet'!N14</f>
        <v>0.14151760725325421</v>
      </c>
      <c r="O70" s="218">
        <f>'2. Income'!O26/'4. Balance Sheet'!O14</f>
        <v>0.15140718409016943</v>
      </c>
      <c r="P70" s="24">
        <f>'2. Income'!P26/'4. Balance Sheet'!P14</f>
        <v>0.16336007753791459</v>
      </c>
      <c r="Q70" s="24">
        <f>'2. Income'!Q26/'4. Balance Sheet'!Q14</f>
        <v>0.17403116078471439</v>
      </c>
      <c r="R70" s="24">
        <f>'2. Income'!R26/'4. Balance Sheet'!R14</f>
        <v>0.18663144015813296</v>
      </c>
      <c r="S70" s="24">
        <f>'2. Income'!S26/'4. Balance Sheet'!S14</f>
        <v>0.20173981659371917</v>
      </c>
      <c r="T70" s="24">
        <f>'2. Income'!T26/'4. Balance Sheet'!T14</f>
        <v>0.21038259480763838</v>
      </c>
      <c r="U70" s="24">
        <f>'2. Income'!U26/'4. Balance Sheet'!U14</f>
        <v>0.22005058676464817</v>
      </c>
      <c r="V70" s="24">
        <f>'2. Income'!V26/'4. Balance Sheet'!V14</f>
        <v>0.23080627646410126</v>
      </c>
      <c r="W70" s="24">
        <f>'2. Income'!W26/'4. Balance Sheet'!W14</f>
        <v>0.24274426172649485</v>
      </c>
      <c r="X70" s="24">
        <f>'2. Income'!X26/'4. Balance Sheet'!X14</f>
        <v>0.25601166723426882</v>
      </c>
    </row>
    <row r="71" spans="2:24" s="25" customFormat="1">
      <c r="B71" s="25" t="s">
        <v>74</v>
      </c>
      <c r="C71" s="2" t="s">
        <v>122</v>
      </c>
      <c r="D71" s="46"/>
      <c r="E71" s="46"/>
      <c r="F71" s="46"/>
      <c r="G71" s="46"/>
      <c r="H71" s="46"/>
      <c r="I71" s="46"/>
      <c r="J71" s="46">
        <f>('2. Income'!J31*0.7)/AVERAGE('4. Balance Sheet'!J21:J21)</f>
        <v>-4.825606137339138E-3</v>
      </c>
      <c r="K71" s="46">
        <f>('2. Income'!K31*0.7)/AVERAGE('4. Balance Sheet'!K21:K21)</f>
        <v>-4.7076057873313239E-2</v>
      </c>
      <c r="L71" s="46">
        <f>('2. Income'!L31*0.7)/AVERAGE('4. Balance Sheet'!L21:L21)</f>
        <v>-3.9041874161183071E-2</v>
      </c>
      <c r="M71" s="46">
        <f>('2. Income'!M31*0.7)/AVERAGE('4. Balance Sheet'!M21:M21)</f>
        <v>-2.0782857191675486E-2</v>
      </c>
      <c r="N71" s="46">
        <f>('2. Income'!N31*0.7)/AVERAGE('4. Balance Sheet'!N21:N21)</f>
        <v>-5.1405758661922677E-3</v>
      </c>
      <c r="O71" s="220">
        <f>('2. Income'!O31*0.7)/AVERAGE('4. Balance Sheet'!O21:O21)</f>
        <v>1.4381336202102621E-2</v>
      </c>
      <c r="P71" s="46">
        <f>('2. Income'!P31*0.7)/AVERAGE('4. Balance Sheet'!P21:P21)</f>
        <v>2.4996871029514811E-2</v>
      </c>
      <c r="Q71" s="46">
        <f>('2. Income'!Q31*0.7)/AVERAGE('4. Balance Sheet'!Q21:Q21)</f>
        <v>3.7636230795106286E-2</v>
      </c>
      <c r="R71" s="46">
        <f>('2. Income'!R31*0.7)/AVERAGE('4. Balance Sheet'!R21:R21)</f>
        <v>5.3415948141779544E-2</v>
      </c>
      <c r="S71" s="46">
        <f>('2. Income'!S31*0.7)/AVERAGE('4. Balance Sheet'!S21:S21)</f>
        <v>6.749296303817845E-2</v>
      </c>
      <c r="T71" s="46">
        <f>('2. Income'!T31*0.7)/AVERAGE('4. Balance Sheet'!T21:T21)</f>
        <v>7.879529007579357E-2</v>
      </c>
      <c r="U71" s="46">
        <f>('2. Income'!U31*0.7)/AVERAGE('4. Balance Sheet'!U21:U21)</f>
        <v>8.6305341780531938E-2</v>
      </c>
      <c r="V71" s="46">
        <f>('2. Income'!V31*0.7)/AVERAGE('4. Balance Sheet'!V21:V21)</f>
        <v>9.0883111782093212E-2</v>
      </c>
      <c r="W71" s="46">
        <f>('2. Income'!W31*0.7)/AVERAGE('4. Balance Sheet'!W21:W21)</f>
        <v>9.3297294720801435E-2</v>
      </c>
      <c r="X71" s="46">
        <f>('2. Income'!X31*0.7)/AVERAGE('4. Balance Sheet'!X21:X21)</f>
        <v>9.41703028933146E-2</v>
      </c>
    </row>
    <row r="72" spans="2:24" s="25" customFormat="1">
      <c r="C72" s="2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18"/>
      <c r="P72" s="24"/>
      <c r="Q72" s="24"/>
      <c r="R72" s="24"/>
      <c r="S72" s="24"/>
      <c r="T72" s="24"/>
      <c r="U72" s="24"/>
      <c r="V72" s="24"/>
      <c r="W72" s="24"/>
      <c r="X72" s="24"/>
    </row>
    <row r="73" spans="2:24">
      <c r="B73" s="61"/>
      <c r="C73" s="29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216"/>
      <c r="P73" s="61"/>
      <c r="Q73" s="61"/>
      <c r="R73" s="61"/>
      <c r="S73" s="61"/>
      <c r="T73" s="61"/>
      <c r="U73" s="61"/>
      <c r="V73" s="61"/>
      <c r="W73" s="61"/>
      <c r="X73" s="61"/>
    </row>
    <row r="74" spans="2:24">
      <c r="D74" s="48"/>
      <c r="E74" s="48"/>
      <c r="F74" s="48"/>
      <c r="G74" s="48"/>
      <c r="H74" s="48"/>
      <c r="I74" s="75"/>
      <c r="J74" s="75"/>
      <c r="K74" s="75"/>
      <c r="L74" s="75"/>
      <c r="M74" s="75"/>
      <c r="N74" s="75"/>
      <c r="O74" s="263"/>
      <c r="P74" s="48"/>
      <c r="Q74" s="48"/>
      <c r="R74" s="48"/>
      <c r="S74" s="48"/>
      <c r="T74" s="48"/>
      <c r="U74" s="48"/>
      <c r="V74" s="48"/>
      <c r="W74" s="48"/>
      <c r="X74" s="48"/>
    </row>
    <row r="75" spans="2:24">
      <c r="D75" s="48"/>
      <c r="E75" s="48"/>
      <c r="F75" s="48"/>
      <c r="G75" s="48"/>
      <c r="H75" s="48"/>
      <c r="I75" s="75"/>
      <c r="J75" s="75"/>
      <c r="K75" s="75"/>
      <c r="L75" s="75"/>
      <c r="M75" s="75"/>
      <c r="N75" s="75"/>
      <c r="O75" s="263"/>
      <c r="P75" s="48"/>
      <c r="Q75" s="48"/>
      <c r="R75" s="48"/>
      <c r="S75" s="48"/>
      <c r="T75" s="48"/>
      <c r="U75" s="48"/>
      <c r="V75" s="48"/>
      <c r="W75" s="48"/>
      <c r="X75" s="48"/>
    </row>
  </sheetData>
  <dataConsolidate/>
  <phoneticPr fontId="2" type="noConversion"/>
  <printOptions horizontalCentered="1" verticalCentered="1"/>
  <pageMargins left="0" right="0" top="0" bottom="0" header="0" footer="0"/>
  <pageSetup paperSize="5" scale="60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>
    <tabColor rgb="FF00B050"/>
    <pageSetUpPr fitToPage="1"/>
  </sheetPr>
  <dimension ref="B1:Z80"/>
  <sheetViews>
    <sheetView showGridLines="0" topLeftCell="A8" zoomScale="80" zoomScaleNormal="80" workbookViewId="0">
      <selection activeCell="X13" sqref="X13"/>
    </sheetView>
  </sheetViews>
  <sheetFormatPr defaultColWidth="9.109375" defaultRowHeight="13.8" outlineLevelCol="1"/>
  <cols>
    <col min="1" max="1" width="9.109375" style="118"/>
    <col min="2" max="2" width="32.88671875" style="118" customWidth="1"/>
    <col min="3" max="3" width="8.5546875" style="118" customWidth="1"/>
    <col min="4" max="6" width="8.5546875" style="118" hidden="1" customWidth="1" outlineLevel="1"/>
    <col min="7" max="7" width="8.5546875" style="118" hidden="1" customWidth="1" collapsed="1"/>
    <col min="8" max="8" width="8.5546875" style="118" customWidth="1" collapsed="1"/>
    <col min="9" max="11" width="8.5546875" style="118" customWidth="1"/>
    <col min="12" max="12" width="4.44140625" style="118" customWidth="1"/>
    <col min="13" max="13" width="26.88671875" style="118" customWidth="1"/>
    <col min="14" max="14" width="8.5546875" style="118" customWidth="1"/>
    <col min="15" max="17" width="8.5546875" style="118" hidden="1" customWidth="1" outlineLevel="1"/>
    <col min="18" max="18" width="8.5546875" style="118" hidden="1" customWidth="1" collapsed="1"/>
    <col min="19" max="19" width="8.5546875" style="118" customWidth="1" collapsed="1"/>
    <col min="20" max="22" width="8.5546875" style="118" customWidth="1"/>
    <col min="23" max="16384" width="9.109375" style="118"/>
  </cols>
  <sheetData>
    <row r="1" spans="2:26" ht="18">
      <c r="B1" s="116" t="str">
        <f>'4. Balance Sheet'!B1</f>
        <v>TUA (S$)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</row>
    <row r="2" spans="2:26" ht="18">
      <c r="B2" s="116" t="s">
        <v>79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</row>
    <row r="3" spans="2:26" ht="18">
      <c r="B3" s="119">
        <f>'4. Balance Sheet'!B2</f>
        <v>5.28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2:26"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2:26" ht="15.6">
      <c r="B5" s="120" t="s">
        <v>73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20" t="s">
        <v>80</v>
      </c>
      <c r="N5" s="117"/>
    </row>
    <row r="6" spans="2:26" ht="14.4" thickBot="1">
      <c r="B6" s="121" t="s">
        <v>269</v>
      </c>
      <c r="C6" s="122"/>
      <c r="D6" s="123" t="s">
        <v>239</v>
      </c>
      <c r="E6" s="123" t="str">
        <f>'2. Income'!L4</f>
        <v>FY22</v>
      </c>
      <c r="F6" s="123" t="str">
        <f>'2. Income'!M4</f>
        <v>FY23</v>
      </c>
      <c r="G6" s="123" t="str">
        <f>'2. Income'!N4</f>
        <v>FY24</v>
      </c>
      <c r="H6" s="755" t="str">
        <f>'2. Income'!O4</f>
        <v>FY25</v>
      </c>
      <c r="I6" s="123" t="str">
        <f>'2. Income'!P4</f>
        <v>FY26E</v>
      </c>
      <c r="J6" s="123" t="str">
        <f>'2. Income'!Q4</f>
        <v>FY27E</v>
      </c>
      <c r="K6" s="123" t="str">
        <f>'2. Income'!R4</f>
        <v>FY28E</v>
      </c>
      <c r="L6" s="117"/>
      <c r="M6" s="121" t="str">
        <f>B6</f>
        <v>(S$m) Year End 31 July</v>
      </c>
      <c r="N6" s="122"/>
      <c r="O6" s="123" t="str">
        <f t="shared" ref="O6:V6" si="0">D6</f>
        <v>FY21</v>
      </c>
      <c r="P6" s="123" t="str">
        <f t="shared" si="0"/>
        <v>FY22</v>
      </c>
      <c r="Q6" s="123" t="str">
        <f t="shared" si="0"/>
        <v>FY23</v>
      </c>
      <c r="R6" s="123" t="str">
        <f t="shared" si="0"/>
        <v>FY24</v>
      </c>
      <c r="S6" s="755" t="str">
        <f t="shared" si="0"/>
        <v>FY25</v>
      </c>
      <c r="T6" s="123" t="str">
        <f t="shared" si="0"/>
        <v>FY26E</v>
      </c>
      <c r="U6" s="123" t="str">
        <f t="shared" si="0"/>
        <v>FY27E</v>
      </c>
      <c r="V6" s="123" t="str">
        <f t="shared" si="0"/>
        <v>FY28E</v>
      </c>
    </row>
    <row r="7" spans="2:26">
      <c r="B7" s="16" t="str">
        <f>'2. Income'!B6</f>
        <v>Singapore Mobile</v>
      </c>
      <c r="C7" s="125" t="s">
        <v>256</v>
      </c>
      <c r="D7" s="126">
        <f>'2. Income'!K6</f>
        <v>29.392999999999997</v>
      </c>
      <c r="E7" s="126">
        <f>'2. Income'!L6</f>
        <v>56.587000000000003</v>
      </c>
      <c r="F7" s="126">
        <f>'2. Income'!M6</f>
        <v>85.606999999999999</v>
      </c>
      <c r="G7" s="126">
        <f>'2. Income'!N6</f>
        <v>116.505</v>
      </c>
      <c r="H7" s="756">
        <f>'2. Income'!O6</f>
        <v>144.626</v>
      </c>
      <c r="I7" s="126">
        <f>'2. Income'!P6</f>
        <v>168.17881653112164</v>
      </c>
      <c r="J7" s="126">
        <f>'2. Income'!Q6</f>
        <v>192.61426215101233</v>
      </c>
      <c r="K7" s="126">
        <f>'2. Income'!R6</f>
        <v>216.09216905832304</v>
      </c>
      <c r="L7" s="117"/>
      <c r="M7" s="124" t="s">
        <v>149</v>
      </c>
      <c r="N7" s="117"/>
      <c r="O7" s="117"/>
      <c r="P7" s="117"/>
      <c r="Q7" s="117"/>
      <c r="R7" s="117"/>
      <c r="S7" s="775"/>
      <c r="T7" s="117"/>
      <c r="U7" s="117"/>
      <c r="V7" s="117"/>
    </row>
    <row r="8" spans="2:26">
      <c r="B8" s="692" t="str">
        <f>'2. Income'!B7</f>
        <v>Singapore Broadband</v>
      </c>
      <c r="C8" s="641" t="s">
        <v>256</v>
      </c>
      <c r="D8" s="693">
        <f>'2. Income'!K7</f>
        <v>0</v>
      </c>
      <c r="E8" s="693">
        <f>'2. Income'!L7</f>
        <v>0</v>
      </c>
      <c r="F8" s="693">
        <f>'2. Income'!M7</f>
        <v>0</v>
      </c>
      <c r="G8" s="693">
        <f>'2. Income'!N7</f>
        <v>0.30099999999999999</v>
      </c>
      <c r="H8" s="757">
        <f>'2. Income'!O7</f>
        <v>6.3810000000000002</v>
      </c>
      <c r="I8" s="693">
        <f>'2. Income'!P7</f>
        <v>12.670759417425462</v>
      </c>
      <c r="J8" s="693">
        <f>'2. Income'!Q7</f>
        <v>21.510589981835576</v>
      </c>
      <c r="K8" s="693">
        <f>'2. Income'!R7</f>
        <v>31.065319580991488</v>
      </c>
      <c r="L8" s="117"/>
      <c r="M8" s="127" t="s">
        <v>81</v>
      </c>
      <c r="N8" s="128" t="s">
        <v>256</v>
      </c>
      <c r="O8" s="129">
        <f>'4. Balance Sheet'!K7</f>
        <v>94.582999999999998</v>
      </c>
      <c r="P8" s="129">
        <f>'4. Balance Sheet'!L7</f>
        <v>49.554000000000002</v>
      </c>
      <c r="Q8" s="129">
        <f>'4. Balance Sheet'!M7</f>
        <v>44.002000000000002</v>
      </c>
      <c r="R8" s="129">
        <f>'4. Balance Sheet'!N7</f>
        <v>55.332999999999998</v>
      </c>
      <c r="S8" s="777">
        <f>'4. Balance Sheet'!O7</f>
        <v>80.686999999999998</v>
      </c>
      <c r="T8" s="129">
        <f>'4. Balance Sheet'!P7</f>
        <v>113.30066603573269</v>
      </c>
      <c r="U8" s="129">
        <f>'4. Balance Sheet'!Q7</f>
        <v>163.11012236145652</v>
      </c>
      <c r="V8" s="129">
        <f>'4. Balance Sheet'!R7</f>
        <v>236.40342846129042</v>
      </c>
    </row>
    <row r="9" spans="2:26">
      <c r="B9" s="28" t="str">
        <f>'2. Income'!B8</f>
        <v>Other</v>
      </c>
      <c r="C9" s="398" t="s">
        <v>256</v>
      </c>
      <c r="D9" s="399">
        <f>'2. Income'!K8</f>
        <v>2.907</v>
      </c>
      <c r="E9" s="399">
        <f>'2. Income'!L8</f>
        <v>0.84499999999999886</v>
      </c>
      <c r="F9" s="399">
        <f>'2. Income'!M8</f>
        <v>0.492999999999995</v>
      </c>
      <c r="G9" s="399">
        <f>'2. Income'!N8</f>
        <v>0.25900000000000228</v>
      </c>
      <c r="H9" s="758">
        <f>'2. Income'!O8</f>
        <v>0.2</v>
      </c>
      <c r="I9" s="399">
        <f>'2. Income'!P8</f>
        <v>0.23638500000000118</v>
      </c>
      <c r="J9" s="399">
        <f>'2. Income'!Q8</f>
        <v>0.22473827500000063</v>
      </c>
      <c r="K9" s="399">
        <f>'2. Income'!R8</f>
        <v>0.23747848662500096</v>
      </c>
      <c r="L9" s="117"/>
      <c r="M9" s="127" t="s">
        <v>151</v>
      </c>
      <c r="N9" s="128" t="s">
        <v>256</v>
      </c>
      <c r="O9" s="129">
        <f>'4. Balance Sheet'!K8</f>
        <v>6.9889999999999999</v>
      </c>
      <c r="P9" s="129">
        <f>'4. Balance Sheet'!L8</f>
        <v>5.61</v>
      </c>
      <c r="Q9" s="129">
        <f>'4. Balance Sheet'!M8</f>
        <v>3.0409999999999999</v>
      </c>
      <c r="R9" s="129">
        <f>'4. Balance Sheet'!N8</f>
        <v>4.6269999999999998</v>
      </c>
      <c r="S9" s="777">
        <f>'4. Balance Sheet'!O8</f>
        <v>5.218</v>
      </c>
      <c r="T9" s="129">
        <f>'4. Balance Sheet'!P8</f>
        <v>6.245664248988823</v>
      </c>
      <c r="U9" s="129">
        <f>'4. Balance Sheet'!Q8</f>
        <v>7.3929285659868498</v>
      </c>
      <c r="V9" s="129">
        <f>'4. Balance Sheet'!R8</f>
        <v>8.5326653345439389</v>
      </c>
    </row>
    <row r="10" spans="2:26">
      <c r="B10" s="721" t="str">
        <f>'2. Income'!B9</f>
        <v>Total  Revenue</v>
      </c>
      <c r="C10" s="747" t="s">
        <v>256</v>
      </c>
      <c r="D10" s="748">
        <f>'2. Income'!K9</f>
        <v>32.299999999999997</v>
      </c>
      <c r="E10" s="748">
        <f>'2. Income'!L9</f>
        <v>57.432000000000002</v>
      </c>
      <c r="F10" s="748">
        <f>'2. Income'!M9</f>
        <v>86.1</v>
      </c>
      <c r="G10" s="748">
        <f>'2. Income'!N9</f>
        <v>117.065</v>
      </c>
      <c r="H10" s="759">
        <f>'2. Income'!O9</f>
        <v>151.20699999999999</v>
      </c>
      <c r="I10" s="748">
        <f>'2. Income'!P9</f>
        <v>181.08596094854713</v>
      </c>
      <c r="J10" s="748">
        <f>'2. Income'!Q9</f>
        <v>214.3495904078479</v>
      </c>
      <c r="K10" s="748">
        <f>'2. Income'!R9</f>
        <v>247.39496712593953</v>
      </c>
      <c r="M10" s="407" t="s">
        <v>152</v>
      </c>
      <c r="N10" s="408" t="s">
        <v>256</v>
      </c>
      <c r="O10" s="406">
        <f t="shared" ref="O10:R10" si="1">O11-O9-O8</f>
        <v>2.2090000000000032</v>
      </c>
      <c r="P10" s="406">
        <f t="shared" si="1"/>
        <v>1.7319999999999993</v>
      </c>
      <c r="Q10" s="406">
        <f t="shared" si="1"/>
        <v>1.5930000000000035</v>
      </c>
      <c r="R10" s="406">
        <f t="shared" si="1"/>
        <v>3.7393000000000001</v>
      </c>
      <c r="S10" s="783">
        <f t="shared" ref="S10:T10" si="2">S11-S9-S8</f>
        <v>5.5559999999999974</v>
      </c>
      <c r="T10" s="406">
        <f t="shared" si="2"/>
        <v>5.7352208636603734</v>
      </c>
      <c r="U10" s="406">
        <f t="shared" ref="U10:V10" si="3">U11-U9-U8</f>
        <v>5.9352995391046477</v>
      </c>
      <c r="V10" s="406">
        <f t="shared" si="3"/>
        <v>6.1340654377989665</v>
      </c>
    </row>
    <row r="11" spans="2:26">
      <c r="B11" s="400" t="s">
        <v>227</v>
      </c>
      <c r="C11" s="401" t="s">
        <v>122</v>
      </c>
      <c r="D11" s="402">
        <f>'2. Income'!K10</f>
        <v>15.069651741293534</v>
      </c>
      <c r="E11" s="402">
        <f>'2. Income'!L10</f>
        <v>0.7780804953560374</v>
      </c>
      <c r="F11" s="402">
        <f>'2. Income'!M10</f>
        <v>0.49916422900125346</v>
      </c>
      <c r="G11" s="402">
        <f>'2. Income'!N10</f>
        <v>0.35963995354239264</v>
      </c>
      <c r="H11" s="760">
        <f>'2. Income'!O10</f>
        <v>0.29164993806859441</v>
      </c>
      <c r="I11" s="402">
        <f>'2. Income'!P10</f>
        <v>0.19760302729732837</v>
      </c>
      <c r="J11" s="402">
        <f>'2. Income'!Q10</f>
        <v>0.18368971998194894</v>
      </c>
      <c r="K11" s="402">
        <f>'2. Income'!R10</f>
        <v>0.15416580295402205</v>
      </c>
      <c r="L11" s="117"/>
      <c r="M11" s="130" t="s">
        <v>82</v>
      </c>
      <c r="N11" s="131" t="s">
        <v>256</v>
      </c>
      <c r="O11" s="132">
        <f>'4. Balance Sheet'!K11</f>
        <v>103.78100000000001</v>
      </c>
      <c r="P11" s="132">
        <f>'4. Balance Sheet'!L11</f>
        <v>56.896000000000001</v>
      </c>
      <c r="Q11" s="132">
        <f>'4. Balance Sheet'!M11</f>
        <v>48.636000000000003</v>
      </c>
      <c r="R11" s="132">
        <f>'4. Balance Sheet'!N11</f>
        <v>63.699300000000001</v>
      </c>
      <c r="S11" s="784">
        <f>'4. Balance Sheet'!O11</f>
        <v>91.460999999999999</v>
      </c>
      <c r="T11" s="132">
        <f>'4. Balance Sheet'!P11</f>
        <v>125.28155114838188</v>
      </c>
      <c r="U11" s="132">
        <f>'4. Balance Sheet'!Q11</f>
        <v>176.438350466548</v>
      </c>
      <c r="V11" s="132">
        <f>'4. Balance Sheet'!R11</f>
        <v>251.07015923363332</v>
      </c>
    </row>
    <row r="12" spans="2:26">
      <c r="B12" s="16"/>
      <c r="C12" s="125"/>
      <c r="D12" s="126"/>
      <c r="E12" s="126"/>
      <c r="F12" s="126"/>
      <c r="G12" s="126"/>
      <c r="H12" s="756"/>
      <c r="I12" s="126"/>
      <c r="J12" s="126"/>
      <c r="K12" s="126"/>
      <c r="L12" s="117"/>
      <c r="M12" s="127"/>
      <c r="N12" s="127"/>
      <c r="O12" s="129"/>
      <c r="P12" s="129"/>
      <c r="Q12" s="129"/>
      <c r="R12" s="129"/>
      <c r="S12" s="777"/>
      <c r="T12" s="129"/>
      <c r="U12" s="129"/>
      <c r="V12" s="129"/>
    </row>
    <row r="13" spans="2:26">
      <c r="B13" s="137" t="s">
        <v>44</v>
      </c>
      <c r="C13" s="133" t="s">
        <v>256</v>
      </c>
      <c r="D13" s="134">
        <f>'2. Income'!K14</f>
        <v>14.856851371440229</v>
      </c>
      <c r="E13" s="134">
        <f>'2. Income'!L14</f>
        <v>35.149000000000001</v>
      </c>
      <c r="F13" s="134">
        <f>'2. Income'!M14</f>
        <v>56.880999999999993</v>
      </c>
      <c r="G13" s="134">
        <f>'2. Income'!N14</f>
        <v>81.314000000000007</v>
      </c>
      <c r="H13" s="761">
        <f>'2. Income'!O14</f>
        <v>102.86999999999999</v>
      </c>
      <c r="I13" s="134">
        <f>'2. Income'!P14</f>
        <v>115.44879319473715</v>
      </c>
      <c r="J13" s="134">
        <f>'2. Income'!Q14</f>
        <v>133.15552736204481</v>
      </c>
      <c r="K13" s="134">
        <f>'2. Income'!R14</f>
        <v>150.45749150208979</v>
      </c>
      <c r="L13" s="117"/>
      <c r="M13" s="124" t="s">
        <v>83</v>
      </c>
      <c r="N13" s="133"/>
      <c r="O13" s="117"/>
      <c r="P13" s="117"/>
      <c r="Q13" s="117"/>
      <c r="R13" s="117"/>
      <c r="S13" s="775"/>
      <c r="T13" s="117"/>
      <c r="U13" s="117"/>
      <c r="V13" s="117"/>
    </row>
    <row r="14" spans="2:26">
      <c r="B14" s="400" t="s">
        <v>17</v>
      </c>
      <c r="C14" s="401" t="s">
        <v>122</v>
      </c>
      <c r="D14" s="402">
        <f>'2. Income'!K15</f>
        <v>9.506967023649386</v>
      </c>
      <c r="E14" s="402">
        <f>'2. Income'!L15</f>
        <v>1.3658444929702922</v>
      </c>
      <c r="F14" s="402">
        <f>'2. Income'!M15</f>
        <v>0.61828217018976339</v>
      </c>
      <c r="G14" s="402">
        <f>'2. Income'!N15</f>
        <v>0.42954589405952803</v>
      </c>
      <c r="H14" s="760">
        <f>'2. Income'!O15</f>
        <v>0.26509580146100276</v>
      </c>
      <c r="I14" s="402">
        <f>'2. Income'!P15</f>
        <v>0.12227853790937271</v>
      </c>
      <c r="J14" s="402">
        <f>'2. Income'!Q15</f>
        <v>0.15337305551076863</v>
      </c>
      <c r="K14" s="402">
        <f>'2. Income'!R15</f>
        <v>0.12993800920484211</v>
      </c>
      <c r="L14" s="117"/>
      <c r="M14" s="117" t="s">
        <v>229</v>
      </c>
      <c r="N14" s="125" t="s">
        <v>256</v>
      </c>
      <c r="O14" s="129">
        <f>'4. Balance Sheet'!K14</f>
        <v>254.72399999999999</v>
      </c>
      <c r="P14" s="129">
        <f>'4. Balance Sheet'!L14</f>
        <v>261.88400000000001</v>
      </c>
      <c r="Q14" s="129">
        <f>'4. Balance Sheet'!M14</f>
        <v>272.75</v>
      </c>
      <c r="R14" s="129">
        <f>'4. Balance Sheet'!N14</f>
        <v>280.48099999999999</v>
      </c>
      <c r="S14" s="777">
        <f>'4. Balance Sheet'!O14</f>
        <v>291.89499999999998</v>
      </c>
      <c r="T14" s="129">
        <f>'4. Balance Sheet'!P14</f>
        <v>296.85030022298417</v>
      </c>
      <c r="U14" s="129">
        <f>'4. Balance Sheet'!Q14</f>
        <v>297.74396924124414</v>
      </c>
      <c r="V14" s="129">
        <f>'4. Balance Sheet'!R14</f>
        <v>291.87323961370623</v>
      </c>
    </row>
    <row r="15" spans="2:26">
      <c r="B15" s="400" t="s">
        <v>168</v>
      </c>
      <c r="C15" s="401" t="s">
        <v>122</v>
      </c>
      <c r="D15" s="402">
        <f>'2. Income'!K16</f>
        <v>0.45996443874427956</v>
      </c>
      <c r="E15" s="402">
        <f>'2. Income'!L16</f>
        <v>0.61201072572781723</v>
      </c>
      <c r="F15" s="402">
        <f>'2. Income'!M16</f>
        <v>0.66063879210220666</v>
      </c>
      <c r="G15" s="402">
        <f>'2. Income'!N16</f>
        <v>0.69460556101311244</v>
      </c>
      <c r="H15" s="760">
        <f>'2. Income'!O16</f>
        <v>0.68032564629944381</v>
      </c>
      <c r="I15" s="402">
        <f>'2. Income'!P16</f>
        <v>0.63753585639662147</v>
      </c>
      <c r="J15" s="402">
        <f>'2. Income'!Q16</f>
        <v>0.6212072862312763</v>
      </c>
      <c r="K15" s="402">
        <f>'2. Income'!R16</f>
        <v>0.60816714765865676</v>
      </c>
      <c r="L15" s="117"/>
      <c r="M15" s="117" t="s">
        <v>84</v>
      </c>
      <c r="N15" s="125" t="s">
        <v>256</v>
      </c>
      <c r="O15" s="129">
        <f>'4. Balance Sheet'!K17</f>
        <v>4.4329999999999998</v>
      </c>
      <c r="P15" s="129">
        <f>'4. Balance Sheet'!L17</f>
        <v>4.1470000000000002</v>
      </c>
      <c r="Q15" s="129">
        <f>'4. Balance Sheet'!M17</f>
        <v>5.0739999999999998</v>
      </c>
      <c r="R15" s="129">
        <f>'4. Balance Sheet'!N17</f>
        <v>3.823</v>
      </c>
      <c r="S15" s="777">
        <f>'4. Balance Sheet'!O17</f>
        <v>3.0920000000000001</v>
      </c>
      <c r="T15" s="129">
        <f>'4. Balance Sheet'!P17</f>
        <v>3.0920000000000001</v>
      </c>
      <c r="U15" s="129">
        <f>'4. Balance Sheet'!Q17</f>
        <v>3.0920000000000001</v>
      </c>
      <c r="V15" s="129">
        <f>'4. Balance Sheet'!R17</f>
        <v>3.0920000000000001</v>
      </c>
    </row>
    <row r="16" spans="2:26">
      <c r="H16" s="762"/>
      <c r="M16" s="409" t="s">
        <v>156</v>
      </c>
      <c r="N16" s="398" t="s">
        <v>256</v>
      </c>
      <c r="O16" s="406">
        <f t="shared" ref="O16:R16" si="4">O17-SUM(O14:O15)</f>
        <v>131.04200000000003</v>
      </c>
      <c r="P16" s="406">
        <f t="shared" si="4"/>
        <v>153.19</v>
      </c>
      <c r="Q16" s="406">
        <f t="shared" si="4"/>
        <v>141.74799999999999</v>
      </c>
      <c r="R16" s="406">
        <f t="shared" si="4"/>
        <v>128.59700000000004</v>
      </c>
      <c r="S16" s="783">
        <f t="shared" ref="S16:T16" si="5">S17-SUM(S14:S15)</f>
        <v>111.92400000000004</v>
      </c>
      <c r="T16" s="406">
        <f t="shared" si="5"/>
        <v>101.1711639579126</v>
      </c>
      <c r="U16" s="406">
        <f t="shared" ref="U16:V16" si="6">U17-SUM(U14:U15)</f>
        <v>90.974093136963234</v>
      </c>
      <c r="V16" s="406">
        <f t="shared" si="6"/>
        <v>82.244461209070607</v>
      </c>
      <c r="Y16" s="138"/>
      <c r="Z16" s="138"/>
    </row>
    <row r="17" spans="2:22">
      <c r="B17" s="137" t="s">
        <v>228</v>
      </c>
      <c r="C17" s="133" t="s">
        <v>256</v>
      </c>
      <c r="D17" s="134">
        <f>'2. Income'!K18</f>
        <v>15.356851371440229</v>
      </c>
      <c r="E17" s="134">
        <f>'2. Income'!L18</f>
        <v>19.649000000000001</v>
      </c>
      <c r="F17" s="134">
        <f>'2. Income'!M18</f>
        <v>25.780999999999992</v>
      </c>
      <c r="G17" s="134">
        <f>'2. Income'!N18</f>
        <v>31.574000000000005</v>
      </c>
      <c r="H17" s="761">
        <f>'2. Income'!O18</f>
        <v>34.552999999999983</v>
      </c>
      <c r="I17" s="134">
        <f>'2. Income'!P18</f>
        <v>34.153063956098762</v>
      </c>
      <c r="J17" s="134">
        <f>'2. Income'!Q18</f>
        <v>36.712258793424738</v>
      </c>
      <c r="K17" s="134">
        <f>'2. Income'!R18</f>
        <v>35.435044488188908</v>
      </c>
      <c r="M17" s="410" t="s">
        <v>85</v>
      </c>
      <c r="N17" s="411" t="s">
        <v>256</v>
      </c>
      <c r="O17" s="412">
        <f>'4. Balance Sheet'!K20</f>
        <v>390.19900000000001</v>
      </c>
      <c r="P17" s="412">
        <f>'4. Balance Sheet'!L20</f>
        <v>419.221</v>
      </c>
      <c r="Q17" s="412">
        <f>'4. Balance Sheet'!M20</f>
        <v>419.572</v>
      </c>
      <c r="R17" s="412">
        <f>'4. Balance Sheet'!N20</f>
        <v>412.90100000000001</v>
      </c>
      <c r="S17" s="785">
        <f>'4. Balance Sheet'!O20</f>
        <v>406.911</v>
      </c>
      <c r="T17" s="412">
        <f>'4. Balance Sheet'!P20</f>
        <v>401.11346418089676</v>
      </c>
      <c r="U17" s="412">
        <f>'4. Balance Sheet'!Q20</f>
        <v>391.81006237820736</v>
      </c>
      <c r="V17" s="412">
        <f>'4. Balance Sheet'!R20</f>
        <v>377.20970082277682</v>
      </c>
    </row>
    <row r="18" spans="2:22">
      <c r="B18" s="400" t="s">
        <v>17</v>
      </c>
      <c r="C18" s="401" t="s">
        <v>122</v>
      </c>
      <c r="D18" s="402">
        <f>'2. Income'!K19</f>
        <v>2.7657801303188405</v>
      </c>
      <c r="E18" s="402">
        <f>'2. Income'!L19</f>
        <v>0.27949405283312556</v>
      </c>
      <c r="F18" s="402">
        <f>'2. Income'!M19</f>
        <v>0.31207695048093997</v>
      </c>
      <c r="G18" s="402">
        <f>'2. Income'!N19</f>
        <v>0.22470036073077138</v>
      </c>
      <c r="H18" s="760">
        <f>'2. Income'!O19</f>
        <v>9.4349781465762339E-2</v>
      </c>
      <c r="I18" s="402">
        <f>'2. Income'!P19</f>
        <v>-1.1574567878367192E-2</v>
      </c>
      <c r="J18" s="402">
        <f>'2. Income'!Q19</f>
        <v>7.4933096503893015E-2</v>
      </c>
      <c r="K18" s="402">
        <f>'2. Income'!R19</f>
        <v>-3.4789858952088859E-2</v>
      </c>
      <c r="M18" s="124" t="s">
        <v>157</v>
      </c>
      <c r="N18" s="133" t="s">
        <v>256</v>
      </c>
      <c r="O18" s="132">
        <f>'4. Balance Sheet'!K21</f>
        <v>493.98</v>
      </c>
      <c r="P18" s="132">
        <f>'4. Balance Sheet'!L21</f>
        <v>476.11700000000002</v>
      </c>
      <c r="Q18" s="132">
        <f>'4. Balance Sheet'!M21</f>
        <v>468.20800000000003</v>
      </c>
      <c r="R18" s="132">
        <f>'4. Balance Sheet'!N21</f>
        <v>476.6003</v>
      </c>
      <c r="S18" s="784">
        <f>'4. Balance Sheet'!O21</f>
        <v>498.37200000000001</v>
      </c>
      <c r="T18" s="132">
        <f>'4. Balance Sheet'!P21</f>
        <v>526.39501532927864</v>
      </c>
      <c r="U18" s="132">
        <f>'4. Balance Sheet'!Q21</f>
        <v>568.24841284475542</v>
      </c>
      <c r="V18" s="132">
        <f>'4. Balance Sheet'!R21</f>
        <v>628.27986005641014</v>
      </c>
    </row>
    <row r="19" spans="2:22">
      <c r="B19" s="400" t="s">
        <v>168</v>
      </c>
      <c r="C19" s="401" t="s">
        <v>122</v>
      </c>
      <c r="D19" s="402">
        <f>'2. Income'!K20</f>
        <v>0.47544431490527028</v>
      </c>
      <c r="E19" s="402">
        <f>'2. Income'!L20</f>
        <v>0.34212634071597714</v>
      </c>
      <c r="F19" s="402">
        <f>'2. Income'!M20</f>
        <v>0.29943089430894299</v>
      </c>
      <c r="G19" s="402">
        <f>'2. Income'!N20</f>
        <v>0.26971340708153596</v>
      </c>
      <c r="H19" s="760">
        <f>'2. Income'!O20</f>
        <v>0.22851455289768322</v>
      </c>
      <c r="I19" s="402">
        <f>'2. Income'!P20</f>
        <v>0.18860139006470439</v>
      </c>
      <c r="J19" s="402">
        <f>'2. Income'!Q20</f>
        <v>0.17127281989935916</v>
      </c>
      <c r="K19" s="402">
        <f>'2. Income'!R20</f>
        <v>0.14323268132673955</v>
      </c>
      <c r="S19" s="762"/>
    </row>
    <row r="20" spans="2:22">
      <c r="B20" s="135"/>
      <c r="C20" s="125"/>
      <c r="D20" s="136"/>
      <c r="E20" s="136"/>
      <c r="F20" s="136"/>
      <c r="G20" s="136"/>
      <c r="H20" s="763"/>
      <c r="I20" s="136"/>
      <c r="J20" s="136"/>
      <c r="K20" s="136"/>
      <c r="M20" s="124" t="s">
        <v>158</v>
      </c>
      <c r="N20" s="133"/>
      <c r="O20" s="117"/>
      <c r="P20" s="117"/>
      <c r="Q20" s="117"/>
      <c r="R20" s="117"/>
      <c r="S20" s="775"/>
      <c r="T20" s="117"/>
      <c r="U20" s="117"/>
      <c r="V20" s="117"/>
    </row>
    <row r="21" spans="2:22">
      <c r="B21" s="118" t="s">
        <v>313</v>
      </c>
      <c r="C21" s="125" t="s">
        <v>256</v>
      </c>
      <c r="F21" s="138">
        <f>'1.Assumptions'!N101</f>
        <v>31.1</v>
      </c>
      <c r="G21" s="138">
        <f>'1.Assumptions'!O101</f>
        <v>49.74</v>
      </c>
      <c r="H21" s="764">
        <f>'1.Assumptions'!P101</f>
        <v>68.400000000000006</v>
      </c>
      <c r="I21" s="138">
        <f>'1.Assumptions'!Q101</f>
        <v>81.295729238638387</v>
      </c>
      <c r="J21" s="138">
        <f>'1.Assumptions'!R101</f>
        <v>96.44326856862007</v>
      </c>
      <c r="K21" s="138">
        <f>'1.Assumptions'!S101</f>
        <v>115.02244701390089</v>
      </c>
      <c r="L21" s="117"/>
      <c r="M21" s="67" t="s">
        <v>159</v>
      </c>
      <c r="N21" s="125" t="s">
        <v>256</v>
      </c>
      <c r="O21" s="129">
        <f>'4. Balance Sheet'!K24</f>
        <v>8.6229999999999993</v>
      </c>
      <c r="P21" s="129">
        <f>'4. Balance Sheet'!L24</f>
        <v>14.757999999999999</v>
      </c>
      <c r="Q21" s="129">
        <f>'4. Balance Sheet'!M24</f>
        <v>21.029</v>
      </c>
      <c r="R21" s="129">
        <f>'4. Balance Sheet'!N24</f>
        <v>25.951000000000001</v>
      </c>
      <c r="S21" s="777">
        <f>'4. Balance Sheet'!O24</f>
        <v>28.178999999999998</v>
      </c>
      <c r="T21" s="129">
        <f>'4. Balance Sheet'!P24</f>
        <v>35.713245128974798</v>
      </c>
      <c r="U21" s="129">
        <f>'4. Balance Sheet'!Q24</f>
        <v>44.62243773357217</v>
      </c>
      <c r="V21" s="129">
        <f>'4. Balance Sheet'!R24</f>
        <v>54.212869398462288</v>
      </c>
    </row>
    <row r="22" spans="2:22">
      <c r="B22" s="389" t="s">
        <v>311</v>
      </c>
      <c r="C22" s="694" t="s">
        <v>256</v>
      </c>
      <c r="D22" s="389"/>
      <c r="E22" s="389"/>
      <c r="F22" s="695">
        <f>'1.Assumptions'!N117</f>
        <v>0</v>
      </c>
      <c r="G22" s="695">
        <f>'1.Assumptions'!O117</f>
        <v>0</v>
      </c>
      <c r="H22" s="765">
        <f>'1.Assumptions'!P117</f>
        <v>0</v>
      </c>
      <c r="I22" s="695">
        <f>'1.Assumptions'!Q117</f>
        <v>0</v>
      </c>
      <c r="J22" s="695">
        <f>'1.Assumptions'!R117</f>
        <v>0</v>
      </c>
      <c r="K22" s="695">
        <f>'1.Assumptions'!S117</f>
        <v>0</v>
      </c>
      <c r="L22" s="117"/>
      <c r="M22" s="67" t="s">
        <v>160</v>
      </c>
      <c r="N22" s="125" t="s">
        <v>256</v>
      </c>
      <c r="O22" s="129">
        <f>'4. Balance Sheet'!K27</f>
        <v>0</v>
      </c>
      <c r="P22" s="129">
        <f>'4. Balance Sheet'!L27</f>
        <v>0</v>
      </c>
      <c r="Q22" s="129">
        <f>'4. Balance Sheet'!M27</f>
        <v>0</v>
      </c>
      <c r="R22" s="129">
        <f>'4. Balance Sheet'!N27</f>
        <v>0</v>
      </c>
      <c r="S22" s="777">
        <f>'4. Balance Sheet'!O27</f>
        <v>0</v>
      </c>
      <c r="T22" s="129">
        <f>'4. Balance Sheet'!P27</f>
        <v>0</v>
      </c>
      <c r="U22" s="129">
        <f>'4. Balance Sheet'!Q27</f>
        <v>0</v>
      </c>
      <c r="V22" s="129">
        <f>'4. Balance Sheet'!R27</f>
        <v>0</v>
      </c>
    </row>
    <row r="23" spans="2:22">
      <c r="B23" s="749" t="s">
        <v>49</v>
      </c>
      <c r="C23" s="750" t="s">
        <v>256</v>
      </c>
      <c r="D23" s="751">
        <f>'2. Income'!K22</f>
        <v>-0.5</v>
      </c>
      <c r="E23" s="751">
        <f>'2. Income'!L22</f>
        <v>15.5</v>
      </c>
      <c r="F23" s="751">
        <f>'2. Income'!M22</f>
        <v>31.1</v>
      </c>
      <c r="G23" s="751">
        <f>'2. Income'!N22</f>
        <v>49.74</v>
      </c>
      <c r="H23" s="766">
        <f>'2. Income'!O22</f>
        <v>68.317000000000007</v>
      </c>
      <c r="I23" s="751">
        <f>'2. Income'!P22</f>
        <v>81.295729238638387</v>
      </c>
      <c r="J23" s="751">
        <f>'2. Income'!Q22</f>
        <v>96.44326856862007</v>
      </c>
      <c r="K23" s="751">
        <f>'2. Income'!R22</f>
        <v>115.02244701390089</v>
      </c>
      <c r="L23" s="117"/>
      <c r="M23" s="409" t="s">
        <v>86</v>
      </c>
      <c r="N23" s="398" t="s">
        <v>256</v>
      </c>
      <c r="O23" s="406">
        <f t="shared" ref="O23:R23" si="7">O24-SUM(O21:O22)</f>
        <v>3.8079999999999998</v>
      </c>
      <c r="P23" s="406">
        <f t="shared" si="7"/>
        <v>5.0990000000000002</v>
      </c>
      <c r="Q23" s="406">
        <f t="shared" si="7"/>
        <v>5.0109999999999992</v>
      </c>
      <c r="R23" s="406">
        <f t="shared" si="7"/>
        <v>11.698</v>
      </c>
      <c r="S23" s="783">
        <f t="shared" ref="S23:T23" si="8">S24-SUM(S21:S22)</f>
        <v>23.260999999999999</v>
      </c>
      <c r="T23" s="406">
        <f t="shared" si="8"/>
        <v>23.260999999999996</v>
      </c>
      <c r="U23" s="406">
        <f t="shared" ref="U23:V23" si="9">U24-SUM(U21:U22)</f>
        <v>23.260999999999996</v>
      </c>
      <c r="V23" s="406">
        <f t="shared" si="9"/>
        <v>23.260999999999996</v>
      </c>
    </row>
    <row r="24" spans="2:22">
      <c r="B24" s="400" t="s">
        <v>17</v>
      </c>
      <c r="C24" s="401" t="s">
        <v>122</v>
      </c>
      <c r="D24" s="402">
        <f>'2. Income'!K23</f>
        <v>-0.81231231231231227</v>
      </c>
      <c r="E24" s="589">
        <f>'2. Income'!L23</f>
        <v>-32</v>
      </c>
      <c r="F24" s="402">
        <f>'2. Income'!M23</f>
        <v>1.0064516129032257</v>
      </c>
      <c r="G24" s="402">
        <f>'2. Income'!N23</f>
        <v>0.59935691318327966</v>
      </c>
      <c r="H24" s="760">
        <f>'2. Income'!O23</f>
        <v>0.37348210695617223</v>
      </c>
      <c r="I24" s="402">
        <f>'2. Income'!P23</f>
        <v>0.1899780323878153</v>
      </c>
      <c r="J24" s="402">
        <f>'2. Income'!Q23</f>
        <v>0.18632638481557939</v>
      </c>
      <c r="K24" s="402">
        <f>'2. Income'!R23</f>
        <v>0.19264359992176749</v>
      </c>
      <c r="L24" s="117"/>
      <c r="M24" s="124" t="s">
        <v>87</v>
      </c>
      <c r="N24" s="133" t="s">
        <v>256</v>
      </c>
      <c r="O24" s="132">
        <f>'4. Balance Sheet'!K29</f>
        <v>12.430999999999999</v>
      </c>
      <c r="P24" s="132">
        <f>'4. Balance Sheet'!L29</f>
        <v>19.856999999999999</v>
      </c>
      <c r="Q24" s="132">
        <f>'4. Balance Sheet'!M29</f>
        <v>26.04</v>
      </c>
      <c r="R24" s="132">
        <f>'4. Balance Sheet'!N29</f>
        <v>37.649000000000001</v>
      </c>
      <c r="S24" s="784">
        <f>'4. Balance Sheet'!O29</f>
        <v>51.44</v>
      </c>
      <c r="T24" s="132">
        <f>'4. Balance Sheet'!P29</f>
        <v>58.974245128974793</v>
      </c>
      <c r="U24" s="132">
        <f>'4. Balance Sheet'!Q29</f>
        <v>67.883437733572165</v>
      </c>
      <c r="V24" s="132">
        <f>'4. Balance Sheet'!R29</f>
        <v>77.473869398462284</v>
      </c>
    </row>
    <row r="25" spans="2:22">
      <c r="B25" s="400" t="s">
        <v>168</v>
      </c>
      <c r="C25" s="401" t="s">
        <v>122</v>
      </c>
      <c r="D25" s="402">
        <f>'2. Income'!K24</f>
        <v>-1.5479876160990714E-2</v>
      </c>
      <c r="E25" s="402">
        <f>'2. Income'!L24</f>
        <v>0.26988438501184009</v>
      </c>
      <c r="F25" s="402">
        <f>'2. Income'!M24</f>
        <v>0.36120789779326368</v>
      </c>
      <c r="G25" s="402">
        <f>'2. Income'!N24</f>
        <v>0.42489215393157648</v>
      </c>
      <c r="H25" s="760">
        <f>'2. Income'!O24</f>
        <v>0.45181109340176057</v>
      </c>
      <c r="I25" s="402">
        <f>'2. Income'!P24</f>
        <v>0.44893446633191714</v>
      </c>
      <c r="J25" s="402">
        <f>'2. Income'!Q24</f>
        <v>0.44993446633191714</v>
      </c>
      <c r="K25" s="402">
        <f>'2. Income'!R24</f>
        <v>0.46493446633191715</v>
      </c>
      <c r="L25" s="117"/>
      <c r="S25" s="762"/>
    </row>
    <row r="26" spans="2:22">
      <c r="H26" s="762"/>
      <c r="L26" s="117"/>
      <c r="M26" s="124" t="s">
        <v>88</v>
      </c>
      <c r="N26" s="125"/>
      <c r="O26" s="129"/>
      <c r="P26" s="129"/>
      <c r="Q26" s="129"/>
      <c r="R26" s="129"/>
      <c r="S26" s="777"/>
      <c r="T26" s="129"/>
      <c r="U26" s="129"/>
      <c r="V26" s="129"/>
    </row>
    <row r="27" spans="2:22">
      <c r="B27" s="403" t="s">
        <v>225</v>
      </c>
      <c r="C27" s="404" t="s">
        <v>256</v>
      </c>
      <c r="D27" s="405">
        <f>'2. Income'!K28</f>
        <v>32.720901526084681</v>
      </c>
      <c r="E27" s="405">
        <f>'2. Income'!L28</f>
        <v>42.055</v>
      </c>
      <c r="F27" s="405">
        <f>'2. Income'!M28</f>
        <v>45.000999999999998</v>
      </c>
      <c r="G27" s="405">
        <f>'2. Income'!N28</f>
        <v>53.239999999999995</v>
      </c>
      <c r="H27" s="767">
        <f>'2. Income'!O28</f>
        <v>58.078063877551024</v>
      </c>
      <c r="I27" s="405">
        <f>'2. Income'!P28</f>
        <v>62.498260226116315</v>
      </c>
      <c r="J27" s="405">
        <f>'2. Income'!Q28</f>
        <v>65.890799404651418</v>
      </c>
      <c r="K27" s="405">
        <f>'2. Income'!R28</f>
        <v>67.079354980618433</v>
      </c>
      <c r="L27" s="117"/>
      <c r="M27" s="67" t="s">
        <v>160</v>
      </c>
      <c r="N27" s="125" t="s">
        <v>256</v>
      </c>
      <c r="O27" s="129">
        <f>'4. Balance Sheet'!K32</f>
        <v>0</v>
      </c>
      <c r="P27" s="129">
        <f>'4. Balance Sheet'!L32</f>
        <v>0</v>
      </c>
      <c r="Q27" s="129">
        <f>'4. Balance Sheet'!M32</f>
        <v>0</v>
      </c>
      <c r="R27" s="129">
        <f>'4. Balance Sheet'!N32</f>
        <v>0</v>
      </c>
      <c r="S27" s="777">
        <f>'4. Balance Sheet'!O32</f>
        <v>0</v>
      </c>
      <c r="T27" s="129">
        <f>'4. Balance Sheet'!P32</f>
        <v>0</v>
      </c>
      <c r="U27" s="129">
        <f>'4. Balance Sheet'!Q32</f>
        <v>0</v>
      </c>
      <c r="V27" s="129">
        <f>'4. Balance Sheet'!R32</f>
        <v>0</v>
      </c>
    </row>
    <row r="28" spans="2:22">
      <c r="B28" s="124" t="s">
        <v>93</v>
      </c>
      <c r="C28" s="131" t="s">
        <v>256</v>
      </c>
      <c r="D28" s="134">
        <f>'2. Income'!K31</f>
        <v>-33.220901526084681</v>
      </c>
      <c r="E28" s="134">
        <f>'2. Income'!L31</f>
        <v>-26.555</v>
      </c>
      <c r="F28" s="134">
        <f>'2. Income'!M31</f>
        <v>-13.900999999999996</v>
      </c>
      <c r="G28" s="134">
        <f>'2. Income'!N31</f>
        <v>-3.4999999999999929</v>
      </c>
      <c r="H28" s="761">
        <f>'2. Income'!O31</f>
        <v>10.238936122448983</v>
      </c>
      <c r="I28" s="134">
        <f>'2. Income'!P31</f>
        <v>18.797469012522072</v>
      </c>
      <c r="J28" s="134">
        <f>'2. Income'!Q31</f>
        <v>30.552469163968652</v>
      </c>
      <c r="K28" s="134">
        <f>'2. Income'!R31</f>
        <v>47.943092033282454</v>
      </c>
      <c r="L28" s="117"/>
      <c r="M28" s="409" t="s">
        <v>110</v>
      </c>
      <c r="N28" s="398" t="s">
        <v>256</v>
      </c>
      <c r="O28" s="406">
        <f t="shared" ref="O28:R28" si="10">O29-O27</f>
        <v>2.7949999999999999</v>
      </c>
      <c r="P28" s="406">
        <f t="shared" si="10"/>
        <v>2.4740000000000002</v>
      </c>
      <c r="Q28" s="406">
        <f t="shared" si="10"/>
        <v>1.9430000000000001</v>
      </c>
      <c r="R28" s="406">
        <f t="shared" si="10"/>
        <v>1.403</v>
      </c>
      <c r="S28" s="783">
        <f t="shared" ref="S28:T28" ca="1" si="11">S29-S27</f>
        <v>1.0070000000000001</v>
      </c>
      <c r="T28" s="406">
        <f t="shared" ca="1" si="11"/>
        <v>1.0070000000000001</v>
      </c>
      <c r="U28" s="406">
        <f t="shared" ref="U28:V28" ca="1" si="12">U29-U27</f>
        <v>1.0070000000000001</v>
      </c>
      <c r="V28" s="406">
        <f t="shared" ca="1" si="12"/>
        <v>1.0070000000000001</v>
      </c>
    </row>
    <row r="29" spans="2:22">
      <c r="B29" s="400" t="s">
        <v>17</v>
      </c>
      <c r="C29" s="401" t="s">
        <v>122</v>
      </c>
      <c r="D29" s="402">
        <f>'2. Income'!K32</f>
        <v>8.2795814318672303</v>
      </c>
      <c r="E29" s="402">
        <f>'2. Income'!L32</f>
        <v>-0.20065384200518133</v>
      </c>
      <c r="F29" s="402">
        <f>'2. Income'!M32</f>
        <v>-0.47652042929768423</v>
      </c>
      <c r="G29" s="589">
        <f>'2. Income'!N32</f>
        <v>-0.74821955255017669</v>
      </c>
      <c r="H29" s="760">
        <f>'2. Income'!O32</f>
        <v>-3.9254103206997155</v>
      </c>
      <c r="I29" s="589">
        <f>'2. Income'!P32</f>
        <v>0.8358810708183253</v>
      </c>
      <c r="J29" s="589">
        <f>'2. Income'!Q32</f>
        <v>0.62535015451366882</v>
      </c>
      <c r="K29" s="589">
        <f>'2. Income'!R32</f>
        <v>0.56920515248643255</v>
      </c>
      <c r="L29" s="117"/>
      <c r="M29" s="413" t="s">
        <v>89</v>
      </c>
      <c r="N29" s="414" t="s">
        <v>256</v>
      </c>
      <c r="O29" s="415">
        <f>'4. Balance Sheet'!K36</f>
        <v>2.7949999999999999</v>
      </c>
      <c r="P29" s="415">
        <f>'4. Balance Sheet'!L36</f>
        <v>2.4740000000000002</v>
      </c>
      <c r="Q29" s="415">
        <f>'4. Balance Sheet'!M36</f>
        <v>1.9430000000000001</v>
      </c>
      <c r="R29" s="415">
        <f>'4. Balance Sheet'!N36</f>
        <v>1.403</v>
      </c>
      <c r="S29" s="786">
        <f ca="1">'4. Balance Sheet'!O36</f>
        <v>1.0070000000000001</v>
      </c>
      <c r="T29" s="415">
        <f ca="1">'4. Balance Sheet'!P36</f>
        <v>1.0070000000000001</v>
      </c>
      <c r="U29" s="415">
        <f ca="1">'4. Balance Sheet'!Q36</f>
        <v>1.0070000000000001</v>
      </c>
      <c r="V29" s="415">
        <f ca="1">'4. Balance Sheet'!R36</f>
        <v>1.0070000000000001</v>
      </c>
    </row>
    <row r="30" spans="2:22">
      <c r="B30" s="400" t="s">
        <v>168</v>
      </c>
      <c r="C30" s="401" t="s">
        <v>122</v>
      </c>
      <c r="D30" s="402">
        <f>'2. Income'!K33</f>
        <v>-1.0285108831605165</v>
      </c>
      <c r="E30" s="402">
        <f>'2. Income'!L33</f>
        <v>-0.46237289316060731</v>
      </c>
      <c r="F30" s="402">
        <f>'2. Income'!M33</f>
        <v>-0.161451800232288</v>
      </c>
      <c r="G30" s="402">
        <f>'2. Income'!N33</f>
        <v>-2.9897919958997078E-2</v>
      </c>
      <c r="H30" s="760">
        <f>'2. Income'!O33</f>
        <v>6.7714696558022994E-2</v>
      </c>
      <c r="I30" s="402">
        <f>'2. Income'!P33</f>
        <v>0.10380412105973855</v>
      </c>
      <c r="J30" s="402">
        <f>'2. Income'!Q33</f>
        <v>0.1425357011685246</v>
      </c>
      <c r="K30" s="402">
        <f>'2. Income'!R33</f>
        <v>0.19379170316296862</v>
      </c>
      <c r="L30" s="117"/>
      <c r="M30" s="124" t="s">
        <v>163</v>
      </c>
      <c r="N30" s="133" t="s">
        <v>256</v>
      </c>
      <c r="O30" s="132">
        <f t="shared" ref="O30:R30" si="13">O24+O29</f>
        <v>15.225999999999999</v>
      </c>
      <c r="P30" s="132">
        <f t="shared" si="13"/>
        <v>22.331</v>
      </c>
      <c r="Q30" s="132">
        <f t="shared" si="13"/>
        <v>27.983000000000001</v>
      </c>
      <c r="R30" s="132">
        <f t="shared" si="13"/>
        <v>39.052</v>
      </c>
      <c r="S30" s="784">
        <f t="shared" ref="S30:T30" ca="1" si="14">S24+S29</f>
        <v>52.446999999999996</v>
      </c>
      <c r="T30" s="132">
        <f t="shared" ca="1" si="14"/>
        <v>59.981245128974791</v>
      </c>
      <c r="U30" s="132">
        <f t="shared" ref="U30:V30" ca="1" si="15">U24+U29</f>
        <v>68.89043773357217</v>
      </c>
      <c r="V30" s="132">
        <f t="shared" ca="1" si="15"/>
        <v>78.480869398462289</v>
      </c>
    </row>
    <row r="31" spans="2:22">
      <c r="D31" s="140"/>
      <c r="E31" s="140"/>
      <c r="F31" s="140"/>
      <c r="G31" s="140"/>
      <c r="H31" s="768"/>
      <c r="I31" s="140"/>
      <c r="J31" s="140"/>
      <c r="K31" s="140"/>
      <c r="L31" s="117"/>
      <c r="S31" s="762"/>
    </row>
    <row r="32" spans="2:22">
      <c r="B32" s="117" t="s">
        <v>97</v>
      </c>
      <c r="C32" s="125" t="s">
        <v>256</v>
      </c>
      <c r="D32" s="140">
        <f>'2. Income'!K35</f>
        <v>1.2001084812623275</v>
      </c>
      <c r="E32" s="140">
        <f>'2. Income'!L35</f>
        <v>-1.7449999999999999</v>
      </c>
      <c r="F32" s="140">
        <f>'2. Income'!M35</f>
        <v>0.10400000000000009</v>
      </c>
      <c r="G32" s="140">
        <f>'2. Income'!N35</f>
        <v>1.331</v>
      </c>
      <c r="H32" s="768">
        <f>'2. Income'!O35</f>
        <v>0.96700000000000008</v>
      </c>
      <c r="I32" s="140">
        <f>'2. Income'!P35</f>
        <v>1.73865065332853</v>
      </c>
      <c r="J32" s="140">
        <f>'2. Income'!Q35</f>
        <v>2.8021074691064971</v>
      </c>
      <c r="K32" s="140">
        <f>'2. Income'!R35</f>
        <v>4.1892226348220198</v>
      </c>
      <c r="L32" s="117"/>
      <c r="M32" s="124" t="s">
        <v>90</v>
      </c>
      <c r="N32" s="133" t="s">
        <v>256</v>
      </c>
      <c r="O32" s="132">
        <f>'4. Balance Sheet'!K39</f>
        <v>478.75400000000002</v>
      </c>
      <c r="P32" s="132">
        <f>'4. Balance Sheet'!L39</f>
        <v>453.786</v>
      </c>
      <c r="Q32" s="132">
        <f>'4. Balance Sheet'!M39</f>
        <v>440.22500000000002</v>
      </c>
      <c r="R32" s="132">
        <f>'4. Balance Sheet'!N39</f>
        <v>437.54829999999998</v>
      </c>
      <c r="S32" s="784">
        <f ca="1">'4. Balance Sheet'!O39</f>
        <v>445.92500000000001</v>
      </c>
      <c r="T32" s="132">
        <f ca="1">'4. Balance Sheet'!P39</f>
        <v>466.41377020030382</v>
      </c>
      <c r="U32" s="132">
        <f ca="1">'4. Balance Sheet'!Q39</f>
        <v>499.35797511118324</v>
      </c>
      <c r="V32" s="132">
        <f ca="1">'4. Balance Sheet'!R39</f>
        <v>549.7989906579478</v>
      </c>
    </row>
    <row r="33" spans="2:22">
      <c r="B33" s="124" t="s">
        <v>199</v>
      </c>
      <c r="C33" s="133" t="s">
        <v>256</v>
      </c>
      <c r="D33" s="139">
        <f>'2. Income'!K36</f>
        <v>-32.020793044822355</v>
      </c>
      <c r="E33" s="139">
        <f>'2. Income'!L36</f>
        <v>-28.3</v>
      </c>
      <c r="F33" s="139">
        <f>'2. Income'!M36</f>
        <v>-13.796999999999997</v>
      </c>
      <c r="G33" s="139">
        <f>'2. Income'!N36</f>
        <v>-2.1689999999999929</v>
      </c>
      <c r="H33" s="769">
        <f>'2. Income'!O36</f>
        <v>11.205936122448984</v>
      </c>
      <c r="I33" s="139">
        <f>'2. Income'!P36</f>
        <v>20.536119665850602</v>
      </c>
      <c r="J33" s="139">
        <f>'2. Income'!Q36</f>
        <v>33.354576633075148</v>
      </c>
      <c r="K33" s="139">
        <f>'2. Income'!R36</f>
        <v>52.13231466810447</v>
      </c>
      <c r="L33" s="117"/>
      <c r="S33" s="762"/>
    </row>
    <row r="34" spans="2:22">
      <c r="B34" s="117" t="s">
        <v>98</v>
      </c>
      <c r="C34" s="125" t="s">
        <v>256</v>
      </c>
      <c r="D34" s="140">
        <f>'2. Income'!K37</f>
        <v>3.8207930448223557</v>
      </c>
      <c r="E34" s="140">
        <f>'2. Income'!L37</f>
        <v>1.474</v>
      </c>
      <c r="F34" s="140">
        <f>'2. Income'!M37</f>
        <v>-1.581</v>
      </c>
      <c r="G34" s="140">
        <f>'2. Income'!N37</f>
        <v>-2.2029999999999998</v>
      </c>
      <c r="H34" s="768">
        <f>'2. Income'!O37</f>
        <v>-4.8019999999999996</v>
      </c>
      <c r="I34" s="140">
        <f>'2. Income'!P37</f>
        <v>-3.4911403431946026</v>
      </c>
      <c r="J34" s="140">
        <f>'2. Income'!Q37</f>
        <v>-5.6702780276227758</v>
      </c>
      <c r="K34" s="140">
        <f>'2. Income'!R37</f>
        <v>-8.8624934935777606</v>
      </c>
      <c r="L34" s="117"/>
      <c r="M34" s="124" t="s">
        <v>3</v>
      </c>
      <c r="N34" s="133" t="s">
        <v>256</v>
      </c>
      <c r="O34" s="132">
        <f>'4. Balance Sheet'!K44</f>
        <v>478.75400000000002</v>
      </c>
      <c r="P34" s="132">
        <f>'4. Balance Sheet'!L44</f>
        <v>453.786</v>
      </c>
      <c r="Q34" s="132">
        <f>'4. Balance Sheet'!M44</f>
        <v>440.22500000000002</v>
      </c>
      <c r="R34" s="132">
        <f>'4. Balance Sheet'!N44</f>
        <v>437.54199999999997</v>
      </c>
      <c r="S34" s="784">
        <f>'4. Balance Sheet'!O44</f>
        <v>445.92500000000001</v>
      </c>
      <c r="T34" s="132">
        <f>'4. Balance Sheet'!P44</f>
        <v>466.16997932265599</v>
      </c>
      <c r="U34" s="132">
        <f>'4. Balance Sheet'!Q44</f>
        <v>499.25427792810837</v>
      </c>
      <c r="V34" s="132">
        <f>'4. Balance Sheet'!R44</f>
        <v>549.82409910263505</v>
      </c>
    </row>
    <row r="35" spans="2:22">
      <c r="B35" s="124" t="s">
        <v>167</v>
      </c>
      <c r="C35" s="133" t="s">
        <v>256</v>
      </c>
      <c r="D35" s="139">
        <f>'2. Income'!K38</f>
        <v>-28.2</v>
      </c>
      <c r="E35" s="139">
        <f>'2. Income'!L38</f>
        <v>-26.826000000000001</v>
      </c>
      <c r="F35" s="139">
        <f>'2. Income'!M38</f>
        <v>-15.377999999999997</v>
      </c>
      <c r="G35" s="139">
        <f>'2. Income'!N38</f>
        <v>-4.3719999999999928</v>
      </c>
      <c r="H35" s="769">
        <f>'2. Income'!O38</f>
        <v>6.4039361224489841</v>
      </c>
      <c r="I35" s="139">
        <f>'2. Income'!P38</f>
        <v>17.044979322656001</v>
      </c>
      <c r="J35" s="139">
        <f>'2. Income'!Q38</f>
        <v>27.684298605452373</v>
      </c>
      <c r="K35" s="139">
        <f>'2. Income'!R38</f>
        <v>43.269821174526712</v>
      </c>
      <c r="L35" s="117"/>
      <c r="S35" s="762"/>
    </row>
    <row r="36" spans="2:22" ht="15.6">
      <c r="B36" s="118" t="s">
        <v>223</v>
      </c>
      <c r="C36" s="21" t="s">
        <v>256</v>
      </c>
      <c r="D36" s="138">
        <f>'2. Income'!K39</f>
        <v>0</v>
      </c>
      <c r="E36" s="138">
        <f>'2. Income'!L39</f>
        <v>0</v>
      </c>
      <c r="F36" s="138">
        <f>'2. Income'!M39</f>
        <v>0</v>
      </c>
      <c r="G36" s="138">
        <f>'2. Income'!N39</f>
        <v>0</v>
      </c>
      <c r="H36" s="764">
        <f>'2. Income'!O39</f>
        <v>0</v>
      </c>
      <c r="I36" s="138">
        <f>'2. Income'!P39</f>
        <v>0</v>
      </c>
      <c r="J36" s="138">
        <f>'2. Income'!Q39</f>
        <v>0</v>
      </c>
      <c r="K36" s="138">
        <f>'2. Income'!R39</f>
        <v>0</v>
      </c>
      <c r="L36" s="634"/>
      <c r="M36" s="120" t="s">
        <v>91</v>
      </c>
      <c r="N36" s="117"/>
      <c r="O36" s="117"/>
      <c r="P36" s="117"/>
      <c r="Q36" s="117"/>
      <c r="R36" s="117"/>
      <c r="S36" s="775"/>
      <c r="T36" s="117"/>
      <c r="U36" s="117"/>
      <c r="V36" s="117"/>
    </row>
    <row r="37" spans="2:22" ht="14.4" thickBot="1">
      <c r="B37" s="143" t="s">
        <v>24</v>
      </c>
      <c r="C37" s="38" t="s">
        <v>256</v>
      </c>
      <c r="D37" s="144">
        <f>'2. Income'!K40</f>
        <v>-28.2</v>
      </c>
      <c r="E37" s="144">
        <f>'2. Income'!L40</f>
        <v>-26.826000000000001</v>
      </c>
      <c r="F37" s="144">
        <f>'2. Income'!M40</f>
        <v>-15.377999999999997</v>
      </c>
      <c r="G37" s="144">
        <f>'2. Income'!N40</f>
        <v>-4.3719999999999928</v>
      </c>
      <c r="H37" s="770">
        <f>'2. Income'!O40</f>
        <v>6.4039361224489841</v>
      </c>
      <c r="I37" s="144">
        <f>'2. Income'!P40</f>
        <v>17.044979322656001</v>
      </c>
      <c r="J37" s="144">
        <f>'2. Income'!Q40</f>
        <v>27.684298605452373</v>
      </c>
      <c r="K37" s="144">
        <f>'2. Income'!R40</f>
        <v>43.269821174526712</v>
      </c>
      <c r="L37" s="634"/>
      <c r="M37" s="121" t="str">
        <f>M6</f>
        <v>(S$m) Year End 31 July</v>
      </c>
      <c r="N37" s="122"/>
      <c r="O37" s="123" t="str">
        <f t="shared" ref="O37:R37" si="16">O6</f>
        <v>FY21</v>
      </c>
      <c r="P37" s="123" t="str">
        <f t="shared" si="16"/>
        <v>FY22</v>
      </c>
      <c r="Q37" s="123" t="str">
        <f t="shared" si="16"/>
        <v>FY23</v>
      </c>
      <c r="R37" s="123" t="str">
        <f t="shared" si="16"/>
        <v>FY24</v>
      </c>
      <c r="S37" s="755" t="str">
        <f t="shared" ref="S37:T37" si="17">S6</f>
        <v>FY25</v>
      </c>
      <c r="T37" s="123" t="str">
        <f t="shared" si="17"/>
        <v>FY26E</v>
      </c>
      <c r="U37" s="123" t="str">
        <f t="shared" ref="U37:V37" si="18">U6</f>
        <v>FY27E</v>
      </c>
      <c r="V37" s="123" t="str">
        <f t="shared" si="18"/>
        <v>FY28E</v>
      </c>
    </row>
    <row r="38" spans="2:22">
      <c r="B38" s="193" t="s">
        <v>316</v>
      </c>
      <c r="C38" s="381" t="s">
        <v>256</v>
      </c>
      <c r="D38" s="633">
        <f>'2. Income'!K41</f>
        <v>-28.2</v>
      </c>
      <c r="E38" s="633">
        <f>'2. Income'!L41</f>
        <v>-26.826000000000001</v>
      </c>
      <c r="F38" s="633">
        <f>'2. Income'!M41</f>
        <v>-15.377999999999997</v>
      </c>
      <c r="G38" s="633">
        <f>'2. Income'!N41</f>
        <v>-4.3719999999999928</v>
      </c>
      <c r="H38" s="771">
        <f>'2. Income'!O41</f>
        <v>6.4039361224489841</v>
      </c>
      <c r="I38" s="633">
        <f>'2. Income'!P41</f>
        <v>17.044979322656001</v>
      </c>
      <c r="J38" s="633">
        <f>'2. Income'!Q41</f>
        <v>27.684298605452373</v>
      </c>
      <c r="K38" s="633">
        <f>'2. Income'!R41</f>
        <v>43.269821174526712</v>
      </c>
      <c r="L38" s="634"/>
      <c r="M38" s="124" t="s">
        <v>92</v>
      </c>
      <c r="N38" s="117"/>
      <c r="O38" s="117"/>
      <c r="P38" s="117"/>
      <c r="Q38" s="117"/>
      <c r="R38" s="117"/>
      <c r="S38" s="775"/>
      <c r="T38" s="117"/>
      <c r="U38" s="117"/>
      <c r="V38" s="117"/>
    </row>
    <row r="39" spans="2:22">
      <c r="B39" s="635" t="s">
        <v>17</v>
      </c>
      <c r="C39" s="636" t="s">
        <v>122</v>
      </c>
      <c r="D39" s="637">
        <f>'2. Income'!K42</f>
        <v>8.5077545515846271</v>
      </c>
      <c r="E39" s="637">
        <f>'2. Income'!L42</f>
        <v>-4.8723404255319069E-2</v>
      </c>
      <c r="F39" s="637">
        <f>'2. Income'!M42</f>
        <v>-0.42675016774770758</v>
      </c>
      <c r="G39" s="637">
        <f>'2. Income'!N42</f>
        <v>-0.71569775003251435</v>
      </c>
      <c r="H39" s="691">
        <f>'2. Income'!O42</f>
        <v>-2.4647612356928166</v>
      </c>
      <c r="I39" s="637">
        <f>'2. Income'!P42</f>
        <v>1.6616410589894648</v>
      </c>
      <c r="J39" s="637">
        <f>'2. Income'!Q42</f>
        <v>0.62419080019972251</v>
      </c>
      <c r="K39" s="637">
        <f>'2. Income'!R42</f>
        <v>0.56297335869671628</v>
      </c>
      <c r="L39" s="634"/>
      <c r="M39" s="141" t="s">
        <v>49</v>
      </c>
      <c r="N39" s="142" t="s">
        <v>256</v>
      </c>
      <c r="O39" s="159">
        <f>'2. Income'!K22</f>
        <v>-0.5</v>
      </c>
      <c r="P39" s="159">
        <f>'2. Income'!L22</f>
        <v>15.5</v>
      </c>
      <c r="Q39" s="159">
        <f>'2. Income'!M22</f>
        <v>31.1</v>
      </c>
      <c r="R39" s="159">
        <f>'2. Income'!N22</f>
        <v>49.74</v>
      </c>
      <c r="S39" s="787">
        <f>'2. Income'!O22</f>
        <v>68.317000000000007</v>
      </c>
      <c r="T39" s="159">
        <f>'2. Income'!P22</f>
        <v>81.295729238638387</v>
      </c>
      <c r="U39" s="159">
        <f>'2. Income'!Q22</f>
        <v>96.44326856862007</v>
      </c>
      <c r="V39" s="159">
        <f>'2. Income'!R22</f>
        <v>115.02244701390089</v>
      </c>
    </row>
    <row r="40" spans="2:22">
      <c r="B40" s="638" t="s">
        <v>317</v>
      </c>
      <c r="C40" s="639" t="s">
        <v>27</v>
      </c>
      <c r="D40" s="640">
        <f>'2. Income'!K45</f>
        <v>-6.0787782631744491</v>
      </c>
      <c r="E40" s="640">
        <f>'2. Income'!L45</f>
        <v>-5.7825993429000384</v>
      </c>
      <c r="F40" s="662">
        <f>'2. Income'!M45</f>
        <v>-3.3091030869533427</v>
      </c>
      <c r="G40" s="662">
        <f>'2. Income'!N45</f>
        <v>-0.93869168433734285</v>
      </c>
      <c r="H40" s="772">
        <f>'2. Income'!O45</f>
        <v>1.3601973984816154</v>
      </c>
      <c r="I40" s="662">
        <f>'2. Income'!P45</f>
        <v>3.6203572441293219</v>
      </c>
      <c r="J40" s="662">
        <f>'2. Income'!Q45</f>
        <v>5.8801509293512657</v>
      </c>
      <c r="K40" s="662">
        <f>'2. Income'!R45</f>
        <v>9.1905192476917641</v>
      </c>
      <c r="L40" s="117"/>
      <c r="M40" s="141" t="s">
        <v>50</v>
      </c>
      <c r="N40" s="142" t="s">
        <v>256</v>
      </c>
      <c r="O40" s="159">
        <f>'4. Balance Sheet'!K54</f>
        <v>0.25499999999999901</v>
      </c>
      <c r="P40" s="159">
        <f>'4. Balance Sheet'!L54</f>
        <v>7.6479999999999997</v>
      </c>
      <c r="Q40" s="159">
        <f>'4. Balance Sheet'!M54</f>
        <v>8.6949999999999985</v>
      </c>
      <c r="R40" s="159">
        <f>'4. Balance Sheet'!N54</f>
        <v>2.9550000000000054</v>
      </c>
      <c r="S40" s="787">
        <f>'4. Balance Sheet'!O54</f>
        <v>1.399999999999995</v>
      </c>
      <c r="T40" s="159">
        <f>'4. Balance Sheet'!P54</f>
        <v>6.3273600163256027</v>
      </c>
      <c r="U40" s="159">
        <f>'4. Balance Sheet'!Q54</f>
        <v>7.561849612155072</v>
      </c>
      <c r="V40" s="159">
        <f>'4. Balance Sheet'!R54</f>
        <v>8.2519289976387142</v>
      </c>
    </row>
    <row r="41" spans="2:22">
      <c r="B41" s="635" t="s">
        <v>17</v>
      </c>
      <c r="C41" s="641" t="s">
        <v>122</v>
      </c>
      <c r="D41" s="642">
        <f>'2. Income'!K46</f>
        <v>8.5077545515846253</v>
      </c>
      <c r="E41" s="642">
        <f>'2. Income'!L46</f>
        <v>-4.8723428862124774E-2</v>
      </c>
      <c r="F41" s="642">
        <f>'2. Income'!M46</f>
        <v>-0.42774816466987142</v>
      </c>
      <c r="G41" s="642">
        <f>'2. Income'!N46</f>
        <v>-0.71633047999070143</v>
      </c>
      <c r="H41" s="773">
        <f>'2. Income'!O46</f>
        <v>-2.4490353128480402</v>
      </c>
      <c r="I41" s="642">
        <f>'2. Income'!P46</f>
        <v>1.6616410589894648</v>
      </c>
      <c r="J41" s="642">
        <f>'2. Income'!Q46</f>
        <v>0.62419080019972251</v>
      </c>
      <c r="K41" s="642">
        <f>'2. Income'!R46</f>
        <v>0.56297335869671605</v>
      </c>
      <c r="L41" s="117"/>
      <c r="M41" s="117" t="s">
        <v>94</v>
      </c>
      <c r="N41" s="125" t="s">
        <v>256</v>
      </c>
      <c r="O41" s="140">
        <f>'3. Cashflow'!L15</f>
        <v>0.18070019723865879</v>
      </c>
      <c r="P41" s="140">
        <f>'3. Cashflow'!M15</f>
        <v>4.3999999999999997E-2</v>
      </c>
      <c r="Q41" s="140">
        <f>'3. Cashflow'!N15</f>
        <v>0.81200000000000006</v>
      </c>
      <c r="R41" s="140">
        <f>'3. Cashflow'!O15</f>
        <v>1.575</v>
      </c>
      <c r="S41" s="768">
        <f>'3. Cashflow'!P15</f>
        <v>9.6700000000000008E-2</v>
      </c>
      <c r="T41" s="140">
        <f>'3. Cashflow'!Q15</f>
        <v>0.17386506533285301</v>
      </c>
      <c r="U41" s="140">
        <f>'3. Cashflow'!R15</f>
        <v>0.28021074691064973</v>
      </c>
      <c r="V41" s="140">
        <f>'3. Cashflow'!S15</f>
        <v>0.41892226348220202</v>
      </c>
    </row>
    <row r="42" spans="2:22">
      <c r="B42" s="127" t="s">
        <v>137</v>
      </c>
      <c r="C42" s="147" t="s">
        <v>27</v>
      </c>
      <c r="D42" s="126">
        <f>'2. Income'!K47</f>
        <v>0</v>
      </c>
      <c r="E42" s="126">
        <f>'2. Income'!L47</f>
        <v>0</v>
      </c>
      <c r="F42" s="126">
        <f>'2. Income'!M47</f>
        <v>0</v>
      </c>
      <c r="G42" s="126">
        <f>'2. Income'!N47</f>
        <v>0</v>
      </c>
      <c r="H42" s="756">
        <f>'2. Income'!O47</f>
        <v>0</v>
      </c>
      <c r="I42" s="126">
        <f>'2. Income'!P47</f>
        <v>0</v>
      </c>
      <c r="J42" s="126">
        <f>'2. Income'!Q47</f>
        <v>0</v>
      </c>
      <c r="K42" s="126">
        <f>'2. Income'!R47</f>
        <v>0</v>
      </c>
      <c r="L42" s="117"/>
      <c r="M42" s="117" t="s">
        <v>95</v>
      </c>
      <c r="N42" s="125" t="s">
        <v>256</v>
      </c>
      <c r="O42" s="140">
        <f>'3. Cashflow'!L18</f>
        <v>0</v>
      </c>
      <c r="P42" s="140">
        <f>'3. Cashflow'!M18</f>
        <v>0</v>
      </c>
      <c r="Q42" s="140">
        <f>'3. Cashflow'!N18</f>
        <v>-2.1000000000000001E-2</v>
      </c>
      <c r="R42" s="140">
        <f>'3. Cashflow'!O18</f>
        <v>-3.5000000000000003E-2</v>
      </c>
      <c r="S42" s="768">
        <f>'3. Cashflow'!P18</f>
        <v>-5.1999999999999998E-2</v>
      </c>
      <c r="T42" s="140">
        <f>'3. Cashflow'!Q18</f>
        <v>0</v>
      </c>
      <c r="U42" s="140">
        <f>'3. Cashflow'!R18</f>
        <v>0</v>
      </c>
      <c r="V42" s="140">
        <f>'3. Cashflow'!S18</f>
        <v>0</v>
      </c>
    </row>
    <row r="43" spans="2:22">
      <c r="B43" s="118" t="s">
        <v>270</v>
      </c>
      <c r="C43" s="401" t="s">
        <v>165</v>
      </c>
      <c r="D43" s="590">
        <f>'2. Income'!K44</f>
        <v>463.90900900000003</v>
      </c>
      <c r="E43" s="590">
        <f>'2. Income'!L44</f>
        <v>463.909021</v>
      </c>
      <c r="F43" s="590">
        <f>'2. Income'!M44</f>
        <v>464.71807000000001</v>
      </c>
      <c r="G43" s="590">
        <f>'2. Income'!N44</f>
        <v>465.75463200000002</v>
      </c>
      <c r="H43" s="774">
        <f>'2. Income'!O44</f>
        <v>470.80932000000001</v>
      </c>
      <c r="I43" s="590">
        <f>'2. Income'!P44</f>
        <v>470.80932000000001</v>
      </c>
      <c r="J43" s="590">
        <f>'2. Income'!Q44</f>
        <v>470.80932000000001</v>
      </c>
      <c r="K43" s="590">
        <f>'2. Income'!R44</f>
        <v>470.80932000000001</v>
      </c>
      <c r="L43" s="117"/>
      <c r="M43" s="157" t="s">
        <v>152</v>
      </c>
      <c r="N43" s="29" t="s">
        <v>256</v>
      </c>
      <c r="O43" s="595">
        <f t="shared" ref="O43:R43" si="19">O44-SUM(O39:O42)</f>
        <v>-4.2804240631163699</v>
      </c>
      <c r="P43" s="595">
        <f t="shared" si="19"/>
        <v>-0.61700000000000088</v>
      </c>
      <c r="Q43" s="595">
        <f t="shared" si="19"/>
        <v>-0.61699999999999733</v>
      </c>
      <c r="R43" s="595">
        <f t="shared" si="19"/>
        <v>5.7589999999999861</v>
      </c>
      <c r="S43" s="788">
        <f t="shared" ref="S43:T43" si="20">S44-SUM(S39:S42)</f>
        <v>11.437300000000008</v>
      </c>
      <c r="T43" s="595">
        <f t="shared" si="20"/>
        <v>0</v>
      </c>
      <c r="U43" s="595">
        <f t="shared" ref="U43:V43" si="21">U44-SUM(U39:U42)</f>
        <v>0</v>
      </c>
      <c r="V43" s="595">
        <f t="shared" si="21"/>
        <v>0</v>
      </c>
    </row>
    <row r="44" spans="2:22">
      <c r="H44" s="762"/>
      <c r="L44" s="117"/>
      <c r="M44" s="124" t="s">
        <v>96</v>
      </c>
      <c r="N44" s="133" t="s">
        <v>256</v>
      </c>
      <c r="O44" s="139">
        <f>'3. Cashflow'!L20</f>
        <v>-4.3447238658777119</v>
      </c>
      <c r="P44" s="139">
        <f>'3. Cashflow'!M20</f>
        <v>22.574999999999999</v>
      </c>
      <c r="Q44" s="139">
        <f>'3. Cashflow'!N20</f>
        <v>39.969000000000001</v>
      </c>
      <c r="R44" s="139">
        <f>'3. Cashflow'!O20</f>
        <v>59.994</v>
      </c>
      <c r="S44" s="769">
        <f>'3. Cashflow'!P20</f>
        <v>81.198999999999998</v>
      </c>
      <c r="T44" s="139">
        <f>'3. Cashflow'!Q20</f>
        <v>87.796954320296834</v>
      </c>
      <c r="U44" s="139">
        <f>'3. Cashflow'!R20</f>
        <v>104.2853289276858</v>
      </c>
      <c r="V44" s="139">
        <f>'3. Cashflow'!S20</f>
        <v>123.6932982750218</v>
      </c>
    </row>
    <row r="45" spans="2:22" ht="15.6">
      <c r="B45" s="120" t="s">
        <v>271</v>
      </c>
      <c r="C45" s="117"/>
      <c r="D45" s="117"/>
      <c r="E45" s="117"/>
      <c r="F45" s="117"/>
      <c r="G45" s="117"/>
      <c r="H45" s="775"/>
      <c r="I45" s="117"/>
      <c r="J45" s="117"/>
      <c r="K45" s="117"/>
      <c r="L45" s="117"/>
      <c r="M45" s="135"/>
      <c r="N45" s="125"/>
      <c r="O45" s="146"/>
      <c r="P45" s="146"/>
      <c r="Q45" s="146"/>
      <c r="R45" s="146"/>
      <c r="S45" s="781"/>
      <c r="T45" s="146"/>
      <c r="U45" s="146"/>
      <c r="V45" s="146"/>
    </row>
    <row r="46" spans="2:22" ht="14.4" thickBot="1">
      <c r="B46" s="121"/>
      <c r="C46" s="122"/>
      <c r="D46" s="123" t="str">
        <f t="shared" ref="D46:I46" si="22">D6</f>
        <v>FY21</v>
      </c>
      <c r="E46" s="123" t="str">
        <f t="shared" si="22"/>
        <v>FY22</v>
      </c>
      <c r="F46" s="123" t="str">
        <f t="shared" si="22"/>
        <v>FY23</v>
      </c>
      <c r="G46" s="123" t="str">
        <f t="shared" si="22"/>
        <v>FY24</v>
      </c>
      <c r="H46" s="755" t="str">
        <f t="shared" si="22"/>
        <v>FY25</v>
      </c>
      <c r="I46" s="123" t="str">
        <f t="shared" si="22"/>
        <v>FY26E</v>
      </c>
      <c r="J46" s="123" t="str">
        <f t="shared" ref="J46:K46" si="23">J6</f>
        <v>FY27E</v>
      </c>
      <c r="K46" s="123" t="str">
        <f t="shared" si="23"/>
        <v>FY28E</v>
      </c>
      <c r="L46" s="117"/>
      <c r="M46" s="124" t="s">
        <v>99</v>
      </c>
      <c r="N46" s="117"/>
      <c r="O46" s="117"/>
      <c r="P46" s="117"/>
      <c r="Q46" s="117"/>
      <c r="R46" s="117"/>
      <c r="S46" s="775"/>
      <c r="T46" s="117"/>
      <c r="U46" s="117"/>
      <c r="V46" s="117"/>
    </row>
    <row r="47" spans="2:22">
      <c r="B47" s="752" t="s">
        <v>285</v>
      </c>
      <c r="C47" s="753" t="str">
        <f>'1.Assumptions'!D54</f>
        <v>k</v>
      </c>
      <c r="D47" s="754">
        <f>'1.Assumptions'!L54</f>
        <v>392</v>
      </c>
      <c r="E47" s="754">
        <f>'1.Assumptions'!M54</f>
        <v>587</v>
      </c>
      <c r="F47" s="754">
        <f>'1.Assumptions'!N54</f>
        <v>819</v>
      </c>
      <c r="G47" s="754">
        <f>'1.Assumptions'!O54</f>
        <v>1053</v>
      </c>
      <c r="H47" s="776">
        <f>'1.Assumptions'!P54</f>
        <v>1254</v>
      </c>
      <c r="I47" s="754">
        <f>'1.Assumptions'!Q54</f>
        <v>1424.85</v>
      </c>
      <c r="J47" s="754">
        <f>'1.Assumptions'!R54</f>
        <v>1578.6149999999998</v>
      </c>
      <c r="K47" s="754">
        <f>'1.Assumptions'!S54</f>
        <v>1717.0034999999998</v>
      </c>
      <c r="L47" s="117"/>
      <c r="M47" s="117" t="s">
        <v>100</v>
      </c>
      <c r="N47" s="125" t="s">
        <v>256</v>
      </c>
      <c r="O47" s="126">
        <f>'3. Cashflow'!L23</f>
        <v>-32.589388560157794</v>
      </c>
      <c r="P47" s="126">
        <f>'3. Cashflow'!M23</f>
        <v>-35.079000000000001</v>
      </c>
      <c r="Q47" s="126">
        <f>'3. Cashflow'!N23</f>
        <v>-43.392000000000003</v>
      </c>
      <c r="R47" s="126">
        <f>'3. Cashflow'!O23</f>
        <v>-45.811999999999998</v>
      </c>
      <c r="S47" s="756">
        <f>'3. Cashflow'!P23</f>
        <v>-54.124000000000002</v>
      </c>
      <c r="T47" s="126">
        <f>'3. Cashflow'!Q23</f>
        <v>-53.448788284564131</v>
      </c>
      <c r="U47" s="126">
        <f>'3. Cashflow'!R23</f>
        <v>-52.710397601961972</v>
      </c>
      <c r="V47" s="126">
        <f>'3. Cashflow'!S23</f>
        <v>-48.601993425187906</v>
      </c>
    </row>
    <row r="48" spans="2:22">
      <c r="B48" s="591" t="str">
        <f>'1.Assumptions'!C55</f>
        <v>Growth</v>
      </c>
      <c r="C48" s="149" t="str">
        <f>'1.Assumptions'!D55</f>
        <v>%</v>
      </c>
      <c r="D48" s="136">
        <f>'1.Assumptions'!L55</f>
        <v>1.9473684210526314</v>
      </c>
      <c r="E48" s="136">
        <f>'1.Assumptions'!M55</f>
        <v>0.49744897959183665</v>
      </c>
      <c r="F48" s="136">
        <f>'1.Assumptions'!N55</f>
        <v>0.39522998296422496</v>
      </c>
      <c r="G48" s="136">
        <f>'1.Assumptions'!O55</f>
        <v>0.28571428571428581</v>
      </c>
      <c r="H48" s="763">
        <f>'1.Assumptions'!P55</f>
        <v>0.19088319088319095</v>
      </c>
      <c r="I48" s="136">
        <f>'1.Assumptions'!Q55</f>
        <v>0.13624401913875595</v>
      </c>
      <c r="J48" s="136">
        <f>'1.Assumptions'!R55</f>
        <v>0.10791662280240022</v>
      </c>
      <c r="K48" s="136">
        <f>'1.Assumptions'!S55</f>
        <v>8.7664503377961056E-2</v>
      </c>
      <c r="L48" s="117"/>
      <c r="M48" s="151" t="str">
        <f>'3. Cashflow'!B25</f>
        <v>Payments for intangibles</v>
      </c>
      <c r="N48" s="416" t="s">
        <v>256</v>
      </c>
      <c r="O48" s="417">
        <f>'3. Cashflow'!L25</f>
        <v>-6.407297830374753E-2</v>
      </c>
      <c r="P48" s="417">
        <f>'3. Cashflow'!M25</f>
        <v>-31.991</v>
      </c>
      <c r="Q48" s="417">
        <f>'3. Cashflow'!N25</f>
        <v>-1.19</v>
      </c>
      <c r="R48" s="417">
        <f>'3. Cashflow'!O25</f>
        <v>-2.1800000000000002</v>
      </c>
      <c r="S48" s="756">
        <f>'3. Cashflow'!P25</f>
        <v>-0.877</v>
      </c>
      <c r="T48" s="417">
        <f>'3. Cashflow'!Q25</f>
        <v>-0.877</v>
      </c>
      <c r="U48" s="417">
        <f>'3. Cashflow'!R25</f>
        <v>-0.877</v>
      </c>
      <c r="V48" s="417">
        <f>'3. Cashflow'!S25</f>
        <v>-0.877</v>
      </c>
    </row>
    <row r="49" spans="2:22">
      <c r="B49" s="591" t="str">
        <f>'1.Assumptions'!C56</f>
        <v>Net adds</v>
      </c>
      <c r="C49" s="149" t="str">
        <f>'1.Assumptions'!D56</f>
        <v>k</v>
      </c>
      <c r="D49" s="129">
        <f>'1.Assumptions'!L56</f>
        <v>259</v>
      </c>
      <c r="E49" s="129">
        <f>'1.Assumptions'!M56</f>
        <v>195</v>
      </c>
      <c r="F49" s="129">
        <f>'1.Assumptions'!N56</f>
        <v>232</v>
      </c>
      <c r="G49" s="129">
        <f>'1.Assumptions'!O56</f>
        <v>234</v>
      </c>
      <c r="H49" s="777">
        <f>'1.Assumptions'!P56</f>
        <v>201</v>
      </c>
      <c r="I49" s="129">
        <f>'1.Assumptions'!Q56</f>
        <v>170.85</v>
      </c>
      <c r="J49" s="129">
        <f>'1.Assumptions'!R56</f>
        <v>153.76499999999999</v>
      </c>
      <c r="K49" s="129">
        <f>'1.Assumptions'!S56</f>
        <v>138.38849999999999</v>
      </c>
      <c r="L49" s="117"/>
      <c r="M49" s="409" t="s">
        <v>101</v>
      </c>
      <c r="N49" s="398" t="s">
        <v>256</v>
      </c>
      <c r="O49" s="399">
        <f t="shared" ref="O49:R49" si="24">O50-O47-O48</f>
        <v>16.181666666666672</v>
      </c>
      <c r="P49" s="399">
        <f t="shared" si="24"/>
        <v>0.60799999999999699</v>
      </c>
      <c r="Q49" s="399">
        <f t="shared" si="24"/>
        <v>2.2204460492503131E-15</v>
      </c>
      <c r="R49" s="399">
        <f t="shared" si="24"/>
        <v>-0.21800000000000308</v>
      </c>
      <c r="S49" s="758">
        <f t="shared" ref="S49:T49" si="25">S50-S47-S48</f>
        <v>4.6629367034256575E-15</v>
      </c>
      <c r="T49" s="399">
        <f t="shared" si="25"/>
        <v>-2.4424906541753444E-15</v>
      </c>
      <c r="U49" s="399">
        <f t="shared" ref="U49:V49" si="26">U50-U47-U48</f>
        <v>-2.4424906541753444E-15</v>
      </c>
      <c r="V49" s="399">
        <f t="shared" si="26"/>
        <v>-2.4424906541753444E-15</v>
      </c>
    </row>
    <row r="50" spans="2:22">
      <c r="B50" s="591" t="str">
        <f>'1.Assumptions'!C57</f>
        <v>Market Share</v>
      </c>
      <c r="C50" s="149" t="str">
        <f>'1.Assumptions'!D57</f>
        <v>%</v>
      </c>
      <c r="D50" s="136">
        <f>'1.Assumptions'!L57</f>
        <v>4.6542982723803333E-2</v>
      </c>
      <c r="E50" s="136">
        <f>'1.Assumptions'!M57</f>
        <v>6.9695741986919788E-2</v>
      </c>
      <c r="F50" s="136">
        <f>'1.Assumptions'!N57</f>
        <v>9.7241588905089105E-2</v>
      </c>
      <c r="G50" s="136">
        <f>'1.Assumptions'!O57</f>
        <v>0.12502490002082886</v>
      </c>
      <c r="H50" s="763">
        <f>'1.Assumptions'!P57</f>
        <v>0.12835209825997954</v>
      </c>
      <c r="I50" s="136">
        <f>'1.Assumptions'!Q57</f>
        <v>0.15084112623972712</v>
      </c>
      <c r="J50" s="136">
        <f>'1.Assumptions'!R57</f>
        <v>0.16497615110233274</v>
      </c>
      <c r="K50" s="136">
        <f>'1.Assumptions'!S57</f>
        <v>0.17697556696885317</v>
      </c>
      <c r="L50" s="117"/>
      <c r="M50" s="124" t="s">
        <v>102</v>
      </c>
      <c r="N50" s="133" t="s">
        <v>256</v>
      </c>
      <c r="O50" s="134">
        <f>'3. Cashflow'!L27</f>
        <v>-16.47179487179487</v>
      </c>
      <c r="P50" s="134">
        <f>'3. Cashflow'!M27</f>
        <v>-66.462000000000003</v>
      </c>
      <c r="Q50" s="134">
        <f>'3. Cashflow'!N27</f>
        <v>-44.582000000000001</v>
      </c>
      <c r="R50" s="134">
        <f>'3. Cashflow'!O27</f>
        <v>-48.21</v>
      </c>
      <c r="S50" s="761">
        <f>'3. Cashflow'!P27</f>
        <v>-55.000999999999998</v>
      </c>
      <c r="T50" s="134">
        <f>'3. Cashflow'!Q27</f>
        <v>-54.325788284564133</v>
      </c>
      <c r="U50" s="134">
        <f>'3. Cashflow'!R27</f>
        <v>-53.587397601961975</v>
      </c>
      <c r="V50" s="134">
        <f>'3. Cashflow'!S27</f>
        <v>-49.478993425187909</v>
      </c>
    </row>
    <row r="51" spans="2:22">
      <c r="B51" s="592" t="s">
        <v>286</v>
      </c>
      <c r="C51" s="593" t="s">
        <v>254</v>
      </c>
      <c r="D51" s="594">
        <f>'1.Assumptions'!L59</f>
        <v>9.43</v>
      </c>
      <c r="E51" s="594">
        <f>'1.Assumptions'!M59</f>
        <v>9.19</v>
      </c>
      <c r="F51" s="594">
        <f>'1.Assumptions'!N59</f>
        <v>9.3699999999999992</v>
      </c>
      <c r="G51" s="594">
        <f>'1.Assumptions'!O59</f>
        <v>9.68</v>
      </c>
      <c r="H51" s="778">
        <f>'1.Assumptions'!P59</f>
        <v>9.6</v>
      </c>
      <c r="I51" s="594">
        <f>'1.Assumptions'!Q59</f>
        <v>9.7919999999999998</v>
      </c>
      <c r="J51" s="594">
        <f>'1.Assumptions'!R59</f>
        <v>9.9878400000000003</v>
      </c>
      <c r="K51" s="594">
        <f>'1.Assumptions'!S59</f>
        <v>10.1875968</v>
      </c>
      <c r="L51" s="117"/>
      <c r="M51" s="117"/>
      <c r="N51" s="125"/>
      <c r="O51" s="117"/>
      <c r="P51" s="117"/>
      <c r="Q51" s="117"/>
      <c r="R51" s="117"/>
      <c r="S51" s="775"/>
      <c r="T51" s="117"/>
      <c r="U51" s="117"/>
      <c r="V51" s="117"/>
    </row>
    <row r="52" spans="2:22">
      <c r="H52" s="762"/>
      <c r="L52" s="117"/>
      <c r="M52" s="124" t="s">
        <v>103</v>
      </c>
      <c r="N52" s="117"/>
      <c r="O52" s="117"/>
      <c r="P52" s="117"/>
      <c r="Q52" s="117"/>
      <c r="R52" s="117"/>
      <c r="S52" s="775"/>
      <c r="T52" s="117"/>
      <c r="U52" s="117"/>
      <c r="V52" s="117"/>
    </row>
    <row r="53" spans="2:22">
      <c r="B53" s="752" t="s">
        <v>287</v>
      </c>
      <c r="C53" s="753" t="s">
        <v>226</v>
      </c>
      <c r="D53" s="754"/>
      <c r="E53" s="754"/>
      <c r="F53" s="754">
        <f>'1.Assumptions'!N77</f>
        <v>0</v>
      </c>
      <c r="G53" s="754">
        <f>'1.Assumptions'!O77</f>
        <v>4</v>
      </c>
      <c r="H53" s="776">
        <f>'1.Assumptions'!P77</f>
        <v>25.591999999999999</v>
      </c>
      <c r="I53" s="754">
        <f>'1.Assumptions'!Q77</f>
        <v>52.622564305095437</v>
      </c>
      <c r="J53" s="754">
        <f>'1.Assumptions'!R77</f>
        <v>77.744647706029255</v>
      </c>
      <c r="K53" s="754">
        <f>'1.Assumptions'!S77</f>
        <v>101.56455622465754</v>
      </c>
      <c r="L53" s="117"/>
      <c r="M53" s="184" t="s">
        <v>104</v>
      </c>
      <c r="N53" s="145" t="s">
        <v>256</v>
      </c>
      <c r="O53" s="185">
        <f>'3. Cashflow'!L34</f>
        <v>0</v>
      </c>
      <c r="P53" s="185">
        <f>'3. Cashflow'!M34</f>
        <v>0</v>
      </c>
      <c r="Q53" s="185">
        <f>'3. Cashflow'!N34</f>
        <v>0</v>
      </c>
      <c r="R53" s="185">
        <f>'3. Cashflow'!O34</f>
        <v>0</v>
      </c>
      <c r="S53" s="789">
        <f>'3. Cashflow'!P34</f>
        <v>0</v>
      </c>
      <c r="T53" s="185">
        <f>'3. Cashflow'!Q34</f>
        <v>0</v>
      </c>
      <c r="U53" s="185">
        <f>'3. Cashflow'!R34</f>
        <v>0</v>
      </c>
      <c r="V53" s="185">
        <f>'3. Cashflow'!S34</f>
        <v>0</v>
      </c>
    </row>
    <row r="54" spans="2:22">
      <c r="B54" s="591" t="str">
        <f>'1.Assumptions'!C78</f>
        <v>Growth</v>
      </c>
      <c r="C54" s="149" t="s">
        <v>122</v>
      </c>
      <c r="D54" s="136"/>
      <c r="E54" s="136"/>
      <c r="F54" s="136"/>
      <c r="G54" s="136">
        <f>'1.Assumptions'!O78</f>
        <v>0</v>
      </c>
      <c r="H54" s="763">
        <f>'1.Assumptions'!P78</f>
        <v>0</v>
      </c>
      <c r="I54" s="136">
        <f>'1.Assumptions'!Q78</f>
        <v>1.0562114842566208</v>
      </c>
      <c r="J54" s="136">
        <f>'1.Assumptions'!R78</f>
        <v>0.47740135306369424</v>
      </c>
      <c r="K54" s="136">
        <f>'1.Assumptions'!S78</f>
        <v>0.30638647445798384</v>
      </c>
      <c r="L54" s="117"/>
      <c r="M54" s="117" t="s">
        <v>62</v>
      </c>
      <c r="N54" s="125" t="s">
        <v>256</v>
      </c>
      <c r="O54" s="126">
        <f>'3. Cashflow'!L30</f>
        <v>0</v>
      </c>
      <c r="P54" s="126">
        <f>'3. Cashflow'!M30</f>
        <v>0</v>
      </c>
      <c r="Q54" s="126">
        <f>'3. Cashflow'!N30</f>
        <v>0</v>
      </c>
      <c r="R54" s="126">
        <f>'3. Cashflow'!O30</f>
        <v>0</v>
      </c>
      <c r="S54" s="756">
        <f>'3. Cashflow'!P30</f>
        <v>0</v>
      </c>
      <c r="T54" s="126">
        <f>'3. Cashflow'!Q30</f>
        <v>0</v>
      </c>
      <c r="U54" s="126">
        <f>'3. Cashflow'!R30</f>
        <v>0</v>
      </c>
      <c r="V54" s="126">
        <f>'3. Cashflow'!S30</f>
        <v>0</v>
      </c>
    </row>
    <row r="55" spans="2:22">
      <c r="B55" s="591" t="str">
        <f>'1.Assumptions'!C79</f>
        <v>Net adds</v>
      </c>
      <c r="C55" s="149" t="s">
        <v>226</v>
      </c>
      <c r="D55" s="129"/>
      <c r="E55" s="129"/>
      <c r="F55" s="129"/>
      <c r="G55" s="129">
        <f>'1.Assumptions'!O79</f>
        <v>4</v>
      </c>
      <c r="H55" s="777">
        <f>'1.Assumptions'!P79</f>
        <v>21.591999999999999</v>
      </c>
      <c r="I55" s="129">
        <f>'1.Assumptions'!Q79</f>
        <v>27.030564305095439</v>
      </c>
      <c r="J55" s="129">
        <f>'1.Assumptions'!R79</f>
        <v>25.122083400933818</v>
      </c>
      <c r="K55" s="129">
        <f>'1.Assumptions'!S79</f>
        <v>23.819908518628282</v>
      </c>
      <c r="L55" s="117"/>
      <c r="M55" s="409" t="s">
        <v>105</v>
      </c>
      <c r="N55" s="398" t="s">
        <v>256</v>
      </c>
      <c r="O55" s="399">
        <f t="shared" ref="O55:R55" si="27">O56-O53-O54</f>
        <v>62.976538461538468</v>
      </c>
      <c r="P55" s="399">
        <f t="shared" si="27"/>
        <v>-0.54400000000000004</v>
      </c>
      <c r="Q55" s="399">
        <f t="shared" si="27"/>
        <v>-0.58199999999999996</v>
      </c>
      <c r="R55" s="399">
        <f t="shared" si="27"/>
        <v>-0.58699999999999997</v>
      </c>
      <c r="S55" s="758">
        <f t="shared" ref="S55:T55" si="28">S56-S53-S54</f>
        <v>-0.60599999999999998</v>
      </c>
      <c r="T55" s="399">
        <f t="shared" si="28"/>
        <v>-0.61949999999999994</v>
      </c>
      <c r="U55" s="399">
        <f t="shared" ref="U55:V55" si="29">U56-U53-U54</f>
        <v>-0.65047499999999991</v>
      </c>
      <c r="V55" s="399">
        <f t="shared" si="29"/>
        <v>-0.68299874999999999</v>
      </c>
    </row>
    <row r="56" spans="2:22">
      <c r="B56" s="591" t="str">
        <f>'1.Assumptions'!C80</f>
        <v>Market Share</v>
      </c>
      <c r="C56" s="149" t="s">
        <v>122</v>
      </c>
      <c r="D56" s="136"/>
      <c r="E56" s="136"/>
      <c r="F56" s="136"/>
      <c r="G56" s="136">
        <f>'1.Assumptions'!O80</f>
        <v>2.6613998713486417E-3</v>
      </c>
      <c r="H56" s="763">
        <f>'1.Assumptions'!P80</f>
        <v>1.8542982723803336E-2</v>
      </c>
      <c r="I56" s="136">
        <f>'1.Assumptions'!Q80</f>
        <v>3.3695741986919783E-2</v>
      </c>
      <c r="J56" s="136">
        <f>'1.Assumptions'!R80</f>
        <v>4.9000000000000002E-2</v>
      </c>
      <c r="K56" s="136">
        <f>'1.Assumptions'!S80</f>
        <v>6.3E-2</v>
      </c>
      <c r="L56" s="117"/>
      <c r="M56" s="410" t="s">
        <v>106</v>
      </c>
      <c r="N56" s="411" t="s">
        <v>256</v>
      </c>
      <c r="O56" s="418">
        <f>'3. Cashflow'!L37</f>
        <v>62.976538461538468</v>
      </c>
      <c r="P56" s="418">
        <f>'3. Cashflow'!M37</f>
        <v>-0.54400000000000004</v>
      </c>
      <c r="Q56" s="418">
        <f>'3. Cashflow'!N37</f>
        <v>-0.58199999999999996</v>
      </c>
      <c r="R56" s="418">
        <f>'3. Cashflow'!O37</f>
        <v>-0.58699999999999997</v>
      </c>
      <c r="S56" s="790">
        <f>'3. Cashflow'!P37</f>
        <v>-0.60599999999999998</v>
      </c>
      <c r="T56" s="418">
        <f>'3. Cashflow'!Q37</f>
        <v>-0.61949999999999994</v>
      </c>
      <c r="U56" s="418">
        <f>'3. Cashflow'!R37</f>
        <v>-0.65047499999999991</v>
      </c>
      <c r="V56" s="418">
        <f>'3. Cashflow'!S37</f>
        <v>-0.68299874999999999</v>
      </c>
    </row>
    <row r="57" spans="2:22">
      <c r="B57" s="696" t="s">
        <v>288</v>
      </c>
      <c r="C57" s="697" t="s">
        <v>254</v>
      </c>
      <c r="D57" s="698"/>
      <c r="E57" s="698"/>
      <c r="F57" s="698"/>
      <c r="G57" s="698">
        <f>'1.Assumptions'!O82</f>
        <v>6.270833333333333</v>
      </c>
      <c r="H57" s="779">
        <f>'1.Assumptions'!P82</f>
        <v>20.777977492966553</v>
      </c>
      <c r="I57" s="698">
        <f>'1.Assumptions'!Q82</f>
        <v>27</v>
      </c>
      <c r="J57" s="698">
        <f>'1.Assumptions'!R82</f>
        <v>27.5</v>
      </c>
      <c r="K57" s="698">
        <f>'1.Assumptions'!S82</f>
        <v>28.875</v>
      </c>
      <c r="L57" s="117"/>
      <c r="M57" s="130" t="s">
        <v>67</v>
      </c>
      <c r="N57" s="131" t="s">
        <v>256</v>
      </c>
      <c r="O57" s="134">
        <f>'3. Cashflow'!L39</f>
        <v>42.160019723865886</v>
      </c>
      <c r="P57" s="134">
        <f>'3. Cashflow'!M39</f>
        <v>-44.430999999999997</v>
      </c>
      <c r="Q57" s="134">
        <f>'3. Cashflow'!N39</f>
        <v>-5.1949999999999994</v>
      </c>
      <c r="R57" s="134">
        <f>'3. Cashflow'!O39</f>
        <v>11.196999999999999</v>
      </c>
      <c r="S57" s="761">
        <f>'3. Cashflow'!P39</f>
        <v>25.591999999999999</v>
      </c>
      <c r="T57" s="134">
        <f>'3. Cashflow'!Q39</f>
        <v>32.851666035732698</v>
      </c>
      <c r="U57" s="134">
        <f>'3. Cashflow'!R39</f>
        <v>50.047456325723822</v>
      </c>
      <c r="V57" s="134">
        <f>'3. Cashflow'!S39</f>
        <v>73.531306099833898</v>
      </c>
    </row>
    <row r="58" spans="2:22">
      <c r="H58" s="762"/>
      <c r="L58" s="117"/>
      <c r="S58" s="762"/>
    </row>
    <row r="59" spans="2:22" ht="15.6">
      <c r="B59" s="120" t="s">
        <v>107</v>
      </c>
      <c r="C59" s="117"/>
      <c r="D59" s="117"/>
      <c r="E59" s="117"/>
      <c r="F59" s="117"/>
      <c r="G59" s="117"/>
      <c r="H59" s="775"/>
      <c r="I59" s="117"/>
      <c r="J59" s="117"/>
      <c r="K59" s="117"/>
      <c r="L59" s="117"/>
      <c r="M59" s="343" t="s">
        <v>230</v>
      </c>
      <c r="N59" s="131" t="s">
        <v>256</v>
      </c>
      <c r="O59" s="419">
        <f t="shared" ref="O59:R59" si="30">O44+O47+O48</f>
        <v>-36.998185404339253</v>
      </c>
      <c r="P59" s="419">
        <f t="shared" si="30"/>
        <v>-44.495000000000005</v>
      </c>
      <c r="Q59" s="419">
        <f t="shared" si="30"/>
        <v>-4.6130000000000013</v>
      </c>
      <c r="R59" s="419">
        <f t="shared" si="30"/>
        <v>12.002000000000002</v>
      </c>
      <c r="S59" s="791">
        <f t="shared" ref="S59:T59" si="31">S44+S47+S48</f>
        <v>26.197999999999997</v>
      </c>
      <c r="T59" s="419">
        <f t="shared" si="31"/>
        <v>33.471166035732701</v>
      </c>
      <c r="U59" s="419">
        <f t="shared" ref="U59:V59" si="32">U44+U47+U48</f>
        <v>50.697931325723822</v>
      </c>
      <c r="V59" s="419">
        <f t="shared" si="32"/>
        <v>74.214304849833908</v>
      </c>
    </row>
    <row r="60" spans="2:22" ht="14.4" thickBot="1">
      <c r="B60" s="121" t="str">
        <f>M37</f>
        <v>(S$m) Year End 31 July</v>
      </c>
      <c r="C60" s="122"/>
      <c r="D60" s="123" t="str">
        <f t="shared" ref="D60:I60" si="33">D6</f>
        <v>FY21</v>
      </c>
      <c r="E60" s="123" t="str">
        <f t="shared" si="33"/>
        <v>FY22</v>
      </c>
      <c r="F60" s="123" t="str">
        <f t="shared" si="33"/>
        <v>FY23</v>
      </c>
      <c r="G60" s="123" t="str">
        <f t="shared" si="33"/>
        <v>FY24</v>
      </c>
      <c r="H60" s="755" t="str">
        <f t="shared" si="33"/>
        <v>FY25</v>
      </c>
      <c r="I60" s="123" t="str">
        <f t="shared" si="33"/>
        <v>FY26E</v>
      </c>
      <c r="J60" s="123" t="str">
        <f t="shared" ref="J60:K60" si="34">J6</f>
        <v>FY27E</v>
      </c>
      <c r="K60" s="123" t="str">
        <f t="shared" si="34"/>
        <v>FY28E</v>
      </c>
      <c r="L60" s="117"/>
      <c r="S60" s="762"/>
    </row>
    <row r="61" spans="2:22">
      <c r="B61" s="148" t="s">
        <v>108</v>
      </c>
      <c r="C61" s="149" t="s">
        <v>256</v>
      </c>
      <c r="D61" s="129">
        <f>'4. Balance Sheet'!K57</f>
        <v>-94.582999999999998</v>
      </c>
      <c r="E61" s="129">
        <f>'4. Balance Sheet'!L57</f>
        <v>-49.554000000000002</v>
      </c>
      <c r="F61" s="129">
        <f>'4. Balance Sheet'!M57</f>
        <v>-44.002000000000002</v>
      </c>
      <c r="G61" s="129">
        <f>'4. Balance Sheet'!N57</f>
        <v>-55.332999999999998</v>
      </c>
      <c r="H61" s="777">
        <f>'4. Balance Sheet'!O57</f>
        <v>-80.686999999999998</v>
      </c>
      <c r="I61" s="129">
        <f>'4. Balance Sheet'!P57</f>
        <v>-113.30066603573269</v>
      </c>
      <c r="J61" s="129">
        <f>'4. Balance Sheet'!Q57</f>
        <v>-163.11012236145652</v>
      </c>
      <c r="K61" s="129">
        <f>'4. Balance Sheet'!R57</f>
        <v>-236.40342846129042</v>
      </c>
      <c r="L61" s="117"/>
      <c r="S61" s="762"/>
    </row>
    <row r="62" spans="2:22">
      <c r="B62" s="420" t="s">
        <v>111</v>
      </c>
      <c r="C62" s="421" t="s">
        <v>112</v>
      </c>
      <c r="D62" s="288">
        <f t="shared" ref="D62:J62" si="35">D61/O39</f>
        <v>189.166</v>
      </c>
      <c r="E62" s="288">
        <f t="shared" si="35"/>
        <v>-3.1970322580645161</v>
      </c>
      <c r="F62" s="288">
        <f t="shared" si="35"/>
        <v>-1.4148553054662381</v>
      </c>
      <c r="G62" s="288">
        <f t="shared" si="35"/>
        <v>-1.1124447125050261</v>
      </c>
      <c r="H62" s="278">
        <f t="shared" si="35"/>
        <v>-1.1810676698332772</v>
      </c>
      <c r="I62" s="288">
        <f t="shared" si="35"/>
        <v>-1.3936853398921591</v>
      </c>
      <c r="J62" s="288">
        <f t="shared" si="35"/>
        <v>-1.6912546078361343</v>
      </c>
      <c r="K62" s="288" t="e">
        <f>K61/W39</f>
        <v>#DIV/0!</v>
      </c>
      <c r="L62" s="151"/>
      <c r="M62" s="619"/>
      <c r="N62" s="619"/>
      <c r="O62" s="619"/>
      <c r="P62" s="619"/>
      <c r="Q62" s="619"/>
      <c r="R62" s="619"/>
      <c r="S62" s="762"/>
      <c r="T62" s="619"/>
      <c r="U62" s="619"/>
      <c r="V62" s="619"/>
    </row>
    <row r="63" spans="2:22">
      <c r="B63" s="148"/>
      <c r="C63" s="149"/>
      <c r="D63" s="150"/>
      <c r="E63" s="150"/>
      <c r="F63" s="150"/>
      <c r="G63" s="150"/>
      <c r="H63" s="780"/>
      <c r="I63" s="150"/>
      <c r="J63" s="150"/>
      <c r="K63" s="150"/>
      <c r="S63" s="762"/>
    </row>
    <row r="64" spans="2:22">
      <c r="B64" s="616" t="s">
        <v>10</v>
      </c>
      <c r="C64" s="617" t="s">
        <v>122</v>
      </c>
      <c r="D64" s="618">
        <f>'4. Balance Sheet'!K64</f>
        <v>-5.7087331470909747E-2</v>
      </c>
      <c r="E64" s="618">
        <f>'4. Balance Sheet'!L64</f>
        <v>-5.6343293770228745E-2</v>
      </c>
      <c r="F64" s="618">
        <f>'4. Balance Sheet'!M64</f>
        <v>-3.2844376858148505E-2</v>
      </c>
      <c r="G64" s="618">
        <f>'4. Balance Sheet'!N64</f>
        <v>-9.1733051783643299E-3</v>
      </c>
      <c r="H64" s="781">
        <f>'4. Balance Sheet'!O64</f>
        <v>1.2849710903600089E-2</v>
      </c>
      <c r="I64" s="618">
        <f>'4. Balance Sheet'!P64</f>
        <v>3.238058649167444E-2</v>
      </c>
      <c r="J64" s="618">
        <f>'4. Balance Sheet'!Q64</f>
        <v>4.8718655397310684E-2</v>
      </c>
      <c r="K64" s="618">
        <f>'4. Balance Sheet'!R64</f>
        <v>6.8870297976194442E-2</v>
      </c>
      <c r="S64" s="762"/>
    </row>
    <row r="65" spans="2:22">
      <c r="B65" s="613" t="s">
        <v>109</v>
      </c>
      <c r="C65" s="614" t="s">
        <v>122</v>
      </c>
      <c r="D65" s="615">
        <f>'4. Balance Sheet'!K65</f>
        <v>-5.8902902116744711E-2</v>
      </c>
      <c r="E65" s="615">
        <f>'4. Balance Sheet'!L65</f>
        <v>-5.9115970964287133E-2</v>
      </c>
      <c r="F65" s="615">
        <f>'4. Balance Sheet'!M65</f>
        <v>-3.493213697541029E-2</v>
      </c>
      <c r="G65" s="615">
        <f>'4. Balance Sheet'!N65</f>
        <v>-9.9921836075165197E-3</v>
      </c>
      <c r="H65" s="782">
        <f>'4. Balance Sheet'!O65</f>
        <v>1.4361016140492198E-2</v>
      </c>
      <c r="I65" s="615">
        <f>'4. Balance Sheet'!P65</f>
        <v>3.6563871717827733E-2</v>
      </c>
      <c r="J65" s="615">
        <f>'4. Balance Sheet'!Q65</f>
        <v>5.5451299727147969E-2</v>
      </c>
      <c r="K65" s="615">
        <f>'4. Balance Sheet'!R65</f>
        <v>7.8697571178031583E-2</v>
      </c>
      <c r="L65" s="409"/>
      <c r="M65" s="152"/>
      <c r="N65" s="152"/>
      <c r="O65" s="152"/>
      <c r="P65" s="152"/>
      <c r="Q65" s="152"/>
      <c r="R65" s="152"/>
      <c r="S65" s="792"/>
      <c r="T65" s="152"/>
      <c r="U65" s="152"/>
      <c r="V65" s="152"/>
    </row>
    <row r="66" spans="2:22">
      <c r="B66" s="619"/>
      <c r="C66" s="619"/>
      <c r="D66" s="619"/>
      <c r="E66" s="619"/>
      <c r="F66" s="619"/>
      <c r="G66" s="619"/>
      <c r="H66" s="619"/>
      <c r="I66" s="619"/>
      <c r="J66" s="619"/>
      <c r="K66" s="619"/>
      <c r="L66" s="151"/>
      <c r="M66" s="619"/>
      <c r="N66" s="619"/>
      <c r="O66" s="619"/>
      <c r="P66" s="619"/>
      <c r="Q66" s="619"/>
      <c r="R66" s="619"/>
      <c r="S66" s="619"/>
      <c r="T66" s="619"/>
      <c r="U66" s="619"/>
      <c r="V66" s="619"/>
    </row>
    <row r="75" spans="2:22">
      <c r="L75" s="151"/>
    </row>
    <row r="76" spans="2:22">
      <c r="L76" s="151"/>
    </row>
    <row r="77" spans="2:22">
      <c r="L77" s="117"/>
    </row>
    <row r="78" spans="2:22">
      <c r="L78" s="117"/>
    </row>
    <row r="79" spans="2:22">
      <c r="L79" s="117"/>
    </row>
    <row r="80" spans="2:22">
      <c r="L80" s="117"/>
    </row>
  </sheetData>
  <phoneticPr fontId="2" type="noConversion"/>
  <pageMargins left="0" right="0" top="0" bottom="0" header="0" footer="0"/>
  <pageSetup paperSize="5" scale="5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0570-5E1E-4C13-B806-93A6401A2243}">
  <dimension ref="A1:B44"/>
  <sheetViews>
    <sheetView workbookViewId="0"/>
  </sheetViews>
  <sheetFormatPr defaultRowHeight="13.2"/>
  <cols>
    <col min="1" max="1" width="29.109375" customWidth="1"/>
  </cols>
  <sheetData>
    <row r="1" spans="1:2">
      <c r="A1" s="831" t="s">
        <v>651</v>
      </c>
      <c r="B1" s="839" t="s">
        <v>652</v>
      </c>
    </row>
    <row r="2" spans="1:2">
      <c r="A2" s="831" t="s">
        <v>653</v>
      </c>
      <c r="B2" s="831" t="s">
        <v>654</v>
      </c>
    </row>
    <row r="3" spans="1:2">
      <c r="A3" s="831" t="s">
        <v>655</v>
      </c>
      <c r="B3" s="831" t="s">
        <v>656</v>
      </c>
    </row>
    <row r="4" spans="1:2">
      <c r="A4" s="831" t="s">
        <v>657</v>
      </c>
      <c r="B4" s="831" t="s">
        <v>658</v>
      </c>
    </row>
    <row r="5" spans="1:2">
      <c r="A5" s="831" t="s">
        <v>659</v>
      </c>
      <c r="B5" s="831" t="s">
        <v>660</v>
      </c>
    </row>
    <row r="6" spans="1:2">
      <c r="A6" s="831" t="s">
        <v>661</v>
      </c>
      <c r="B6" s="831"/>
    </row>
    <row r="7" spans="1:2">
      <c r="A7" s="831" t="s">
        <v>662</v>
      </c>
      <c r="B7" s="831" t="s">
        <v>273</v>
      </c>
    </row>
    <row r="8" spans="1:2">
      <c r="A8" s="831" t="s">
        <v>663</v>
      </c>
      <c r="B8" s="831" t="s">
        <v>664</v>
      </c>
    </row>
    <row r="9" spans="1:2">
      <c r="A9" s="831" t="s">
        <v>665</v>
      </c>
      <c r="B9" s="831" t="s">
        <v>666</v>
      </c>
    </row>
    <row r="10" spans="1:2">
      <c r="A10" s="831" t="s">
        <v>667</v>
      </c>
      <c r="B10" s="831"/>
    </row>
    <row r="11" spans="1:2">
      <c r="A11" s="831" t="s">
        <v>668</v>
      </c>
      <c r="B11" s="831"/>
    </row>
    <row r="12" spans="1:2">
      <c r="A12" s="831" t="s">
        <v>669</v>
      </c>
      <c r="B12" s="831"/>
    </row>
    <row r="13" spans="1:2">
      <c r="A13" s="831" t="s">
        <v>670</v>
      </c>
      <c r="B13" s="831"/>
    </row>
    <row r="14" spans="1:2">
      <c r="A14" s="831" t="s">
        <v>671</v>
      </c>
      <c r="B14" s="831"/>
    </row>
    <row r="15" spans="1:2">
      <c r="A15" s="831" t="s">
        <v>672</v>
      </c>
      <c r="B15" s="831"/>
    </row>
    <row r="16" spans="1:2">
      <c r="A16" s="831" t="s">
        <v>673</v>
      </c>
      <c r="B16" s="831"/>
    </row>
    <row r="17" spans="1:2">
      <c r="A17" s="831" t="s">
        <v>674</v>
      </c>
      <c r="B17" s="831" t="s">
        <v>675</v>
      </c>
    </row>
    <row r="18" spans="1:2">
      <c r="A18" s="831" t="s">
        <v>676</v>
      </c>
      <c r="B18" s="831" t="s">
        <v>677</v>
      </c>
    </row>
    <row r="19" spans="1:2">
      <c r="A19" s="831" t="s">
        <v>678</v>
      </c>
      <c r="B19" s="831" t="s">
        <v>272</v>
      </c>
    </row>
    <row r="20" spans="1:2">
      <c r="A20" s="831" t="s">
        <v>679</v>
      </c>
      <c r="B20" s="831"/>
    </row>
    <row r="21" spans="1:2">
      <c r="A21" s="831" t="s">
        <v>680</v>
      </c>
      <c r="B21" s="831" t="s">
        <v>272</v>
      </c>
    </row>
    <row r="22" spans="1:2">
      <c r="A22" s="831" t="s">
        <v>681</v>
      </c>
      <c r="B22" s="831" t="s">
        <v>682</v>
      </c>
    </row>
    <row r="23" spans="1:2">
      <c r="A23" s="831" t="s">
        <v>683</v>
      </c>
      <c r="B23" s="839" t="s">
        <v>684</v>
      </c>
    </row>
    <row r="24" spans="1:2">
      <c r="A24" s="831" t="s">
        <v>685</v>
      </c>
      <c r="B24" s="831" t="s">
        <v>77</v>
      </c>
    </row>
    <row r="25" spans="1:2">
      <c r="A25" s="831" t="s">
        <v>686</v>
      </c>
      <c r="B25" s="831" t="s">
        <v>687</v>
      </c>
    </row>
    <row r="26" spans="1:2">
      <c r="A26" s="831" t="s">
        <v>688</v>
      </c>
      <c r="B26" s="831" t="s">
        <v>689</v>
      </c>
    </row>
    <row r="27" spans="1:2">
      <c r="A27" s="831" t="s">
        <v>690</v>
      </c>
      <c r="B27" s="831" t="s">
        <v>691</v>
      </c>
    </row>
    <row r="28" spans="1:2">
      <c r="A28" s="831" t="s">
        <v>692</v>
      </c>
      <c r="B28" s="831" t="s">
        <v>693</v>
      </c>
    </row>
    <row r="29" spans="1:2">
      <c r="A29" s="831" t="s">
        <v>694</v>
      </c>
      <c r="B29" s="831"/>
    </row>
    <row r="30" spans="1:2">
      <c r="A30" s="831" t="s">
        <v>695</v>
      </c>
      <c r="B30" s="831"/>
    </row>
    <row r="31" spans="1:2">
      <c r="A31" s="831" t="s">
        <v>696</v>
      </c>
      <c r="B31" s="831"/>
    </row>
    <row r="32" spans="1:2">
      <c r="A32" s="831" t="s">
        <v>697</v>
      </c>
      <c r="B32" s="831"/>
    </row>
    <row r="33" spans="1:2">
      <c r="A33" s="831" t="s">
        <v>698</v>
      </c>
      <c r="B33" s="831"/>
    </row>
    <row r="34" spans="1:2">
      <c r="A34" s="831" t="s">
        <v>699</v>
      </c>
      <c r="B34" s="831"/>
    </row>
    <row r="35" spans="1:2">
      <c r="A35" s="831" t="s">
        <v>700</v>
      </c>
      <c r="B35" s="831" t="s">
        <v>701</v>
      </c>
    </row>
    <row r="36" spans="1:2">
      <c r="A36" s="831" t="s">
        <v>702</v>
      </c>
      <c r="B36" s="831" t="s">
        <v>703</v>
      </c>
    </row>
    <row r="37" spans="1:2">
      <c r="A37" s="831" t="s">
        <v>704</v>
      </c>
      <c r="B37" s="831" t="s">
        <v>705</v>
      </c>
    </row>
    <row r="38" spans="1:2">
      <c r="A38" s="831" t="s">
        <v>706</v>
      </c>
      <c r="B38" s="831" t="s">
        <v>707</v>
      </c>
    </row>
    <row r="39" spans="1:2">
      <c r="A39" s="831" t="s">
        <v>708</v>
      </c>
      <c r="B39" s="831" t="s">
        <v>709</v>
      </c>
    </row>
    <row r="40" spans="1:2">
      <c r="A40" s="831" t="s">
        <v>710</v>
      </c>
      <c r="B40" s="831" t="s">
        <v>711</v>
      </c>
    </row>
    <row r="41" spans="1:2">
      <c r="A41" s="831" t="s">
        <v>712</v>
      </c>
      <c r="B41" s="831" t="s">
        <v>713</v>
      </c>
    </row>
    <row r="42" spans="1:2">
      <c r="A42" s="831" t="s">
        <v>714</v>
      </c>
      <c r="B42" s="831"/>
    </row>
    <row r="43" spans="1:2">
      <c r="A43" s="831" t="s">
        <v>715</v>
      </c>
      <c r="B43" s="831"/>
    </row>
    <row r="44" spans="1:2">
      <c r="A44" s="831" t="s">
        <v>716</v>
      </c>
      <c r="B44" s="831" t="s">
        <v>717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BEDB1-E7CE-4D40-95ED-5030C3DFF0F4}">
  <dimension ref="A1:A13"/>
  <sheetViews>
    <sheetView workbookViewId="0"/>
  </sheetViews>
  <sheetFormatPr defaultRowHeight="13.2"/>
  <cols>
    <col min="1" max="1" width="28.33203125" customWidth="1"/>
  </cols>
  <sheetData>
    <row r="1" spans="1:1">
      <c r="A1" s="831" t="s">
        <v>718</v>
      </c>
    </row>
    <row r="2" spans="1:1">
      <c r="A2" s="831" t="s">
        <v>719</v>
      </c>
    </row>
    <row r="3" spans="1:1">
      <c r="A3" s="831" t="s">
        <v>720</v>
      </c>
    </row>
    <row r="4" spans="1:1">
      <c r="A4" s="831" t="s">
        <v>721</v>
      </c>
    </row>
    <row r="5" spans="1:1">
      <c r="A5" s="831" t="s">
        <v>722</v>
      </c>
    </row>
    <row r="6" spans="1:1">
      <c r="A6" s="831" t="s">
        <v>723</v>
      </c>
    </row>
    <row r="7" spans="1:1">
      <c r="A7" s="831" t="s">
        <v>724</v>
      </c>
    </row>
    <row r="8" spans="1:1">
      <c r="A8" s="831" t="s">
        <v>725</v>
      </c>
    </row>
    <row r="9" spans="1:1">
      <c r="A9" s="831" t="s">
        <v>726</v>
      </c>
    </row>
    <row r="10" spans="1:1">
      <c r="A10" s="831" t="s">
        <v>727</v>
      </c>
    </row>
    <row r="11" spans="1:1">
      <c r="A11" s="831" t="s">
        <v>728</v>
      </c>
    </row>
    <row r="12" spans="1:1">
      <c r="A12" s="831" t="s">
        <v>729</v>
      </c>
    </row>
    <row r="13" spans="1:1">
      <c r="A13" s="831" t="s">
        <v>730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/>
</file>

<file path=customXml/itemProps1.xml><?xml version="1.0" encoding="utf-8"?>
<ds:datastoreItem xmlns:ds="http://schemas.openxmlformats.org/officeDocument/2006/customXml" ds:itemID="{11698467-A7FC-475E-A221-92982216DAA2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7DCAF2D0-C533-496C-AEEC-7DB860D1B835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CircularReferenceAlert</vt:lpstr>
      <vt:lpstr>ImportantDisclosures</vt:lpstr>
      <vt:lpstr>1.Assumptions</vt:lpstr>
      <vt:lpstr>2. Income</vt:lpstr>
      <vt:lpstr>3. Cashflow</vt:lpstr>
      <vt:lpstr>4. Balance Sheet</vt:lpstr>
      <vt:lpstr>Financial Summary</vt:lpstr>
      <vt:lpstr>IndexInformation</vt:lpstr>
      <vt:lpstr>ModPubIndex</vt:lpstr>
      <vt:lpstr>'2. Income'!adsfdsaf</vt:lpstr>
      <vt:lpstr>dfgdf</vt:lpstr>
      <vt:lpstr>dfsadf</vt:lpstr>
      <vt:lpstr>dsafdssdadsfdsf</vt:lpstr>
      <vt:lpstr>dsfas</vt:lpstr>
      <vt:lpstr>dsfsa</vt:lpstr>
      <vt:lpstr>dsfsadgfas</vt:lpstr>
      <vt:lpstr>dsfsdaf</vt:lpstr>
      <vt:lpstr>Linking_56</vt:lpstr>
      <vt:lpstr>Linking_61</vt:lpstr>
      <vt:lpstr>Linking_63</vt:lpstr>
      <vt:lpstr>Linking_68</vt:lpstr>
      <vt:lpstr>Linking_71</vt:lpstr>
      <vt:lpstr>'2. Income'!Print_Area</vt:lpstr>
      <vt:lpstr>'Financial Summary'!Print_Area</vt:lpstr>
      <vt:lpstr>'2. Income'!ProfitLoss</vt:lpstr>
      <vt:lpstr>'2. Income'!ProfitLossAnalysis</vt:lpstr>
      <vt:lpstr>sdafdsa</vt:lpstr>
      <vt:lpstr>sdfasd</vt:lpstr>
      <vt:lpstr>sdfds</vt:lpstr>
      <vt:lpstr>'2. Income'!sdfdsfdsa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goodrmar</dc:creator>
  <cp:lastModifiedBy>Bales, James (Research)</cp:lastModifiedBy>
  <cp:lastPrinted>2025-12-09T04:29:05Z</cp:lastPrinted>
  <dcterms:created xsi:type="dcterms:W3CDTF">2012-05-24T00:19:16Z</dcterms:created>
  <dcterms:modified xsi:type="dcterms:W3CDTF">2026-01-26T23:16:10Z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sInternalOnly">
    <vt:lpwstr>True</vt:lpwstr>
  </property>
  <property fmtid="{D5CDD505-2E9C-101B-9397-08002B2CF9AE}" pid="3" name="MSIP_Label_07f119e6-c6cd-44b0-a5ee-ac1aff68c56e_Enabled">
    <vt:lpwstr>true</vt:lpwstr>
  </property>
  <property fmtid="{D5CDD505-2E9C-101B-9397-08002B2CF9AE}" pid="4" name="MSIP_Label_07f119e6-c6cd-44b0-a5ee-ac1aff68c56e_SetDate">
    <vt:lpwstr>2021-05-14T17:01:40Z</vt:lpwstr>
  </property>
  <property fmtid="{D5CDD505-2E9C-101B-9397-08002B2CF9AE}" pid="5" name="MSIP_Label_07f119e6-c6cd-44b0-a5ee-ac1aff68c56e_Method">
    <vt:lpwstr>Standard</vt:lpwstr>
  </property>
  <property fmtid="{D5CDD505-2E9C-101B-9397-08002B2CF9AE}" pid="6" name="MSIP_Label_07f119e6-c6cd-44b0-a5ee-ac1aff68c56e_Name">
    <vt:lpwstr>Confidential v1</vt:lpwstr>
  </property>
  <property fmtid="{D5CDD505-2E9C-101B-9397-08002B2CF9AE}" pid="7" name="MSIP_Label_07f119e6-c6cd-44b0-a5ee-ac1aff68c56e_SiteId">
    <vt:lpwstr>e29b8111-49f8-418d-ac2a-935335a52614</vt:lpwstr>
  </property>
  <property fmtid="{D5CDD505-2E9C-101B-9397-08002B2CF9AE}" pid="8" name="MSIP_Label_07f119e6-c6cd-44b0-a5ee-ac1aff68c56e_ActionId">
    <vt:lpwstr>a68d45b9-6020-4ac0-9403-bcf089e06a72</vt:lpwstr>
  </property>
  <property fmtid="{D5CDD505-2E9C-101B-9397-08002B2CF9AE}" pid="9" name="MSIP_Label_07f119e6-c6cd-44b0-a5ee-ac1aff68c56e_ContentBits">
    <vt:lpwstr>0</vt:lpwstr>
  </property>
  <property fmtid="{D5CDD505-2E9C-101B-9397-08002B2CF9AE}" pid="10" name="ERModPubTicket">
    <vt:lpwstr>NA</vt:lpwstr>
  </property>
  <property fmtid="{D5CDD505-2E9C-101B-9397-08002B2CF9AE}" pid="11" name="ERModPubConfirmEmail">
    <vt:bool>false</vt:bool>
  </property>
  <property fmtid="{D5CDD505-2E9C-101B-9397-08002B2CF9AE}" pid="12" name="ERModPubUserEmail">
    <vt:lpwstr>baleja@ms.com</vt:lpwstr>
  </property>
  <property fmtid="{D5CDD505-2E9C-101B-9397-08002B2CF9AE}" pid="13" name="ERModPubGCIMTagged">
    <vt:bool>true</vt:bool>
  </property>
  <property fmtid="{D5CDD505-2E9C-101B-9397-08002B2CF9AE}" pid="14" name="ERCompanyUploadState">
    <vt:lpwstr>P</vt:lpwstr>
  </property>
  <property fmtid="{D5CDD505-2E9C-101B-9397-08002B2CF9AE}" pid="15" name="ERModPubCurrentYear">
    <vt:i4>2026</vt:i4>
  </property>
  <property fmtid="{D5CDD505-2E9C-101B-9397-08002B2CF9AE}" pid="16" name="ModelId">
    <vt:lpwstr>9777586</vt:lpwstr>
  </property>
  <property fmtid="{D5CDD505-2E9C-101B-9397-08002B2CF9AE}" pid="17" name="ERModPubCompanyName">
    <vt:lpwstr>Tuas Ltd.</vt:lpwstr>
  </property>
</Properties>
</file>