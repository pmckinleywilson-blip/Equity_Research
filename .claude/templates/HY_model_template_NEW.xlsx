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mcki\Mercor\Project Carthage\1452\2969\"/>
    </mc:Choice>
  </mc:AlternateContent>
  <xr:revisionPtr revIDLastSave="0" documentId="13_ncr:20001_{39474E40-DDD1-47AE-BEA1-5499EF85DAE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Value" sheetId="1" r:id="rId1"/>
    <sheet name="Annual" sheetId="2" r:id="rId2"/>
    <sheet name="HY &amp; Segments" sheetId="3" r:id="rId3"/>
    <sheet name="Inputs" sheetId="4" r:id="rId4"/>
    <sheet name="Chart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3" l="1"/>
  <c r="I88" i="3"/>
  <c r="D175" i="2"/>
  <c r="E59" i="5"/>
  <c r="F58" i="5"/>
  <c r="F57" i="5"/>
  <c r="F56" i="5"/>
  <c r="F55" i="5"/>
  <c r="E54" i="5"/>
  <c r="E50" i="5"/>
  <c r="F49" i="5"/>
  <c r="B49" i="5"/>
  <c r="F48" i="5"/>
  <c r="B48" i="5"/>
  <c r="F47" i="5"/>
  <c r="B47" i="5"/>
  <c r="E46" i="5"/>
  <c r="E41" i="5"/>
  <c r="F40" i="5"/>
  <c r="B40" i="5"/>
  <c r="F39" i="5"/>
  <c r="B39" i="5"/>
  <c r="E38" i="5"/>
  <c r="B38" i="5"/>
  <c r="F37" i="5"/>
  <c r="E36" i="5"/>
  <c r="F35" i="5"/>
  <c r="B35" i="5"/>
  <c r="F34" i="5"/>
  <c r="B34" i="5"/>
  <c r="F33" i="5"/>
  <c r="B33" i="5"/>
  <c r="E32" i="5"/>
  <c r="E27" i="5"/>
  <c r="B27" i="5"/>
  <c r="F26" i="5"/>
  <c r="F25" i="5"/>
  <c r="F24" i="5"/>
  <c r="E23" i="5"/>
  <c r="B23" i="5"/>
  <c r="E18" i="5"/>
  <c r="B18" i="5"/>
  <c r="F17" i="5"/>
  <c r="F16" i="5"/>
  <c r="F15" i="5"/>
  <c r="F14" i="5"/>
  <c r="E14" i="5"/>
  <c r="B14" i="5"/>
  <c r="E9" i="5"/>
  <c r="F8" i="5"/>
  <c r="F7" i="5"/>
  <c r="F6" i="5"/>
  <c r="E5" i="5"/>
  <c r="F4" i="5"/>
  <c r="B4" i="5"/>
  <c r="E3" i="5"/>
  <c r="J116" i="3"/>
  <c r="H116" i="3"/>
  <c r="F116" i="3"/>
  <c r="D116" i="3"/>
  <c r="J110" i="3"/>
  <c r="H110" i="3"/>
  <c r="F110" i="3"/>
  <c r="D110" i="3"/>
  <c r="J106" i="3"/>
  <c r="H106" i="3"/>
  <c r="F106" i="3"/>
  <c r="D106" i="3"/>
  <c r="J103" i="3"/>
  <c r="H103" i="3"/>
  <c r="F103" i="3"/>
  <c r="D103" i="3"/>
  <c r="J97" i="3"/>
  <c r="H97" i="3"/>
  <c r="F97" i="3"/>
  <c r="D97" i="3"/>
  <c r="J93" i="3"/>
  <c r="H93" i="3"/>
  <c r="F93" i="3"/>
  <c r="D93" i="3"/>
  <c r="I89" i="3"/>
  <c r="G89" i="3"/>
  <c r="E89" i="3"/>
  <c r="E88" i="3"/>
  <c r="J85" i="3"/>
  <c r="H85" i="3"/>
  <c r="F85" i="3"/>
  <c r="D85" i="3"/>
  <c r="J84" i="3"/>
  <c r="H84" i="3"/>
  <c r="F84" i="3"/>
  <c r="D84" i="3"/>
  <c r="J83" i="3"/>
  <c r="H83" i="3"/>
  <c r="F83" i="3"/>
  <c r="D83" i="3"/>
  <c r="I82" i="3"/>
  <c r="G82" i="3"/>
  <c r="E82" i="3"/>
  <c r="I81" i="3"/>
  <c r="G81" i="3"/>
  <c r="E81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I76" i="3"/>
  <c r="G76" i="3"/>
  <c r="E76" i="3"/>
  <c r="K74" i="3"/>
  <c r="I74" i="3"/>
  <c r="G74" i="3"/>
  <c r="E74" i="3"/>
  <c r="I72" i="3"/>
  <c r="G72" i="3"/>
  <c r="E72" i="3"/>
  <c r="I69" i="3"/>
  <c r="K69" i="3" s="1"/>
  <c r="H69" i="3"/>
  <c r="G69" i="3"/>
  <c r="F69" i="3"/>
  <c r="E69" i="3"/>
  <c r="D69" i="3"/>
  <c r="L68" i="3"/>
  <c r="N68" i="3" s="1"/>
  <c r="K68" i="3"/>
  <c r="M68" i="3" s="1"/>
  <c r="I67" i="3"/>
  <c r="K67" i="3" s="1"/>
  <c r="H67" i="3"/>
  <c r="G67" i="3"/>
  <c r="F67" i="3"/>
  <c r="E67" i="3"/>
  <c r="D67" i="3"/>
  <c r="J65" i="3"/>
  <c r="H65" i="3"/>
  <c r="I65" i="3" s="1"/>
  <c r="F65" i="3"/>
  <c r="G65" i="3" s="1"/>
  <c r="D65" i="3"/>
  <c r="E65" i="3" s="1"/>
  <c r="J64" i="3"/>
  <c r="H64" i="3"/>
  <c r="F64" i="3"/>
  <c r="D64" i="3"/>
  <c r="I63" i="3"/>
  <c r="G63" i="3"/>
  <c r="E63" i="3"/>
  <c r="I53" i="3"/>
  <c r="G53" i="3"/>
  <c r="E53" i="3"/>
  <c r="J52" i="3"/>
  <c r="J54" i="3" s="1"/>
  <c r="H52" i="3"/>
  <c r="F52" i="3"/>
  <c r="D52" i="3"/>
  <c r="F49" i="3"/>
  <c r="D49" i="3"/>
  <c r="AC48" i="3"/>
  <c r="AB48" i="3"/>
  <c r="P44" i="2" s="1"/>
  <c r="P150" i="2" s="1"/>
  <c r="AA48" i="3"/>
  <c r="Z48" i="3"/>
  <c r="O44" i="2" s="1"/>
  <c r="O150" i="2" s="1"/>
  <c r="Y48" i="3"/>
  <c r="X48" i="3"/>
  <c r="N44" i="2" s="1"/>
  <c r="N150" i="2" s="1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I48" i="3"/>
  <c r="G48" i="3"/>
  <c r="E48" i="3"/>
  <c r="J46" i="3"/>
  <c r="H46" i="3"/>
  <c r="F46" i="3"/>
  <c r="D46" i="3"/>
  <c r="J45" i="3"/>
  <c r="H45" i="3"/>
  <c r="F45" i="3"/>
  <c r="D45" i="3"/>
  <c r="J42" i="3"/>
  <c r="H42" i="3"/>
  <c r="F42" i="3"/>
  <c r="D42" i="3"/>
  <c r="J41" i="3"/>
  <c r="L41" i="3" s="1"/>
  <c r="N41" i="3" s="1"/>
  <c r="P41" i="3" s="1"/>
  <c r="R41" i="3" s="1"/>
  <c r="T41" i="3" s="1"/>
  <c r="V41" i="3" s="1"/>
  <c r="X41" i="3" s="1"/>
  <c r="Z41" i="3" s="1"/>
  <c r="AB41" i="3" s="1"/>
  <c r="H41" i="3"/>
  <c r="F41" i="3"/>
  <c r="D41" i="3"/>
  <c r="I40" i="3"/>
  <c r="G40" i="3"/>
  <c r="E40" i="3"/>
  <c r="I39" i="3"/>
  <c r="G39" i="3"/>
  <c r="E39" i="3"/>
  <c r="I38" i="3"/>
  <c r="G38" i="3"/>
  <c r="E38" i="3"/>
  <c r="J33" i="3"/>
  <c r="H33" i="3"/>
  <c r="J34" i="3" s="1"/>
  <c r="F33" i="3"/>
  <c r="H34" i="3" s="1"/>
  <c r="D33" i="3"/>
  <c r="F34" i="3" s="1"/>
  <c r="I32" i="3"/>
  <c r="G32" i="3"/>
  <c r="E32" i="3"/>
  <c r="I31" i="3"/>
  <c r="G31" i="3"/>
  <c r="E31" i="3"/>
  <c r="I30" i="3"/>
  <c r="G30" i="3"/>
  <c r="E30" i="3"/>
  <c r="I29" i="3"/>
  <c r="I33" i="3" s="1"/>
  <c r="G29" i="3"/>
  <c r="G33" i="3" s="1"/>
  <c r="E29" i="3"/>
  <c r="E33" i="3" s="1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I15" i="3"/>
  <c r="G15" i="3"/>
  <c r="E15" i="3"/>
  <c r="J14" i="3"/>
  <c r="J20" i="3" s="1"/>
  <c r="H14" i="3"/>
  <c r="F14" i="3"/>
  <c r="D14" i="3"/>
  <c r="J13" i="3"/>
  <c r="H13" i="3"/>
  <c r="F13" i="3"/>
  <c r="D13" i="3"/>
  <c r="J9" i="3"/>
  <c r="H9" i="3"/>
  <c r="F9" i="3"/>
  <c r="D9" i="3"/>
  <c r="I8" i="3"/>
  <c r="G8" i="3"/>
  <c r="E8" i="3"/>
  <c r="I7" i="3"/>
  <c r="G7" i="3"/>
  <c r="E7" i="3"/>
  <c r="E61" i="1"/>
  <c r="C46" i="1"/>
  <c r="C22" i="1"/>
  <c r="C18" i="1"/>
  <c r="C15" i="1"/>
  <c r="C20" i="1" s="1"/>
  <c r="C5" i="1"/>
  <c r="C6" i="1" s="1"/>
  <c r="F182" i="2"/>
  <c r="E182" i="2"/>
  <c r="D182" i="2"/>
  <c r="F181" i="2"/>
  <c r="E181" i="2"/>
  <c r="D181" i="2"/>
  <c r="F180" i="2"/>
  <c r="F183" i="2" s="1"/>
  <c r="F184" i="2" s="1"/>
  <c r="F185" i="2" s="1"/>
  <c r="E180" i="2"/>
  <c r="E183" i="2" s="1"/>
  <c r="E184" i="2" s="1"/>
  <c r="E185" i="2" s="1"/>
  <c r="D180" i="2"/>
  <c r="D183" i="2" s="1"/>
  <c r="D184" i="2" s="1"/>
  <c r="D185" i="2" s="1"/>
  <c r="F177" i="2"/>
  <c r="E177" i="2"/>
  <c r="D177" i="2"/>
  <c r="P173" i="2"/>
  <c r="O173" i="2"/>
  <c r="N173" i="2"/>
  <c r="M173" i="2"/>
  <c r="L173" i="2"/>
  <c r="K173" i="2"/>
  <c r="J173" i="2"/>
  <c r="I173" i="2"/>
  <c r="H173" i="2"/>
  <c r="G173" i="2"/>
  <c r="D173" i="2"/>
  <c r="F172" i="2"/>
  <c r="F175" i="2" s="1"/>
  <c r="E172" i="2"/>
  <c r="E175" i="2" s="1"/>
  <c r="F170" i="2"/>
  <c r="F173" i="2" s="1"/>
  <c r="E170" i="2"/>
  <c r="E173" i="2" s="1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P164" i="2"/>
  <c r="O164" i="2"/>
  <c r="N164" i="2"/>
  <c r="M164" i="2"/>
  <c r="L164" i="2"/>
  <c r="K164" i="2"/>
  <c r="J164" i="2"/>
  <c r="I164" i="2"/>
  <c r="H164" i="2"/>
  <c r="G164" i="2"/>
  <c r="P163" i="2"/>
  <c r="O163" i="2"/>
  <c r="N163" i="2"/>
  <c r="M163" i="2"/>
  <c r="L163" i="2"/>
  <c r="K163" i="2"/>
  <c r="J163" i="2"/>
  <c r="I163" i="2"/>
  <c r="H163" i="2"/>
  <c r="P162" i="2"/>
  <c r="O162" i="2"/>
  <c r="N162" i="2"/>
  <c r="M162" i="2"/>
  <c r="L162" i="2"/>
  <c r="K162" i="2"/>
  <c r="J162" i="2"/>
  <c r="I162" i="2"/>
  <c r="H162" i="2"/>
  <c r="G162" i="2"/>
  <c r="F157" i="2"/>
  <c r="E157" i="2"/>
  <c r="F151" i="2"/>
  <c r="E151" i="2"/>
  <c r="D151" i="2"/>
  <c r="F149" i="2"/>
  <c r="E149" i="2"/>
  <c r="F141" i="2"/>
  <c r="E141" i="2"/>
  <c r="D141" i="2"/>
  <c r="G139" i="2"/>
  <c r="H139" i="2" s="1"/>
  <c r="I139" i="2" s="1"/>
  <c r="J139" i="2" s="1"/>
  <c r="K139" i="2" s="1"/>
  <c r="L139" i="2" s="1"/>
  <c r="M139" i="2" s="1"/>
  <c r="N139" i="2" s="1"/>
  <c r="O139" i="2" s="1"/>
  <c r="P139" i="2" s="1"/>
  <c r="G137" i="2"/>
  <c r="F131" i="2"/>
  <c r="E131" i="2"/>
  <c r="D131" i="2"/>
  <c r="F129" i="2"/>
  <c r="E129" i="2"/>
  <c r="D129" i="2"/>
  <c r="G126" i="2"/>
  <c r="H126" i="2" s="1"/>
  <c r="I126" i="2" s="1"/>
  <c r="J126" i="2" s="1"/>
  <c r="K126" i="2" s="1"/>
  <c r="L126" i="2" s="1"/>
  <c r="M126" i="2" s="1"/>
  <c r="N126" i="2" s="1"/>
  <c r="O126" i="2" s="1"/>
  <c r="P126" i="2" s="1"/>
  <c r="F122" i="2"/>
  <c r="G122" i="2" s="1"/>
  <c r="E122" i="2"/>
  <c r="F120" i="2"/>
  <c r="B50" i="5" s="1"/>
  <c r="E120" i="2"/>
  <c r="B46" i="5" s="1"/>
  <c r="D120" i="2"/>
  <c r="F117" i="2"/>
  <c r="F144" i="2" s="1"/>
  <c r="E117" i="2"/>
  <c r="E144" i="2" s="1"/>
  <c r="D117" i="2"/>
  <c r="D144" i="2" s="1"/>
  <c r="G116" i="2"/>
  <c r="H116" i="2" s="1"/>
  <c r="I116" i="2" s="1"/>
  <c r="J116" i="2" s="1"/>
  <c r="K116" i="2" s="1"/>
  <c r="L116" i="2" s="1"/>
  <c r="M116" i="2" s="1"/>
  <c r="N116" i="2" s="1"/>
  <c r="O116" i="2" s="1"/>
  <c r="P116" i="2" s="1"/>
  <c r="G114" i="2"/>
  <c r="H114" i="2" s="1"/>
  <c r="I114" i="2" s="1"/>
  <c r="J114" i="2" s="1"/>
  <c r="K114" i="2" s="1"/>
  <c r="L114" i="2" s="1"/>
  <c r="M114" i="2" s="1"/>
  <c r="N114" i="2" s="1"/>
  <c r="O114" i="2" s="1"/>
  <c r="P114" i="2" s="1"/>
  <c r="F99" i="2"/>
  <c r="E99" i="2"/>
  <c r="B57" i="5" s="1"/>
  <c r="D99" i="2"/>
  <c r="F98" i="2"/>
  <c r="E98" i="2"/>
  <c r="B55" i="5" s="1"/>
  <c r="D98" i="2"/>
  <c r="F97" i="2"/>
  <c r="E97" i="2"/>
  <c r="D97" i="2"/>
  <c r="F92" i="2"/>
  <c r="E92" i="2"/>
  <c r="F91" i="2"/>
  <c r="E91" i="2"/>
  <c r="D91" i="2"/>
  <c r="F89" i="2"/>
  <c r="E89" i="2"/>
  <c r="D89" i="2"/>
  <c r="F81" i="2"/>
  <c r="G81" i="2" s="1"/>
  <c r="H81" i="2" s="1"/>
  <c r="I81" i="2" s="1"/>
  <c r="J81" i="2" s="1"/>
  <c r="K81" i="2" s="1"/>
  <c r="L81" i="2" s="1"/>
  <c r="M81" i="2" s="1"/>
  <c r="N81" i="2" s="1"/>
  <c r="O81" i="2" s="1"/>
  <c r="P81" i="2" s="1"/>
  <c r="E81" i="2"/>
  <c r="D81" i="2"/>
  <c r="G80" i="2"/>
  <c r="G82" i="2" s="1"/>
  <c r="H79" i="2"/>
  <c r="P73" i="2"/>
  <c r="O73" i="2"/>
  <c r="N73" i="2"/>
  <c r="M73" i="2"/>
  <c r="L73" i="2"/>
  <c r="K73" i="2"/>
  <c r="J73" i="2"/>
  <c r="I73" i="2"/>
  <c r="H73" i="2"/>
  <c r="G73" i="2"/>
  <c r="G71" i="2"/>
  <c r="G140" i="2" s="1"/>
  <c r="F65" i="2"/>
  <c r="E65" i="2"/>
  <c r="F64" i="2"/>
  <c r="G64" i="2" s="1"/>
  <c r="H64" i="2" s="1"/>
  <c r="I64" i="2" s="1"/>
  <c r="J64" i="2" s="1"/>
  <c r="K64" i="2" s="1"/>
  <c r="L64" i="2" s="1"/>
  <c r="M64" i="2" s="1"/>
  <c r="N64" i="2" s="1"/>
  <c r="O64" i="2" s="1"/>
  <c r="P64" i="2" s="1"/>
  <c r="E64" i="2"/>
  <c r="F63" i="2"/>
  <c r="E63" i="2"/>
  <c r="F62" i="2"/>
  <c r="E62" i="2"/>
  <c r="D62" i="2"/>
  <c r="F52" i="2"/>
  <c r="G52" i="2" s="1"/>
  <c r="E52" i="2"/>
  <c r="F50" i="2"/>
  <c r="E50" i="2"/>
  <c r="D50" i="2"/>
  <c r="M44" i="2"/>
  <c r="M150" i="2" s="1"/>
  <c r="L44" i="2"/>
  <c r="L150" i="2" s="1"/>
  <c r="K44" i="2"/>
  <c r="K150" i="2" s="1"/>
  <c r="J44" i="2"/>
  <c r="J150" i="2" s="1"/>
  <c r="I44" i="2"/>
  <c r="I150" i="2" s="1"/>
  <c r="H44" i="2"/>
  <c r="H150" i="2" s="1"/>
  <c r="G44" i="2"/>
  <c r="G150" i="2" s="1"/>
  <c r="P43" i="2"/>
  <c r="O43" i="2"/>
  <c r="N43" i="2"/>
  <c r="M43" i="2"/>
  <c r="L43" i="2"/>
  <c r="K43" i="2"/>
  <c r="J43" i="2"/>
  <c r="I43" i="2"/>
  <c r="H43" i="2"/>
  <c r="G43" i="2"/>
  <c r="F38" i="2"/>
  <c r="E38" i="2"/>
  <c r="D38" i="2"/>
  <c r="F31" i="2"/>
  <c r="E31" i="2"/>
  <c r="F32" i="2" s="1"/>
  <c r="D31" i="2"/>
  <c r="F20" i="2"/>
  <c r="E20" i="2"/>
  <c r="D20" i="2"/>
  <c r="D101" i="2" s="1"/>
  <c r="F19" i="2"/>
  <c r="E19" i="2"/>
  <c r="D19" i="2"/>
  <c r="D100" i="2" s="1"/>
  <c r="F16" i="2"/>
  <c r="E16" i="2"/>
  <c r="D16" i="2"/>
  <c r="P15" i="2"/>
  <c r="O15" i="2"/>
  <c r="N15" i="2"/>
  <c r="M15" i="2"/>
  <c r="L15" i="2"/>
  <c r="K15" i="2"/>
  <c r="J15" i="2"/>
  <c r="I15" i="2"/>
  <c r="H15" i="2"/>
  <c r="G15" i="2"/>
  <c r="F9" i="2"/>
  <c r="E9" i="2"/>
  <c r="D9" i="2"/>
  <c r="B58" i="5" l="1"/>
  <c r="B56" i="5"/>
  <c r="E32" i="2"/>
  <c r="H14" i="5"/>
  <c r="G14" i="5"/>
  <c r="D14" i="5"/>
  <c r="G34" i="3"/>
  <c r="G49" i="5"/>
  <c r="H49" i="5"/>
  <c r="H48" i="5"/>
  <c r="G48" i="5"/>
  <c r="G47" i="5"/>
  <c r="H47" i="5"/>
  <c r="H40" i="5"/>
  <c r="G40" i="5"/>
  <c r="H39" i="5"/>
  <c r="G39" i="5"/>
  <c r="F38" i="5"/>
  <c r="D38" i="5"/>
  <c r="D39" i="5" s="1"/>
  <c r="B41" i="5"/>
  <c r="H38" i="5"/>
  <c r="G38" i="5"/>
  <c r="G35" i="5"/>
  <c r="H35" i="5"/>
  <c r="H34" i="5"/>
  <c r="G34" i="5"/>
  <c r="G33" i="5"/>
  <c r="H33" i="5"/>
  <c r="H27" i="5"/>
  <c r="G27" i="5"/>
  <c r="F27" i="5"/>
  <c r="D27" i="5"/>
  <c r="H23" i="5"/>
  <c r="G23" i="5"/>
  <c r="F23" i="5"/>
  <c r="D23" i="5"/>
  <c r="H18" i="5"/>
  <c r="D18" i="5"/>
  <c r="F18" i="5"/>
  <c r="G18" i="5"/>
  <c r="H4" i="5"/>
  <c r="G4" i="5"/>
  <c r="J115" i="3"/>
  <c r="J108" i="3"/>
  <c r="L108" i="3" s="1"/>
  <c r="N108" i="3" s="1"/>
  <c r="P108" i="3" s="1"/>
  <c r="R108" i="3" s="1"/>
  <c r="T108" i="3" s="1"/>
  <c r="V108" i="3" s="1"/>
  <c r="X108" i="3" s="1"/>
  <c r="Z108" i="3" s="1"/>
  <c r="AB108" i="3" s="1"/>
  <c r="L106" i="3"/>
  <c r="H108" i="3"/>
  <c r="J109" i="3" s="1"/>
  <c r="J107" i="3"/>
  <c r="F108" i="3"/>
  <c r="H109" i="3" s="1"/>
  <c r="H107" i="3"/>
  <c r="D108" i="3"/>
  <c r="F109" i="3" s="1"/>
  <c r="F107" i="3"/>
  <c r="L93" i="3"/>
  <c r="J95" i="3"/>
  <c r="L95" i="3" s="1"/>
  <c r="N95" i="3" s="1"/>
  <c r="P95" i="3" s="1"/>
  <c r="R95" i="3" s="1"/>
  <c r="T95" i="3" s="1"/>
  <c r="V95" i="3" s="1"/>
  <c r="X95" i="3" s="1"/>
  <c r="Z95" i="3" s="1"/>
  <c r="AB95" i="3" s="1"/>
  <c r="J94" i="3"/>
  <c r="H95" i="3"/>
  <c r="J96" i="3" s="1"/>
  <c r="F95" i="3"/>
  <c r="H96" i="3" s="1"/>
  <c r="H94" i="3"/>
  <c r="F94" i="3"/>
  <c r="D95" i="3"/>
  <c r="I85" i="3"/>
  <c r="I106" i="3"/>
  <c r="G85" i="3"/>
  <c r="G106" i="3"/>
  <c r="E85" i="3"/>
  <c r="E106" i="3"/>
  <c r="I84" i="3"/>
  <c r="I83" i="3"/>
  <c r="I93" i="3"/>
  <c r="G83" i="3"/>
  <c r="G84" i="3"/>
  <c r="G93" i="3"/>
  <c r="E93" i="3"/>
  <c r="E84" i="3"/>
  <c r="E83" i="3"/>
  <c r="M69" i="3"/>
  <c r="P68" i="3"/>
  <c r="O68" i="3"/>
  <c r="M67" i="3"/>
  <c r="K63" i="3"/>
  <c r="K64" i="3"/>
  <c r="G60" i="2" s="1"/>
  <c r="G154" i="2" s="1"/>
  <c r="J66" i="3"/>
  <c r="I64" i="3"/>
  <c r="I66" i="3" s="1"/>
  <c r="H66" i="3"/>
  <c r="G64" i="3"/>
  <c r="G66" i="3" s="1"/>
  <c r="F66" i="3"/>
  <c r="D66" i="3"/>
  <c r="E64" i="3"/>
  <c r="E66" i="3" s="1"/>
  <c r="H54" i="3"/>
  <c r="H55" i="3" s="1"/>
  <c r="I52" i="3"/>
  <c r="I54" i="3" s="1"/>
  <c r="F54" i="3"/>
  <c r="F55" i="3" s="1"/>
  <c r="G52" i="3"/>
  <c r="G54" i="3" s="1"/>
  <c r="D54" i="3"/>
  <c r="D55" i="3" s="1"/>
  <c r="E52" i="3"/>
  <c r="E54" i="3" s="1"/>
  <c r="J44" i="3"/>
  <c r="J49" i="3"/>
  <c r="J58" i="3"/>
  <c r="H44" i="3"/>
  <c r="H58" i="3"/>
  <c r="H49" i="3"/>
  <c r="J43" i="3"/>
  <c r="H43" i="3"/>
  <c r="F44" i="3"/>
  <c r="F58" i="3"/>
  <c r="F60" i="3" s="1"/>
  <c r="D44" i="3"/>
  <c r="D58" i="3"/>
  <c r="D60" i="3" s="1"/>
  <c r="F43" i="3"/>
  <c r="I116" i="3"/>
  <c r="I46" i="3"/>
  <c r="G116" i="3"/>
  <c r="G46" i="3"/>
  <c r="E116" i="3"/>
  <c r="E46" i="3"/>
  <c r="I45" i="3"/>
  <c r="I103" i="3"/>
  <c r="I42" i="3"/>
  <c r="G45" i="3"/>
  <c r="G103" i="3"/>
  <c r="G42" i="3"/>
  <c r="E45" i="3"/>
  <c r="E103" i="3"/>
  <c r="E42" i="3"/>
  <c r="J26" i="3"/>
  <c r="J87" i="3"/>
  <c r="J111" i="3"/>
  <c r="L111" i="3" s="1"/>
  <c r="N111" i="3" s="1"/>
  <c r="P111" i="3" s="1"/>
  <c r="R111" i="3" s="1"/>
  <c r="T111" i="3" s="1"/>
  <c r="V111" i="3" s="1"/>
  <c r="X111" i="3" s="1"/>
  <c r="Z111" i="3" s="1"/>
  <c r="AB111" i="3" s="1"/>
  <c r="J112" i="3"/>
  <c r="J113" i="3"/>
  <c r="L113" i="3" s="1"/>
  <c r="N113" i="3" s="1"/>
  <c r="P113" i="3" s="1"/>
  <c r="R113" i="3" s="1"/>
  <c r="T113" i="3" s="1"/>
  <c r="V113" i="3" s="1"/>
  <c r="X113" i="3" s="1"/>
  <c r="Z113" i="3" s="1"/>
  <c r="AB113" i="3" s="1"/>
  <c r="I14" i="3"/>
  <c r="I20" i="3" s="1"/>
  <c r="H20" i="3"/>
  <c r="G14" i="3"/>
  <c r="G20" i="3" s="1"/>
  <c r="F20" i="3"/>
  <c r="D20" i="3"/>
  <c r="E14" i="3"/>
  <c r="E20" i="3" s="1"/>
  <c r="J19" i="3"/>
  <c r="J16" i="3"/>
  <c r="J22" i="3" s="1"/>
  <c r="I13" i="3"/>
  <c r="H19" i="3"/>
  <c r="H16" i="3"/>
  <c r="H22" i="3" s="1"/>
  <c r="G13" i="3"/>
  <c r="F19" i="3"/>
  <c r="F16" i="3"/>
  <c r="F22" i="3" s="1"/>
  <c r="E13" i="3"/>
  <c r="D16" i="3"/>
  <c r="D22" i="3" s="1"/>
  <c r="D19" i="3"/>
  <c r="J55" i="3"/>
  <c r="L55" i="3" s="1"/>
  <c r="N55" i="3" s="1"/>
  <c r="P55" i="3" s="1"/>
  <c r="R55" i="3" s="1"/>
  <c r="T55" i="3" s="1"/>
  <c r="V55" i="3" s="1"/>
  <c r="X55" i="3" s="1"/>
  <c r="Z55" i="3" s="1"/>
  <c r="AB55" i="3" s="1"/>
  <c r="J10" i="3"/>
  <c r="H10" i="3"/>
  <c r="F10" i="3"/>
  <c r="I110" i="3"/>
  <c r="G110" i="3"/>
  <c r="E110" i="3"/>
  <c r="I97" i="3"/>
  <c r="I9" i="3"/>
  <c r="G9" i="3"/>
  <c r="G97" i="3"/>
  <c r="E97" i="3"/>
  <c r="E9" i="3"/>
  <c r="D37" i="1"/>
  <c r="E37" i="1"/>
  <c r="F37" i="1"/>
  <c r="G37" i="1"/>
  <c r="H37" i="1"/>
  <c r="I37" i="1"/>
  <c r="J37" i="1"/>
  <c r="K37" i="1"/>
  <c r="L37" i="1"/>
  <c r="M37" i="1"/>
  <c r="F190" i="2"/>
  <c r="F143" i="2"/>
  <c r="E190" i="2"/>
  <c r="E143" i="2"/>
  <c r="D190" i="2"/>
  <c r="D143" i="2"/>
  <c r="H137" i="2"/>
  <c r="F134" i="2"/>
  <c r="C7" i="1"/>
  <c r="F132" i="2"/>
  <c r="E134" i="2"/>
  <c r="E132" i="2"/>
  <c r="D132" i="2"/>
  <c r="D134" i="2"/>
  <c r="H122" i="2"/>
  <c r="I122" i="2" s="1"/>
  <c r="J122" i="2" s="1"/>
  <c r="K122" i="2" s="1"/>
  <c r="L122" i="2" s="1"/>
  <c r="M122" i="2" s="1"/>
  <c r="N122" i="2" s="1"/>
  <c r="O122" i="2" s="1"/>
  <c r="P122" i="2" s="1"/>
  <c r="D50" i="5"/>
  <c r="F50" i="5"/>
  <c r="G50" i="5"/>
  <c r="H50" i="5"/>
  <c r="D46" i="5"/>
  <c r="D47" i="5" s="1"/>
  <c r="F46" i="5"/>
  <c r="G46" i="5"/>
  <c r="H46" i="5"/>
  <c r="G58" i="5"/>
  <c r="H58" i="5"/>
  <c r="G57" i="5"/>
  <c r="H57" i="5"/>
  <c r="G56" i="5"/>
  <c r="H56" i="5"/>
  <c r="G55" i="5"/>
  <c r="H55" i="5"/>
  <c r="I79" i="2"/>
  <c r="H80" i="2"/>
  <c r="H82" i="2" s="1"/>
  <c r="G171" i="2"/>
  <c r="G49" i="2"/>
  <c r="G115" i="2" s="1"/>
  <c r="H52" i="2"/>
  <c r="I52" i="2" s="1"/>
  <c r="J52" i="2" s="1"/>
  <c r="K52" i="2" s="1"/>
  <c r="L52" i="2" s="1"/>
  <c r="M52" i="2" s="1"/>
  <c r="N52" i="2" s="1"/>
  <c r="O52" i="2" s="1"/>
  <c r="P52" i="2" s="1"/>
  <c r="F106" i="2"/>
  <c r="F54" i="2"/>
  <c r="F56" i="2" s="1"/>
  <c r="B32" i="5"/>
  <c r="F148" i="2"/>
  <c r="F150" i="2" s="1"/>
  <c r="F45" i="2"/>
  <c r="F133" i="2"/>
  <c r="B9" i="5"/>
  <c r="B5" i="5"/>
  <c r="E133" i="2"/>
  <c r="E106" i="2"/>
  <c r="E54" i="2"/>
  <c r="E56" i="2" s="1"/>
  <c r="F39" i="2"/>
  <c r="E45" i="2"/>
  <c r="B3" i="5" s="1"/>
  <c r="E148" i="2"/>
  <c r="E150" i="2" s="1"/>
  <c r="D54" i="2"/>
  <c r="D56" i="2" s="1"/>
  <c r="E39" i="2"/>
  <c r="D106" i="2"/>
  <c r="D133" i="2"/>
  <c r="D148" i="2"/>
  <c r="D150" i="2" s="1"/>
  <c r="D45" i="2"/>
  <c r="F101" i="2"/>
  <c r="B26" i="5"/>
  <c r="B24" i="5"/>
  <c r="B25" i="5" s="1"/>
  <c r="E101" i="2"/>
  <c r="F100" i="2"/>
  <c r="B17" i="5"/>
  <c r="B15" i="5"/>
  <c r="B16" i="5" s="1"/>
  <c r="E100" i="2"/>
  <c r="F118" i="2"/>
  <c r="G118" i="2" s="1"/>
  <c r="H118" i="2" s="1"/>
  <c r="I118" i="2" s="1"/>
  <c r="J118" i="2" s="1"/>
  <c r="K118" i="2" s="1"/>
  <c r="L118" i="2" s="1"/>
  <c r="M118" i="2" s="1"/>
  <c r="N118" i="2" s="1"/>
  <c r="O118" i="2" s="1"/>
  <c r="P118" i="2" s="1"/>
  <c r="F186" i="2"/>
  <c r="F40" i="2"/>
  <c r="F22" i="2"/>
  <c r="F161" i="2"/>
  <c r="G161" i="2" s="1"/>
  <c r="B59" i="5"/>
  <c r="F105" i="2"/>
  <c r="F121" i="2"/>
  <c r="G121" i="2" s="1"/>
  <c r="H121" i="2" s="1"/>
  <c r="I121" i="2" s="1"/>
  <c r="J121" i="2" s="1"/>
  <c r="K121" i="2" s="1"/>
  <c r="L121" i="2" s="1"/>
  <c r="M121" i="2" s="1"/>
  <c r="N121" i="2" s="1"/>
  <c r="O121" i="2" s="1"/>
  <c r="P121" i="2" s="1"/>
  <c r="F119" i="2"/>
  <c r="G119" i="2" s="1"/>
  <c r="H119" i="2" s="1"/>
  <c r="I119" i="2" s="1"/>
  <c r="J119" i="2" s="1"/>
  <c r="K119" i="2" s="1"/>
  <c r="L119" i="2" s="1"/>
  <c r="M119" i="2" s="1"/>
  <c r="N119" i="2" s="1"/>
  <c r="O119" i="2" s="1"/>
  <c r="P119" i="2" s="1"/>
  <c r="F51" i="2"/>
  <c r="E105" i="2"/>
  <c r="E186" i="2"/>
  <c r="E121" i="2"/>
  <c r="E161" i="2"/>
  <c r="E51" i="2"/>
  <c r="E40" i="2"/>
  <c r="B54" i="5"/>
  <c r="E22" i="2"/>
  <c r="E24" i="2" s="1"/>
  <c r="E119" i="2"/>
  <c r="F10" i="2"/>
  <c r="E118" i="2"/>
  <c r="D40" i="2"/>
  <c r="D119" i="2"/>
  <c r="E10" i="2"/>
  <c r="D118" i="2"/>
  <c r="D105" i="2"/>
  <c r="D22" i="2"/>
  <c r="D24" i="2" s="1"/>
  <c r="D161" i="2"/>
  <c r="D51" i="2"/>
  <c r="D186" i="2"/>
  <c r="D121" i="2"/>
  <c r="I34" i="3"/>
  <c r="D41" i="5" l="1"/>
  <c r="F41" i="5"/>
  <c r="G41" i="5"/>
  <c r="H41" i="5"/>
  <c r="N106" i="3"/>
  <c r="L110" i="3"/>
  <c r="L115" i="3"/>
  <c r="L82" i="3"/>
  <c r="N93" i="3"/>
  <c r="L97" i="3"/>
  <c r="L81" i="3"/>
  <c r="K106" i="3"/>
  <c r="I108" i="3"/>
  <c r="K108" i="3" s="1"/>
  <c r="M108" i="3" s="1"/>
  <c r="O108" i="3" s="1"/>
  <c r="Q108" i="3" s="1"/>
  <c r="S108" i="3" s="1"/>
  <c r="U108" i="3" s="1"/>
  <c r="W108" i="3" s="1"/>
  <c r="Y108" i="3" s="1"/>
  <c r="AA108" i="3" s="1"/>
  <c r="AC108" i="3" s="1"/>
  <c r="I107" i="3"/>
  <c r="G108" i="3"/>
  <c r="G107" i="3"/>
  <c r="E108" i="3"/>
  <c r="G109" i="3" s="1"/>
  <c r="E115" i="3"/>
  <c r="K93" i="3"/>
  <c r="I95" i="3"/>
  <c r="K95" i="3" s="1"/>
  <c r="M95" i="3" s="1"/>
  <c r="O95" i="3" s="1"/>
  <c r="Q95" i="3" s="1"/>
  <c r="S95" i="3" s="1"/>
  <c r="U95" i="3" s="1"/>
  <c r="W95" i="3" s="1"/>
  <c r="Y95" i="3" s="1"/>
  <c r="AA95" i="3" s="1"/>
  <c r="AC95" i="3" s="1"/>
  <c r="I94" i="3"/>
  <c r="G95" i="3"/>
  <c r="G94" i="3"/>
  <c r="E95" i="3"/>
  <c r="G96" i="3" s="1"/>
  <c r="O69" i="3"/>
  <c r="R68" i="3"/>
  <c r="Q68" i="3"/>
  <c r="O67" i="3"/>
  <c r="G59" i="2"/>
  <c r="J60" i="3"/>
  <c r="J71" i="3"/>
  <c r="J59" i="3"/>
  <c r="H60" i="3"/>
  <c r="H71" i="3"/>
  <c r="H59" i="3"/>
  <c r="F71" i="3"/>
  <c r="F59" i="3"/>
  <c r="D71" i="3"/>
  <c r="I49" i="3"/>
  <c r="I58" i="3"/>
  <c r="I60" i="3" s="1"/>
  <c r="I43" i="3"/>
  <c r="G49" i="3"/>
  <c r="G58" i="3"/>
  <c r="G60" i="3" s="1"/>
  <c r="G43" i="3"/>
  <c r="E58" i="3"/>
  <c r="E60" i="3" s="1"/>
  <c r="E49" i="3"/>
  <c r="H26" i="3"/>
  <c r="H87" i="3"/>
  <c r="H111" i="3"/>
  <c r="H112" i="3"/>
  <c r="H113" i="3"/>
  <c r="H115" i="3" s="1"/>
  <c r="J114" i="3" s="1"/>
  <c r="F26" i="3"/>
  <c r="F87" i="3"/>
  <c r="F111" i="3"/>
  <c r="F112" i="3"/>
  <c r="F113" i="3"/>
  <c r="F115" i="3" s="1"/>
  <c r="H114" i="3" s="1"/>
  <c r="D26" i="3"/>
  <c r="D87" i="3"/>
  <c r="D111" i="3"/>
  <c r="D112" i="3"/>
  <c r="D113" i="3"/>
  <c r="D115" i="3" s="1"/>
  <c r="J25" i="3"/>
  <c r="J86" i="3"/>
  <c r="J98" i="3"/>
  <c r="L98" i="3" s="1"/>
  <c r="N98" i="3" s="1"/>
  <c r="P98" i="3" s="1"/>
  <c r="R98" i="3" s="1"/>
  <c r="T98" i="3" s="1"/>
  <c r="V98" i="3" s="1"/>
  <c r="X98" i="3" s="1"/>
  <c r="Z98" i="3" s="1"/>
  <c r="AB98" i="3" s="1"/>
  <c r="J99" i="3"/>
  <c r="J100" i="3"/>
  <c r="J21" i="3"/>
  <c r="J24" i="3"/>
  <c r="J35" i="3"/>
  <c r="H25" i="3"/>
  <c r="H86" i="3"/>
  <c r="H98" i="3"/>
  <c r="H99" i="3"/>
  <c r="H100" i="3"/>
  <c r="H102" i="3" s="1"/>
  <c r="J23" i="3"/>
  <c r="H35" i="3"/>
  <c r="H21" i="3"/>
  <c r="H24" i="3"/>
  <c r="F25" i="3"/>
  <c r="F86" i="3"/>
  <c r="F98" i="3"/>
  <c r="F99" i="3"/>
  <c r="F100" i="3"/>
  <c r="F102" i="3" s="1"/>
  <c r="H101" i="3" s="1"/>
  <c r="H23" i="3"/>
  <c r="F21" i="3"/>
  <c r="F24" i="3"/>
  <c r="F35" i="3"/>
  <c r="F23" i="3"/>
  <c r="D24" i="3"/>
  <c r="D21" i="3"/>
  <c r="D35" i="3"/>
  <c r="D25" i="3"/>
  <c r="D86" i="3"/>
  <c r="D99" i="3"/>
  <c r="D98" i="3"/>
  <c r="D100" i="3"/>
  <c r="D102" i="3" s="1"/>
  <c r="F101" i="3" s="1"/>
  <c r="I26" i="3"/>
  <c r="I112" i="3"/>
  <c r="G26" i="3"/>
  <c r="G112" i="3"/>
  <c r="E26" i="3"/>
  <c r="E112" i="3"/>
  <c r="I41" i="3"/>
  <c r="K41" i="3" s="1"/>
  <c r="M41" i="3" s="1"/>
  <c r="O41" i="3" s="1"/>
  <c r="Q41" i="3" s="1"/>
  <c r="S41" i="3" s="1"/>
  <c r="U41" i="3" s="1"/>
  <c r="W41" i="3" s="1"/>
  <c r="Y41" i="3" s="1"/>
  <c r="AA41" i="3" s="1"/>
  <c r="AC41" i="3" s="1"/>
  <c r="I44" i="3"/>
  <c r="I55" i="3"/>
  <c r="K55" i="3" s="1"/>
  <c r="M55" i="3" s="1"/>
  <c r="O55" i="3" s="1"/>
  <c r="Q55" i="3" s="1"/>
  <c r="S55" i="3" s="1"/>
  <c r="U55" i="3" s="1"/>
  <c r="W55" i="3" s="1"/>
  <c r="Y55" i="3" s="1"/>
  <c r="AA55" i="3" s="1"/>
  <c r="AC55" i="3" s="1"/>
  <c r="I10" i="3"/>
  <c r="G41" i="3"/>
  <c r="G44" i="3"/>
  <c r="G55" i="3"/>
  <c r="G10" i="3"/>
  <c r="E41" i="3"/>
  <c r="E44" i="3"/>
  <c r="E55" i="3"/>
  <c r="I137" i="2"/>
  <c r="C8" i="1"/>
  <c r="C45" i="1"/>
  <c r="E60" i="1"/>
  <c r="H49" i="2"/>
  <c r="H115" i="2" s="1"/>
  <c r="J79" i="2"/>
  <c r="I80" i="2"/>
  <c r="I82" i="2" s="1"/>
  <c r="F68" i="2"/>
  <c r="F191" i="2"/>
  <c r="F192" i="2" s="1"/>
  <c r="D32" i="5"/>
  <c r="D33" i="5" s="1"/>
  <c r="F32" i="5"/>
  <c r="G32" i="5"/>
  <c r="H32" i="5"/>
  <c r="B36" i="5"/>
  <c r="D9" i="5"/>
  <c r="F9" i="5"/>
  <c r="G9" i="5"/>
  <c r="H9" i="5"/>
  <c r="D5" i="5"/>
  <c r="F5" i="5"/>
  <c r="G5" i="5"/>
  <c r="H5" i="5"/>
  <c r="E191" i="2"/>
  <c r="E192" i="2" s="1"/>
  <c r="E68" i="2"/>
  <c r="F55" i="2"/>
  <c r="D3" i="5"/>
  <c r="D4" i="5" s="1"/>
  <c r="E4" i="5" s="1"/>
  <c r="F3" i="5"/>
  <c r="G3" i="5"/>
  <c r="H3" i="5"/>
  <c r="D68" i="2"/>
  <c r="D191" i="2"/>
  <c r="D192" i="2" s="1"/>
  <c r="E55" i="2"/>
  <c r="G25" i="5"/>
  <c r="H25" i="5"/>
  <c r="G26" i="5"/>
  <c r="H26" i="5"/>
  <c r="G24" i="5"/>
  <c r="H24" i="5"/>
  <c r="G16" i="5"/>
  <c r="H16" i="5"/>
  <c r="G17" i="5"/>
  <c r="H17" i="5"/>
  <c r="D15" i="5"/>
  <c r="D16" i="5" s="1"/>
  <c r="E15" i="5"/>
  <c r="G15" i="5"/>
  <c r="H15" i="5"/>
  <c r="B6" i="5"/>
  <c r="F21" i="2"/>
  <c r="B7" i="5"/>
  <c r="H161" i="2"/>
  <c r="D59" i="5"/>
  <c r="F59" i="5"/>
  <c r="G59" i="5"/>
  <c r="H59" i="5"/>
  <c r="D54" i="5"/>
  <c r="D55" i="5" s="1"/>
  <c r="F54" i="5"/>
  <c r="G54" i="5"/>
  <c r="H54" i="5"/>
  <c r="F23" i="2"/>
  <c r="E21" i="2"/>
  <c r="D21" i="2"/>
  <c r="E23" i="2"/>
  <c r="F96" i="3"/>
  <c r="D24" i="5"/>
  <c r="D40" i="5"/>
  <c r="E40" i="5" s="1"/>
  <c r="E39" i="5"/>
  <c r="I111" i="3"/>
  <c r="K111" i="3" s="1"/>
  <c r="M111" i="3" s="1"/>
  <c r="O111" i="3" s="1"/>
  <c r="Q111" i="3" s="1"/>
  <c r="S111" i="3" s="1"/>
  <c r="U111" i="3" s="1"/>
  <c r="W111" i="3" s="1"/>
  <c r="Y111" i="3" s="1"/>
  <c r="AA111" i="3" s="1"/>
  <c r="AC111" i="3" s="1"/>
  <c r="I87" i="3"/>
  <c r="I113" i="3"/>
  <c r="G111" i="3"/>
  <c r="G113" i="3"/>
  <c r="G115" i="3" s="1"/>
  <c r="G87" i="3"/>
  <c r="E113" i="3"/>
  <c r="E87" i="3"/>
  <c r="E111" i="3"/>
  <c r="I16" i="3"/>
  <c r="I22" i="3" s="1"/>
  <c r="I24" i="3" s="1"/>
  <c r="I19" i="3"/>
  <c r="G16" i="3"/>
  <c r="G22" i="3" s="1"/>
  <c r="G24" i="3" s="1"/>
  <c r="G19" i="3"/>
  <c r="E16" i="3"/>
  <c r="E22" i="3" s="1"/>
  <c r="E24" i="3" s="1"/>
  <c r="E19" i="3"/>
  <c r="D48" i="5"/>
  <c r="E47" i="5"/>
  <c r="G182" i="2"/>
  <c r="G127" i="2"/>
  <c r="B8" i="5"/>
  <c r="F24" i="2"/>
  <c r="F114" i="3" l="1"/>
  <c r="I109" i="3"/>
  <c r="K113" i="3"/>
  <c r="I115" i="3"/>
  <c r="I114" i="3" s="1"/>
  <c r="G114" i="3"/>
  <c r="P106" i="3"/>
  <c r="N110" i="3"/>
  <c r="N115" i="3"/>
  <c r="N82" i="3"/>
  <c r="L112" i="3"/>
  <c r="L116" i="3" s="1"/>
  <c r="L39" i="3" s="1"/>
  <c r="L8" i="3"/>
  <c r="L85" i="3"/>
  <c r="N97" i="3"/>
  <c r="P93" i="3"/>
  <c r="N81" i="3"/>
  <c r="L99" i="3"/>
  <c r="L103" i="3" s="1"/>
  <c r="L38" i="3" s="1"/>
  <c r="L7" i="3"/>
  <c r="L83" i="3"/>
  <c r="L84" i="3"/>
  <c r="M106" i="3"/>
  <c r="K110" i="3"/>
  <c r="K82" i="3"/>
  <c r="M93" i="3"/>
  <c r="K97" i="3"/>
  <c r="K81" i="3"/>
  <c r="Q69" i="3"/>
  <c r="T68" i="3"/>
  <c r="S68" i="3"/>
  <c r="Q67" i="3"/>
  <c r="G152" i="2"/>
  <c r="G63" i="2"/>
  <c r="J67" i="3"/>
  <c r="L67" i="3" s="1"/>
  <c r="J73" i="3"/>
  <c r="L73" i="3" s="1"/>
  <c r="N73" i="3" s="1"/>
  <c r="P73" i="3" s="1"/>
  <c r="R73" i="3" s="1"/>
  <c r="T73" i="3" s="1"/>
  <c r="V73" i="3" s="1"/>
  <c r="X73" i="3" s="1"/>
  <c r="Z73" i="3" s="1"/>
  <c r="AB73" i="3" s="1"/>
  <c r="J75" i="3"/>
  <c r="H73" i="3"/>
  <c r="H75" i="3"/>
  <c r="F73" i="3"/>
  <c r="F75" i="3"/>
  <c r="D73" i="3"/>
  <c r="D75" i="3"/>
  <c r="I71" i="3"/>
  <c r="I59" i="3"/>
  <c r="G71" i="3"/>
  <c r="G59" i="3"/>
  <c r="E71" i="3"/>
  <c r="J102" i="3"/>
  <c r="J101" i="3" s="1"/>
  <c r="L100" i="3"/>
  <c r="I21" i="3"/>
  <c r="I35" i="3"/>
  <c r="I23" i="3"/>
  <c r="G35" i="3"/>
  <c r="G21" i="3"/>
  <c r="G23" i="3"/>
  <c r="E35" i="3"/>
  <c r="E21" i="3"/>
  <c r="J137" i="2"/>
  <c r="I49" i="2"/>
  <c r="I115" i="2" s="1"/>
  <c r="K79" i="2"/>
  <c r="J80" i="2"/>
  <c r="J82" i="2" s="1"/>
  <c r="F70" i="2"/>
  <c r="F193" i="2" s="1"/>
  <c r="F194" i="2" s="1"/>
  <c r="F72" i="2"/>
  <c r="E33" i="5"/>
  <c r="D34" i="5"/>
  <c r="D36" i="5"/>
  <c r="F36" i="5"/>
  <c r="G36" i="5"/>
  <c r="H36" i="5"/>
  <c r="B37" i="5"/>
  <c r="E70" i="2"/>
  <c r="E193" i="2" s="1"/>
  <c r="E194" i="2" s="1"/>
  <c r="E72" i="2"/>
  <c r="D72" i="2"/>
  <c r="D70" i="2"/>
  <c r="D193" i="2" s="1"/>
  <c r="D194" i="2" s="1"/>
  <c r="G6" i="5"/>
  <c r="H6" i="5"/>
  <c r="G7" i="5"/>
  <c r="H7" i="5"/>
  <c r="I161" i="2"/>
  <c r="E55" i="5"/>
  <c r="D56" i="5"/>
  <c r="I99" i="3"/>
  <c r="I25" i="3"/>
  <c r="I100" i="3"/>
  <c r="I86" i="3"/>
  <c r="I98" i="3"/>
  <c r="K98" i="3" s="1"/>
  <c r="M98" i="3" s="1"/>
  <c r="O98" i="3" s="1"/>
  <c r="Q98" i="3" s="1"/>
  <c r="S98" i="3" s="1"/>
  <c r="U98" i="3" s="1"/>
  <c r="W98" i="3" s="1"/>
  <c r="Y98" i="3" s="1"/>
  <c r="AA98" i="3" s="1"/>
  <c r="AC98" i="3" s="1"/>
  <c r="G99" i="3"/>
  <c r="G25" i="3"/>
  <c r="G100" i="3"/>
  <c r="G102" i="3" s="1"/>
  <c r="G86" i="3"/>
  <c r="G98" i="3"/>
  <c r="E99" i="3"/>
  <c r="E25" i="3"/>
  <c r="E100" i="3"/>
  <c r="E102" i="3" s="1"/>
  <c r="G101" i="3" s="1"/>
  <c r="E86" i="3"/>
  <c r="E98" i="3"/>
  <c r="E48" i="5"/>
  <c r="D49" i="5"/>
  <c r="E49" i="5" s="1"/>
  <c r="H171" i="2"/>
  <c r="H182" i="2" s="1"/>
  <c r="L64" i="3"/>
  <c r="M64" i="3" s="1"/>
  <c r="H60" i="2" s="1"/>
  <c r="H154" i="2" s="1"/>
  <c r="H127" i="2"/>
  <c r="H8" i="5"/>
  <c r="G8" i="5"/>
  <c r="I96" i="3"/>
  <c r="D6" i="5"/>
  <c r="D17" i="5"/>
  <c r="E17" i="5" s="1"/>
  <c r="E16" i="5"/>
  <c r="D25" i="5"/>
  <c r="E24" i="5"/>
  <c r="M113" i="3" l="1"/>
  <c r="K115" i="3"/>
  <c r="R106" i="3"/>
  <c r="P110" i="3"/>
  <c r="P115" i="3"/>
  <c r="P82" i="3"/>
  <c r="N112" i="3"/>
  <c r="N116" i="3" s="1"/>
  <c r="N39" i="3" s="1"/>
  <c r="N8" i="3"/>
  <c r="N85" i="3"/>
  <c r="L14" i="3"/>
  <c r="L20" i="3"/>
  <c r="L26" i="3"/>
  <c r="L46" i="3"/>
  <c r="N99" i="3"/>
  <c r="N103" i="3" s="1"/>
  <c r="N38" i="3" s="1"/>
  <c r="N7" i="3"/>
  <c r="R93" i="3"/>
  <c r="P97" i="3"/>
  <c r="P81" i="3"/>
  <c r="N83" i="3"/>
  <c r="N84" i="3"/>
  <c r="L74" i="3"/>
  <c r="L9" i="3"/>
  <c r="L13" i="3"/>
  <c r="L19" i="3"/>
  <c r="L25" i="3"/>
  <c r="L45" i="3"/>
  <c r="O106" i="3"/>
  <c r="M110" i="3"/>
  <c r="M82" i="3"/>
  <c r="K112" i="3"/>
  <c r="K116" i="3" s="1"/>
  <c r="K39" i="3" s="1"/>
  <c r="G36" i="2" s="1"/>
  <c r="K8" i="3"/>
  <c r="K85" i="3"/>
  <c r="G96" i="2"/>
  <c r="O93" i="3"/>
  <c r="M97" i="3"/>
  <c r="M81" i="3"/>
  <c r="K7" i="3"/>
  <c r="K84" i="3" s="1"/>
  <c r="K99" i="3"/>
  <c r="K83" i="3"/>
  <c r="G95" i="2"/>
  <c r="S69" i="3"/>
  <c r="V68" i="3"/>
  <c r="U68" i="3"/>
  <c r="S67" i="3"/>
  <c r="N67" i="3"/>
  <c r="J77" i="3"/>
  <c r="H77" i="3"/>
  <c r="J78" i="3"/>
  <c r="F77" i="3"/>
  <c r="H78" i="3"/>
  <c r="D77" i="3"/>
  <c r="F78" i="3"/>
  <c r="I73" i="3"/>
  <c r="K73" i="3" s="1"/>
  <c r="M73" i="3" s="1"/>
  <c r="O73" i="3" s="1"/>
  <c r="Q73" i="3" s="1"/>
  <c r="S73" i="3" s="1"/>
  <c r="U73" i="3" s="1"/>
  <c r="W73" i="3" s="1"/>
  <c r="Y73" i="3" s="1"/>
  <c r="AA73" i="3" s="1"/>
  <c r="AC73" i="3" s="1"/>
  <c r="I75" i="3"/>
  <c r="G73" i="3"/>
  <c r="G75" i="3"/>
  <c r="E73" i="3"/>
  <c r="E75" i="3"/>
  <c r="L102" i="3"/>
  <c r="N100" i="3"/>
  <c r="K137" i="2"/>
  <c r="J49" i="2"/>
  <c r="J115" i="2"/>
  <c r="L79" i="2"/>
  <c r="K80" i="2"/>
  <c r="K82" i="2" s="1"/>
  <c r="F142" i="2"/>
  <c r="F76" i="2"/>
  <c r="F74" i="2"/>
  <c r="F85" i="2" s="1"/>
  <c r="F84" i="2"/>
  <c r="E34" i="5"/>
  <c r="D35" i="5"/>
  <c r="E35" i="5" s="1"/>
  <c r="G37" i="5"/>
  <c r="H37" i="5"/>
  <c r="E76" i="2"/>
  <c r="E142" i="2"/>
  <c r="E74" i="2"/>
  <c r="E85" i="2" s="1"/>
  <c r="F75" i="2"/>
  <c r="E84" i="2"/>
  <c r="D76" i="2"/>
  <c r="D142" i="2"/>
  <c r="D74" i="2"/>
  <c r="D85" i="2" s="1"/>
  <c r="E75" i="2"/>
  <c r="D84" i="2"/>
  <c r="J161" i="2"/>
  <c r="E56" i="5"/>
  <c r="D57" i="5"/>
  <c r="I102" i="3"/>
  <c r="I101" i="3" s="1"/>
  <c r="K100" i="3"/>
  <c r="N64" i="3"/>
  <c r="O64" i="3" s="1"/>
  <c r="I60" i="2" s="1"/>
  <c r="I154" i="2" s="1"/>
  <c r="I171" i="2"/>
  <c r="E25" i="5"/>
  <c r="D26" i="5"/>
  <c r="E26" i="5" s="1"/>
  <c r="D37" i="5"/>
  <c r="E37" i="5" s="1"/>
  <c r="D7" i="5"/>
  <c r="E6" i="5"/>
  <c r="O113" i="3" l="1"/>
  <c r="Q113" i="3" s="1"/>
  <c r="S113" i="3" s="1"/>
  <c r="U113" i="3" s="1"/>
  <c r="W113" i="3" s="1"/>
  <c r="Y113" i="3" s="1"/>
  <c r="AA113" i="3" s="1"/>
  <c r="AC113" i="3" s="1"/>
  <c r="M115" i="3"/>
  <c r="T106" i="3"/>
  <c r="R110" i="3"/>
  <c r="R115" i="3"/>
  <c r="R82" i="3"/>
  <c r="P112" i="3"/>
  <c r="P116" i="3" s="1"/>
  <c r="P39" i="3" s="1"/>
  <c r="P8" i="3"/>
  <c r="P85" i="3"/>
  <c r="N14" i="3"/>
  <c r="N20" i="3"/>
  <c r="N26" i="3"/>
  <c r="N46" i="3"/>
  <c r="L87" i="3"/>
  <c r="N74" i="3"/>
  <c r="N9" i="3"/>
  <c r="N13" i="3"/>
  <c r="N19" i="3" s="1"/>
  <c r="N25" i="3" s="1"/>
  <c r="N45" i="3"/>
  <c r="R97" i="3"/>
  <c r="R81" i="3"/>
  <c r="T93" i="3"/>
  <c r="P7" i="3"/>
  <c r="P99" i="3"/>
  <c r="P103" i="3" s="1"/>
  <c r="P38" i="3" s="1"/>
  <c r="P83" i="3"/>
  <c r="P84" i="3"/>
  <c r="L10" i="3"/>
  <c r="N10" i="3"/>
  <c r="L40" i="3"/>
  <c r="L54" i="3"/>
  <c r="L16" i="3"/>
  <c r="L22" i="3" s="1"/>
  <c r="L24" i="3" s="1"/>
  <c r="L86" i="3"/>
  <c r="Q106" i="3"/>
  <c r="O110" i="3"/>
  <c r="O115" i="3"/>
  <c r="O82" i="3"/>
  <c r="M112" i="3"/>
  <c r="M116" i="3" s="1"/>
  <c r="M39" i="3" s="1"/>
  <c r="H36" i="2" s="1"/>
  <c r="C56" i="1" s="1"/>
  <c r="E56" i="1" s="1"/>
  <c r="M8" i="3"/>
  <c r="H96" i="2"/>
  <c r="M85" i="3"/>
  <c r="K14" i="3"/>
  <c r="G8" i="2"/>
  <c r="G99" i="2" s="1"/>
  <c r="K46" i="3"/>
  <c r="O97" i="3"/>
  <c r="O81" i="3"/>
  <c r="Q93" i="3"/>
  <c r="M99" i="3"/>
  <c r="M7" i="3"/>
  <c r="M84" i="3" s="1"/>
  <c r="H95" i="2"/>
  <c r="M83" i="3"/>
  <c r="K9" i="3"/>
  <c r="K13" i="3"/>
  <c r="K19" i="3" s="1"/>
  <c r="K25" i="3" s="1"/>
  <c r="K45" i="3"/>
  <c r="G7" i="2"/>
  <c r="G97" i="2"/>
  <c r="U69" i="3"/>
  <c r="X68" i="3"/>
  <c r="W68" i="3"/>
  <c r="U67" i="3"/>
  <c r="P67" i="3"/>
  <c r="I77" i="3"/>
  <c r="G77" i="3"/>
  <c r="I78" i="3"/>
  <c r="E77" i="3"/>
  <c r="G78" i="3"/>
  <c r="N102" i="3"/>
  <c r="P100" i="3"/>
  <c r="L137" i="2"/>
  <c r="K49" i="2"/>
  <c r="K115" i="2" s="1"/>
  <c r="M79" i="2"/>
  <c r="L80" i="2"/>
  <c r="L82" i="2" s="1"/>
  <c r="F90" i="2"/>
  <c r="G90" i="2" s="1"/>
  <c r="F86" i="2"/>
  <c r="E90" i="2"/>
  <c r="E86" i="2"/>
  <c r="D90" i="2"/>
  <c r="K161" i="2"/>
  <c r="E57" i="5"/>
  <c r="D58" i="5"/>
  <c r="E58" i="5" s="1"/>
  <c r="K102" i="3"/>
  <c r="M100" i="3"/>
  <c r="E7" i="5"/>
  <c r="D8" i="5"/>
  <c r="E8" i="5" s="1"/>
  <c r="K103" i="3"/>
  <c r="K38" i="3" s="1"/>
  <c r="I182" i="2"/>
  <c r="I127" i="2"/>
  <c r="M103" i="3" l="1"/>
  <c r="M38" i="3" s="1"/>
  <c r="H35" i="2" s="1"/>
  <c r="G14" i="2"/>
  <c r="K20" i="3"/>
  <c r="V106" i="3"/>
  <c r="T110" i="3"/>
  <c r="T115" i="3"/>
  <c r="T82" i="3"/>
  <c r="R112" i="3"/>
  <c r="R116" i="3" s="1"/>
  <c r="R39" i="3" s="1"/>
  <c r="R8" i="3"/>
  <c r="R85" i="3" s="1"/>
  <c r="P14" i="3"/>
  <c r="P20" i="3"/>
  <c r="P26" i="3"/>
  <c r="P46" i="3"/>
  <c r="N87" i="3"/>
  <c r="N40" i="3"/>
  <c r="N54" i="3"/>
  <c r="N16" i="3"/>
  <c r="N22" i="3" s="1"/>
  <c r="N86" i="3"/>
  <c r="R99" i="3"/>
  <c r="R103" i="3" s="1"/>
  <c r="R38" i="3" s="1"/>
  <c r="R7" i="3"/>
  <c r="R83" i="3"/>
  <c r="R84" i="3"/>
  <c r="V93" i="3"/>
  <c r="T97" i="3"/>
  <c r="T81" i="3"/>
  <c r="P9" i="3"/>
  <c r="P10" i="3" s="1"/>
  <c r="P13" i="3"/>
  <c r="P19" i="3" s="1"/>
  <c r="P25" i="3" s="1"/>
  <c r="P45" i="3"/>
  <c r="P74" i="3"/>
  <c r="L23" i="3"/>
  <c r="L21" i="3"/>
  <c r="L42" i="3"/>
  <c r="L52" i="3"/>
  <c r="N52" i="3" s="1"/>
  <c r="L53" i="3"/>
  <c r="S106" i="3"/>
  <c r="Q110" i="3"/>
  <c r="Q115" i="3"/>
  <c r="Q82" i="3"/>
  <c r="O112" i="3"/>
  <c r="O116" i="3" s="1"/>
  <c r="O39" i="3" s="1"/>
  <c r="I36" i="2" s="1"/>
  <c r="O8" i="3"/>
  <c r="I96" i="2"/>
  <c r="O85" i="3"/>
  <c r="H8" i="2"/>
  <c r="H99" i="2" s="1"/>
  <c r="M14" i="3"/>
  <c r="M46" i="3"/>
  <c r="O99" i="3"/>
  <c r="O7" i="3"/>
  <c r="O84" i="3" s="1"/>
  <c r="I95" i="2"/>
  <c r="O83" i="3"/>
  <c r="Q97" i="3"/>
  <c r="S93" i="3"/>
  <c r="Q81" i="3"/>
  <c r="H7" i="2"/>
  <c r="H98" i="2" s="1"/>
  <c r="M9" i="3"/>
  <c r="M10" i="3" s="1"/>
  <c r="M13" i="3"/>
  <c r="M19" i="3" s="1"/>
  <c r="M25" i="3" s="1"/>
  <c r="H97" i="2"/>
  <c r="K10" i="3"/>
  <c r="K40" i="3"/>
  <c r="K54" i="3"/>
  <c r="K16" i="3"/>
  <c r="K22" i="3" s="1"/>
  <c r="K24" i="3" s="1"/>
  <c r="G13" i="2"/>
  <c r="K86" i="3"/>
  <c r="G19" i="2"/>
  <c r="G100" i="2" s="1"/>
  <c r="W69" i="3"/>
  <c r="Z68" i="3"/>
  <c r="Y68" i="3"/>
  <c r="W67" i="3"/>
  <c r="R67" i="3"/>
  <c r="P102" i="3"/>
  <c r="R100" i="3"/>
  <c r="M137" i="2"/>
  <c r="L49" i="2"/>
  <c r="L115" i="2" s="1"/>
  <c r="N79" i="2"/>
  <c r="M80" i="2"/>
  <c r="M82" i="2" s="1"/>
  <c r="H90" i="2"/>
  <c r="L161" i="2"/>
  <c r="M102" i="3"/>
  <c r="O100" i="3"/>
  <c r="G35" i="2"/>
  <c r="J171" i="2"/>
  <c r="J182" i="2" s="1"/>
  <c r="J127" i="2"/>
  <c r="P64" i="3"/>
  <c r="Q64" i="3"/>
  <c r="G9" i="2"/>
  <c r="G98" i="2"/>
  <c r="K26" i="3" l="1"/>
  <c r="G20" i="2"/>
  <c r="G101" i="2" s="1"/>
  <c r="K87" i="3"/>
  <c r="G16" i="2"/>
  <c r="G22" i="2" s="1"/>
  <c r="G24" i="2" s="1"/>
  <c r="M74" i="3"/>
  <c r="H71" i="2" s="1"/>
  <c r="H140" i="2" s="1"/>
  <c r="M45" i="3"/>
  <c r="G37" i="2"/>
  <c r="G38" i="2" s="1"/>
  <c r="G40" i="2" s="1"/>
  <c r="K42" i="3"/>
  <c r="X106" i="3"/>
  <c r="V110" i="3"/>
  <c r="V115" i="3"/>
  <c r="V82" i="3"/>
  <c r="T112" i="3"/>
  <c r="T116" i="3" s="1"/>
  <c r="T39" i="3" s="1"/>
  <c r="T8" i="3"/>
  <c r="T85" i="3"/>
  <c r="R14" i="3"/>
  <c r="R20" i="3"/>
  <c r="R26" i="3"/>
  <c r="R46" i="3"/>
  <c r="P87" i="3"/>
  <c r="N21" i="3"/>
  <c r="N42" i="3"/>
  <c r="N43" i="3" s="1"/>
  <c r="N53" i="3"/>
  <c r="R74" i="3"/>
  <c r="R9" i="3"/>
  <c r="R10" i="3" s="1"/>
  <c r="R13" i="3"/>
  <c r="R19" i="3"/>
  <c r="R25" i="3"/>
  <c r="R45" i="3"/>
  <c r="X93" i="3"/>
  <c r="V97" i="3"/>
  <c r="V81" i="3"/>
  <c r="T99" i="3"/>
  <c r="T7" i="3"/>
  <c r="T84" i="3" s="1"/>
  <c r="T83" i="3"/>
  <c r="P40" i="3"/>
  <c r="P54" i="3"/>
  <c r="P52" i="3" s="1"/>
  <c r="P16" i="3"/>
  <c r="P22" i="3" s="1"/>
  <c r="P86" i="3"/>
  <c r="L44" i="3"/>
  <c r="L33" i="3"/>
  <c r="L58" i="3"/>
  <c r="L49" i="3"/>
  <c r="L43" i="3"/>
  <c r="U106" i="3"/>
  <c r="S110" i="3"/>
  <c r="S115" i="3"/>
  <c r="S82" i="3"/>
  <c r="Q112" i="3"/>
  <c r="Q116" i="3" s="1"/>
  <c r="Q39" i="3" s="1"/>
  <c r="J36" i="2" s="1"/>
  <c r="Q8" i="3"/>
  <c r="Q85" i="3" s="1"/>
  <c r="J96" i="2"/>
  <c r="I8" i="2"/>
  <c r="I99" i="2" s="1"/>
  <c r="O14" i="3"/>
  <c r="O46" i="3"/>
  <c r="I7" i="2"/>
  <c r="I98" i="2" s="1"/>
  <c r="O9" i="3"/>
  <c r="O10" i="3" s="1"/>
  <c r="O13" i="3"/>
  <c r="O19" i="3" s="1"/>
  <c r="O25" i="3" s="1"/>
  <c r="I97" i="2"/>
  <c r="Q99" i="3"/>
  <c r="Q7" i="3"/>
  <c r="Q84" i="3" s="1"/>
  <c r="U93" i="3"/>
  <c r="S97" i="3"/>
  <c r="S81" i="3"/>
  <c r="J95" i="2"/>
  <c r="Q83" i="3"/>
  <c r="C55" i="1"/>
  <c r="M40" i="3"/>
  <c r="M54" i="3"/>
  <c r="H13" i="2"/>
  <c r="M16" i="3"/>
  <c r="M22" i="3" s="1"/>
  <c r="H19" i="2"/>
  <c r="H100" i="2" s="1"/>
  <c r="M86" i="3"/>
  <c r="K23" i="3"/>
  <c r="K21" i="3"/>
  <c r="G21" i="2" s="1"/>
  <c r="K52" i="3"/>
  <c r="Y69" i="3"/>
  <c r="AB68" i="3"/>
  <c r="AA68" i="3"/>
  <c r="Y67" i="3"/>
  <c r="T67" i="3"/>
  <c r="R102" i="3"/>
  <c r="T100" i="3"/>
  <c r="N137" i="2"/>
  <c r="M49" i="2"/>
  <c r="M115" i="2" s="1"/>
  <c r="O79" i="2"/>
  <c r="N80" i="2"/>
  <c r="N82" i="2" s="1"/>
  <c r="I90" i="2"/>
  <c r="M161" i="2"/>
  <c r="O102" i="3"/>
  <c r="Q100" i="3"/>
  <c r="R64" i="3"/>
  <c r="S64" i="3" s="1"/>
  <c r="K60" i="2" s="1"/>
  <c r="K154" i="2" s="1"/>
  <c r="K171" i="2"/>
  <c r="G125" i="2"/>
  <c r="G112" i="2"/>
  <c r="G111" i="2"/>
  <c r="G10" i="2"/>
  <c r="G160" i="2"/>
  <c r="O103" i="3"/>
  <c r="O38" i="3" s="1"/>
  <c r="O45" i="3" s="1"/>
  <c r="H9" i="2"/>
  <c r="H10" i="2" s="1"/>
  <c r="J60" i="2"/>
  <c r="J154" i="2" s="1"/>
  <c r="N23" i="3"/>
  <c r="N24" i="3"/>
  <c r="H14" i="2"/>
  <c r="M20" i="3"/>
  <c r="H16" i="2" l="1"/>
  <c r="H22" i="2" s="1"/>
  <c r="I14" i="2"/>
  <c r="O20" i="3"/>
  <c r="I9" i="2"/>
  <c r="K44" i="3"/>
  <c r="K43" i="3"/>
  <c r="K49" i="3"/>
  <c r="K58" i="3"/>
  <c r="K33" i="3"/>
  <c r="Z106" i="3"/>
  <c r="X110" i="3"/>
  <c r="X115" i="3"/>
  <c r="X82" i="3"/>
  <c r="V112" i="3"/>
  <c r="V116" i="3" s="1"/>
  <c r="V39" i="3" s="1"/>
  <c r="V8" i="3"/>
  <c r="V85" i="3"/>
  <c r="T14" i="3"/>
  <c r="T20" i="3"/>
  <c r="T26" i="3"/>
  <c r="T46" i="3"/>
  <c r="R87" i="3"/>
  <c r="N44" i="3"/>
  <c r="N33" i="3"/>
  <c r="N58" i="3"/>
  <c r="N49" i="3"/>
  <c r="R40" i="3"/>
  <c r="R54" i="3"/>
  <c r="R52" i="3" s="1"/>
  <c r="R16" i="3"/>
  <c r="R22" i="3" s="1"/>
  <c r="R86" i="3"/>
  <c r="Z93" i="3"/>
  <c r="X97" i="3"/>
  <c r="X81" i="3"/>
  <c r="V99" i="3"/>
  <c r="V7" i="3"/>
  <c r="V83" i="3"/>
  <c r="V84" i="3"/>
  <c r="T9" i="3"/>
  <c r="T10" i="3" s="1"/>
  <c r="T13" i="3"/>
  <c r="T19" i="3"/>
  <c r="T25" i="3"/>
  <c r="T45" i="3"/>
  <c r="P21" i="3"/>
  <c r="P42" i="3"/>
  <c r="P43" i="3" s="1"/>
  <c r="P53" i="3"/>
  <c r="L35" i="3"/>
  <c r="L34" i="3"/>
  <c r="N34" i="3"/>
  <c r="L31" i="3"/>
  <c r="L29" i="3"/>
  <c r="N29" i="3" s="1"/>
  <c r="L30" i="3"/>
  <c r="N30" i="3" s="1"/>
  <c r="N31" i="3"/>
  <c r="L32" i="3"/>
  <c r="N32" i="3"/>
  <c r="L60" i="3"/>
  <c r="L59" i="3"/>
  <c r="N59" i="3"/>
  <c r="W106" i="3"/>
  <c r="U110" i="3"/>
  <c r="U115" i="3"/>
  <c r="U82" i="3"/>
  <c r="S112" i="3"/>
  <c r="S116" i="3" s="1"/>
  <c r="S39" i="3" s="1"/>
  <c r="K36" i="2" s="1"/>
  <c r="S8" i="3"/>
  <c r="S85" i="3" s="1"/>
  <c r="K96" i="2"/>
  <c r="J8" i="2"/>
  <c r="J99" i="2" s="1"/>
  <c r="Q14" i="3"/>
  <c r="J14" i="2" s="1"/>
  <c r="Q20" i="3"/>
  <c r="Q26" i="3" s="1"/>
  <c r="Q46" i="3"/>
  <c r="O40" i="3"/>
  <c r="O54" i="3"/>
  <c r="I13" i="2"/>
  <c r="O16" i="3"/>
  <c r="O22" i="3" s="1"/>
  <c r="I19" i="2"/>
  <c r="I100" i="2" s="1"/>
  <c r="O86" i="3"/>
  <c r="J7" i="2"/>
  <c r="J98" i="2" s="1"/>
  <c r="Q9" i="3"/>
  <c r="Q10" i="3" s="1"/>
  <c r="Q13" i="3"/>
  <c r="Q19" i="3"/>
  <c r="Q25" i="3"/>
  <c r="U97" i="3"/>
  <c r="U81" i="3"/>
  <c r="W93" i="3"/>
  <c r="S7" i="3"/>
  <c r="S84" i="3" s="1"/>
  <c r="S99" i="3"/>
  <c r="K95" i="2"/>
  <c r="S83" i="3"/>
  <c r="J97" i="2"/>
  <c r="E55" i="1"/>
  <c r="D57" i="1"/>
  <c r="M21" i="3"/>
  <c r="H21" i="2" s="1"/>
  <c r="H37" i="2"/>
  <c r="M42" i="3"/>
  <c r="AA69" i="3"/>
  <c r="AC68" i="3"/>
  <c r="AA67" i="3"/>
  <c r="V67" i="3"/>
  <c r="T102" i="3"/>
  <c r="V100" i="3"/>
  <c r="O137" i="2"/>
  <c r="N49" i="2"/>
  <c r="N115" i="2"/>
  <c r="P79" i="2"/>
  <c r="P80" i="2" s="1"/>
  <c r="P82" i="2" s="1"/>
  <c r="O80" i="2"/>
  <c r="O82" i="2" s="1"/>
  <c r="J90" i="2"/>
  <c r="N161" i="2"/>
  <c r="Q102" i="3"/>
  <c r="S100" i="3"/>
  <c r="G149" i="2"/>
  <c r="D32" i="1" s="1"/>
  <c r="G120" i="2"/>
  <c r="G23" i="2"/>
  <c r="D31" i="1"/>
  <c r="G181" i="2"/>
  <c r="G166" i="2"/>
  <c r="G172" i="2" s="1"/>
  <c r="G128" i="2" s="1"/>
  <c r="O74" i="3"/>
  <c r="I71" i="2" s="1"/>
  <c r="I140" i="2" s="1"/>
  <c r="I35" i="2"/>
  <c r="H160" i="2"/>
  <c r="H111" i="2"/>
  <c r="H112" i="2"/>
  <c r="H125" i="2"/>
  <c r="D25" i="1"/>
  <c r="G148" i="2"/>
  <c r="G45" i="2"/>
  <c r="G39" i="2"/>
  <c r="M87" i="3"/>
  <c r="H20" i="2"/>
  <c r="H101" i="2" s="1"/>
  <c r="M26" i="3"/>
  <c r="Q103" i="3"/>
  <c r="Q38" i="3" s="1"/>
  <c r="Q45" i="3" s="1"/>
  <c r="T103" i="3"/>
  <c r="T38" i="3" s="1"/>
  <c r="P23" i="3"/>
  <c r="P24" i="3"/>
  <c r="M23" i="3"/>
  <c r="M24" i="3"/>
  <c r="G48" i="2"/>
  <c r="K53" i="3"/>
  <c r="M52" i="3"/>
  <c r="K182" i="2"/>
  <c r="K127" i="2"/>
  <c r="I16" i="2" l="1"/>
  <c r="O52" i="3"/>
  <c r="I22" i="2"/>
  <c r="O26" i="3"/>
  <c r="I20" i="2"/>
  <c r="I101" i="2" s="1"/>
  <c r="O87" i="3"/>
  <c r="I10" i="2"/>
  <c r="I125" i="2"/>
  <c r="I112" i="2"/>
  <c r="I111" i="2"/>
  <c r="I160" i="2"/>
  <c r="K60" i="3"/>
  <c r="K59" i="3"/>
  <c r="K35" i="3"/>
  <c r="K32" i="3"/>
  <c r="G30" i="2" s="1"/>
  <c r="K30" i="3"/>
  <c r="G28" i="2" s="1"/>
  <c r="K29" i="3"/>
  <c r="G27" i="2" s="1"/>
  <c r="K31" i="3"/>
  <c r="G29" i="2" s="1"/>
  <c r="K34" i="3"/>
  <c r="G129" i="2"/>
  <c r="K65" i="3"/>
  <c r="G50" i="2"/>
  <c r="G113" i="2"/>
  <c r="H48" i="2"/>
  <c r="H50" i="2" s="1"/>
  <c r="M53" i="3"/>
  <c r="AB106" i="3"/>
  <c r="Z110" i="3"/>
  <c r="Z115" i="3"/>
  <c r="Z82" i="3"/>
  <c r="X112" i="3"/>
  <c r="X116" i="3" s="1"/>
  <c r="X39" i="3" s="1"/>
  <c r="X8" i="3"/>
  <c r="X85" i="3"/>
  <c r="V14" i="3"/>
  <c r="V20" i="3"/>
  <c r="V26" i="3"/>
  <c r="V46" i="3"/>
  <c r="T87" i="3"/>
  <c r="N35" i="3"/>
  <c r="N60" i="3"/>
  <c r="R21" i="3"/>
  <c r="R42" i="3"/>
  <c r="R53" i="3"/>
  <c r="AB93" i="3"/>
  <c r="Z97" i="3"/>
  <c r="Z81" i="3"/>
  <c r="X99" i="3"/>
  <c r="X7" i="3"/>
  <c r="X83" i="3"/>
  <c r="X84" i="3"/>
  <c r="V9" i="3"/>
  <c r="V13" i="3"/>
  <c r="V19" i="3"/>
  <c r="V25" i="3"/>
  <c r="V45" i="3"/>
  <c r="V10" i="3"/>
  <c r="T40" i="3"/>
  <c r="T54" i="3"/>
  <c r="T52" i="3" s="1"/>
  <c r="T16" i="3"/>
  <c r="T22" i="3" s="1"/>
  <c r="T86" i="3"/>
  <c r="P44" i="3"/>
  <c r="P33" i="3"/>
  <c r="P58" i="3"/>
  <c r="P59" i="3" s="1"/>
  <c r="P49" i="3"/>
  <c r="R43" i="3"/>
  <c r="Y106" i="3"/>
  <c r="W110" i="3"/>
  <c r="W115" i="3"/>
  <c r="W82" i="3"/>
  <c r="U112" i="3"/>
  <c r="U116" i="3" s="1"/>
  <c r="U39" i="3" s="1"/>
  <c r="L36" i="2" s="1"/>
  <c r="U8" i="3"/>
  <c r="U85" i="3" s="1"/>
  <c r="L96" i="2"/>
  <c r="K8" i="2"/>
  <c r="K99" i="2" s="1"/>
  <c r="S14" i="3"/>
  <c r="K14" i="2" s="1"/>
  <c r="S20" i="3"/>
  <c r="S26" i="3"/>
  <c r="S46" i="3"/>
  <c r="J20" i="2"/>
  <c r="J101" i="2" s="1"/>
  <c r="Q87" i="3"/>
  <c r="O21" i="3"/>
  <c r="I21" i="2" s="1"/>
  <c r="Q40" i="3"/>
  <c r="Q54" i="3"/>
  <c r="J13" i="2"/>
  <c r="J16" i="2" s="1"/>
  <c r="Q16" i="3"/>
  <c r="Q22" i="3" s="1"/>
  <c r="Q86" i="3"/>
  <c r="J19" i="2"/>
  <c r="J100" i="2" s="1"/>
  <c r="U7" i="3"/>
  <c r="U99" i="3"/>
  <c r="L95" i="2"/>
  <c r="U83" i="3"/>
  <c r="U84" i="3"/>
  <c r="Y93" i="3"/>
  <c r="W97" i="3"/>
  <c r="W81" i="3"/>
  <c r="K7" i="2"/>
  <c r="K98" i="2" s="1"/>
  <c r="S9" i="3"/>
  <c r="S10" i="3" s="1"/>
  <c r="S13" i="3"/>
  <c r="S19" i="3"/>
  <c r="S25" i="3"/>
  <c r="K97" i="2"/>
  <c r="H38" i="2"/>
  <c r="C57" i="1"/>
  <c r="E57" i="1" s="1"/>
  <c r="E59" i="1" s="1"/>
  <c r="E62" i="1" s="1"/>
  <c r="E63" i="1" s="1"/>
  <c r="E64" i="1" s="1"/>
  <c r="M43" i="3"/>
  <c r="M44" i="3"/>
  <c r="M33" i="3"/>
  <c r="M58" i="3"/>
  <c r="M49" i="3"/>
  <c r="AC69" i="3"/>
  <c r="AC67" i="3"/>
  <c r="X67" i="3"/>
  <c r="V102" i="3"/>
  <c r="X100" i="3"/>
  <c r="P137" i="2"/>
  <c r="O49" i="2"/>
  <c r="O115" i="2" s="1"/>
  <c r="K90" i="2"/>
  <c r="O161" i="2"/>
  <c r="S102" i="3"/>
  <c r="U100" i="3"/>
  <c r="E31" i="1"/>
  <c r="H181" i="2"/>
  <c r="H166" i="2"/>
  <c r="H172" i="2" s="1"/>
  <c r="H128" i="2" s="1"/>
  <c r="H149" i="2"/>
  <c r="E32" i="1" s="1"/>
  <c r="H120" i="2"/>
  <c r="Q74" i="3"/>
  <c r="J71" i="2" s="1"/>
  <c r="J140" i="2" s="1"/>
  <c r="J35" i="2"/>
  <c r="T74" i="3"/>
  <c r="T42" i="3"/>
  <c r="T44" i="3" s="1"/>
  <c r="L171" i="2"/>
  <c r="L182" i="2" s="1"/>
  <c r="L127" i="2"/>
  <c r="T64" i="3"/>
  <c r="U64" i="3"/>
  <c r="J9" i="2"/>
  <c r="S103" i="3"/>
  <c r="S38" i="3" s="1"/>
  <c r="S45" i="3" s="1"/>
  <c r="G151" i="2"/>
  <c r="V103" i="3"/>
  <c r="V38" i="3" s="1"/>
  <c r="R23" i="3"/>
  <c r="R24" i="3"/>
  <c r="I37" i="2"/>
  <c r="I38" i="2" s="1"/>
  <c r="O42" i="3"/>
  <c r="O43" i="3" s="1"/>
  <c r="O23" i="3"/>
  <c r="O24" i="3"/>
  <c r="H23" i="2"/>
  <c r="H24" i="2"/>
  <c r="I48" i="2" l="1"/>
  <c r="I50" i="2" s="1"/>
  <c r="I54" i="2" s="1"/>
  <c r="O53" i="3"/>
  <c r="Q52" i="3"/>
  <c r="H113" i="2"/>
  <c r="I113" i="2" s="1"/>
  <c r="G31" i="2"/>
  <c r="G32" i="2" s="1"/>
  <c r="F26" i="1"/>
  <c r="F30" i="1" s="1"/>
  <c r="I51" i="2"/>
  <c r="I24" i="2"/>
  <c r="I23" i="2"/>
  <c r="I149" i="2"/>
  <c r="F32" i="1" s="1"/>
  <c r="I120" i="2"/>
  <c r="F31" i="1"/>
  <c r="I181" i="2"/>
  <c r="I166" i="2"/>
  <c r="I172" i="2" s="1"/>
  <c r="G54" i="2"/>
  <c r="G51" i="2"/>
  <c r="D26" i="1"/>
  <c r="D30" i="1" s="1"/>
  <c r="H129" i="2"/>
  <c r="I128" i="2"/>
  <c r="K66" i="3"/>
  <c r="K71" i="3" s="1"/>
  <c r="G61" i="2"/>
  <c r="H51" i="2"/>
  <c r="E26" i="1"/>
  <c r="E30" i="1" s="1"/>
  <c r="J37" i="2"/>
  <c r="J38" i="2" s="1"/>
  <c r="Q42" i="3"/>
  <c r="Q43" i="3" s="1"/>
  <c r="AB110" i="3"/>
  <c r="AB115" i="3"/>
  <c r="AB82" i="3"/>
  <c r="Z112" i="3"/>
  <c r="Z116" i="3" s="1"/>
  <c r="Z39" i="3" s="1"/>
  <c r="Z8" i="3"/>
  <c r="Z85" i="3"/>
  <c r="X14" i="3"/>
  <c r="X20" i="3" s="1"/>
  <c r="X26" i="3" s="1"/>
  <c r="X46" i="3"/>
  <c r="V87" i="3"/>
  <c r="R44" i="3"/>
  <c r="R33" i="3"/>
  <c r="R58" i="3"/>
  <c r="R49" i="3"/>
  <c r="T43" i="3"/>
  <c r="AB97" i="3"/>
  <c r="AB81" i="3"/>
  <c r="Z7" i="3"/>
  <c r="Z99" i="3"/>
  <c r="Z103" i="3" s="1"/>
  <c r="Z38" i="3" s="1"/>
  <c r="Z83" i="3"/>
  <c r="Z84" i="3"/>
  <c r="X9" i="3"/>
  <c r="X13" i="3"/>
  <c r="X19" i="3"/>
  <c r="X25" i="3" s="1"/>
  <c r="X45" i="3"/>
  <c r="X10" i="3"/>
  <c r="V40" i="3"/>
  <c r="V42" i="3" s="1"/>
  <c r="V54" i="3"/>
  <c r="V16" i="3"/>
  <c r="V22" i="3" s="1"/>
  <c r="V86" i="3"/>
  <c r="T35" i="3"/>
  <c r="T21" i="3"/>
  <c r="V52" i="3"/>
  <c r="T53" i="3"/>
  <c r="P35" i="3"/>
  <c r="R34" i="3"/>
  <c r="R29" i="3"/>
  <c r="R30" i="3"/>
  <c r="R31" i="3"/>
  <c r="R32" i="3"/>
  <c r="P60" i="3"/>
  <c r="R59" i="3"/>
  <c r="AA106" i="3"/>
  <c r="Y110" i="3"/>
  <c r="Y115" i="3"/>
  <c r="Y82" i="3"/>
  <c r="W112" i="3"/>
  <c r="W116" i="3" s="1"/>
  <c r="W39" i="3" s="1"/>
  <c r="M36" i="2" s="1"/>
  <c r="W8" i="3"/>
  <c r="M96" i="2"/>
  <c r="W85" i="3"/>
  <c r="L8" i="2"/>
  <c r="L99" i="2" s="1"/>
  <c r="U14" i="3"/>
  <c r="U46" i="3"/>
  <c r="K20" i="2"/>
  <c r="K101" i="2" s="1"/>
  <c r="S87" i="3"/>
  <c r="Q21" i="3"/>
  <c r="J21" i="2" s="1"/>
  <c r="L7" i="2"/>
  <c r="L98" i="2" s="1"/>
  <c r="U9" i="3"/>
  <c r="U10" i="3" s="1"/>
  <c r="U13" i="3"/>
  <c r="U19" i="3"/>
  <c r="U25" i="3" s="1"/>
  <c r="L97" i="2"/>
  <c r="AA93" i="3"/>
  <c r="Y97" i="3"/>
  <c r="Y81" i="3"/>
  <c r="W7" i="3"/>
  <c r="W99" i="3"/>
  <c r="M95" i="2"/>
  <c r="W83" i="3"/>
  <c r="W84" i="3"/>
  <c r="S40" i="3"/>
  <c r="S54" i="3"/>
  <c r="K13" i="2"/>
  <c r="K16" i="2" s="1"/>
  <c r="S16" i="3"/>
  <c r="S22" i="3" s="1"/>
  <c r="K19" i="2"/>
  <c r="K100" i="2" s="1"/>
  <c r="S86" i="3"/>
  <c r="H39" i="2"/>
  <c r="H40" i="2"/>
  <c r="H54" i="2"/>
  <c r="E66" i="1"/>
  <c r="E25" i="1"/>
  <c r="H148" i="2"/>
  <c r="H151" i="2" s="1"/>
  <c r="I39" i="2"/>
  <c r="H45" i="2"/>
  <c r="M32" i="3"/>
  <c r="H30" i="2" s="1"/>
  <c r="M31" i="3"/>
  <c r="H29" i="2" s="1"/>
  <c r="M34" i="3"/>
  <c r="M30" i="3"/>
  <c r="H28" i="2" s="1"/>
  <c r="M29" i="3"/>
  <c r="H27" i="2" s="1"/>
  <c r="M35" i="3"/>
  <c r="M59" i="3"/>
  <c r="M60" i="3"/>
  <c r="Z67" i="3"/>
  <c r="X102" i="3"/>
  <c r="Z100" i="3"/>
  <c r="P49" i="2"/>
  <c r="P115" i="2" s="1"/>
  <c r="L90" i="2"/>
  <c r="P161" i="2"/>
  <c r="U102" i="3"/>
  <c r="W100" i="3"/>
  <c r="T49" i="3"/>
  <c r="T58" i="3"/>
  <c r="T33" i="3"/>
  <c r="V64" i="3"/>
  <c r="W64" i="3" s="1"/>
  <c r="M60" i="2" s="1"/>
  <c r="M154" i="2" s="1"/>
  <c r="M171" i="2"/>
  <c r="J160" i="2"/>
  <c r="J22" i="2"/>
  <c r="J24" i="2"/>
  <c r="J125" i="2"/>
  <c r="J111" i="2"/>
  <c r="J112" i="2"/>
  <c r="J10" i="2"/>
  <c r="S74" i="3"/>
  <c r="K71" i="2" s="1"/>
  <c r="K140" i="2" s="1"/>
  <c r="K35" i="2"/>
  <c r="V74" i="3"/>
  <c r="I148" i="2"/>
  <c r="F25" i="1"/>
  <c r="I45" i="2"/>
  <c r="I40" i="2"/>
  <c r="O33" i="3"/>
  <c r="O58" i="3"/>
  <c r="O59" i="3" s="1"/>
  <c r="O49" i="3"/>
  <c r="O44" i="3"/>
  <c r="U103" i="3"/>
  <c r="U38" i="3" s="1"/>
  <c r="U45" i="3" s="1"/>
  <c r="K9" i="2"/>
  <c r="K10" i="2" s="1"/>
  <c r="L60" i="2"/>
  <c r="L154" i="2" s="1"/>
  <c r="X103" i="3"/>
  <c r="X38" i="3" s="1"/>
  <c r="T23" i="3"/>
  <c r="T24" i="3"/>
  <c r="P34" i="3"/>
  <c r="P30" i="3"/>
  <c r="P32" i="3"/>
  <c r="P29" i="3"/>
  <c r="P31" i="3"/>
  <c r="Q23" i="3"/>
  <c r="Q24" i="3"/>
  <c r="G56" i="2" l="1"/>
  <c r="G55" i="2"/>
  <c r="G191" i="2"/>
  <c r="D27" i="1"/>
  <c r="D28" i="1" s="1"/>
  <c r="L14" i="2"/>
  <c r="U20" i="3"/>
  <c r="D29" i="1"/>
  <c r="D33" i="1" s="1"/>
  <c r="D38" i="1" s="1"/>
  <c r="S52" i="3"/>
  <c r="I151" i="2"/>
  <c r="J48" i="2"/>
  <c r="Q53" i="3"/>
  <c r="G25" i="1"/>
  <c r="J148" i="2"/>
  <c r="J45" i="2"/>
  <c r="Q44" i="3"/>
  <c r="Q49" i="3"/>
  <c r="Q58" i="3"/>
  <c r="Q33" i="3"/>
  <c r="I129" i="2"/>
  <c r="J69" i="3"/>
  <c r="L69" i="3" s="1"/>
  <c r="G65" i="2"/>
  <c r="G62" i="2"/>
  <c r="G68" i="2" s="1"/>
  <c r="G153" i="2"/>
  <c r="H31" i="2"/>
  <c r="H32" i="2" s="1"/>
  <c r="K72" i="3"/>
  <c r="G69" i="2" s="1"/>
  <c r="G155" i="2" s="1"/>
  <c r="G156" i="2" s="1"/>
  <c r="K75" i="3"/>
  <c r="J40" i="2"/>
  <c r="J39" i="2"/>
  <c r="S24" i="3"/>
  <c r="S23" i="3"/>
  <c r="AB112" i="3"/>
  <c r="AB116" i="3" s="1"/>
  <c r="AB39" i="3" s="1"/>
  <c r="AB8" i="3"/>
  <c r="AB85" i="3"/>
  <c r="Z14" i="3"/>
  <c r="Z20" i="3"/>
  <c r="Z26" i="3"/>
  <c r="Z46" i="3"/>
  <c r="X87" i="3"/>
  <c r="R35" i="3"/>
  <c r="T34" i="3"/>
  <c r="T29" i="3"/>
  <c r="V29" i="3" s="1"/>
  <c r="T30" i="3"/>
  <c r="V30" i="3" s="1"/>
  <c r="T31" i="3"/>
  <c r="V31" i="3" s="1"/>
  <c r="T32" i="3"/>
  <c r="V32" i="3" s="1"/>
  <c r="R60" i="3"/>
  <c r="T59" i="3"/>
  <c r="AB99" i="3"/>
  <c r="AB7" i="3"/>
  <c r="AB84" i="3" s="1"/>
  <c r="AB83" i="3"/>
  <c r="Z9" i="3"/>
  <c r="Z13" i="3"/>
  <c r="Z19" i="3"/>
  <c r="Z25" i="3"/>
  <c r="Z45" i="3"/>
  <c r="Z74" i="3"/>
  <c r="Z10" i="3"/>
  <c r="X22" i="3"/>
  <c r="X23" i="3" s="1"/>
  <c r="X24" i="3"/>
  <c r="X40" i="3"/>
  <c r="X42" i="3" s="1"/>
  <c r="X54" i="3"/>
  <c r="X16" i="3"/>
  <c r="X86" i="3"/>
  <c r="V35" i="3"/>
  <c r="V21" i="3"/>
  <c r="X52" i="3"/>
  <c r="V53" i="3"/>
  <c r="AC106" i="3"/>
  <c r="AA110" i="3"/>
  <c r="AA115" i="3"/>
  <c r="AA82" i="3"/>
  <c r="Y112" i="3"/>
  <c r="Y116" i="3" s="1"/>
  <c r="Y39" i="3" s="1"/>
  <c r="N36" i="2" s="1"/>
  <c r="Y8" i="3"/>
  <c r="N96" i="2"/>
  <c r="Y85" i="3"/>
  <c r="M8" i="2"/>
  <c r="M99" i="2" s="1"/>
  <c r="W14" i="3"/>
  <c r="W46" i="3"/>
  <c r="U40" i="3"/>
  <c r="U54" i="3"/>
  <c r="L13" i="2"/>
  <c r="U16" i="3"/>
  <c r="U22" i="3" s="1"/>
  <c r="L19" i="2"/>
  <c r="L100" i="2" s="1"/>
  <c r="U86" i="3"/>
  <c r="AC93" i="3"/>
  <c r="AA97" i="3"/>
  <c r="AA81" i="3"/>
  <c r="Y99" i="3"/>
  <c r="Y7" i="3"/>
  <c r="N95" i="2"/>
  <c r="Y83" i="3"/>
  <c r="Y84" i="3"/>
  <c r="M7" i="2"/>
  <c r="W9" i="3"/>
  <c r="W10" i="3" s="1"/>
  <c r="W13" i="3"/>
  <c r="W19" i="3" s="1"/>
  <c r="W25" i="3" s="1"/>
  <c r="M97" i="2"/>
  <c r="S21" i="3"/>
  <c r="K21" i="2" s="1"/>
  <c r="H55" i="2"/>
  <c r="H56" i="2"/>
  <c r="I55" i="2"/>
  <c r="H191" i="2"/>
  <c r="E27" i="1"/>
  <c r="AB67" i="3"/>
  <c r="Z102" i="3"/>
  <c r="AB100" i="3"/>
  <c r="AB102" i="3" s="1"/>
  <c r="M90" i="2"/>
  <c r="W102" i="3"/>
  <c r="Y100" i="3"/>
  <c r="T60" i="3"/>
  <c r="V34" i="3"/>
  <c r="G31" i="1"/>
  <c r="J181" i="2"/>
  <c r="J166" i="2"/>
  <c r="J172" i="2" s="1"/>
  <c r="J128" i="2" s="1"/>
  <c r="J23" i="2"/>
  <c r="J120" i="2"/>
  <c r="J149" i="2"/>
  <c r="V49" i="3"/>
  <c r="V58" i="3"/>
  <c r="V59" i="3" s="1"/>
  <c r="V33" i="3"/>
  <c r="I56" i="2"/>
  <c r="I191" i="2"/>
  <c r="F27" i="1"/>
  <c r="O35" i="3"/>
  <c r="O60" i="3"/>
  <c r="U74" i="3"/>
  <c r="L71" i="2" s="1"/>
  <c r="L140" i="2" s="1"/>
  <c r="L35" i="2"/>
  <c r="K160" i="2"/>
  <c r="K22" i="2"/>
  <c r="K23" i="2" s="1"/>
  <c r="K24" i="2"/>
  <c r="K111" i="2"/>
  <c r="K112" i="2"/>
  <c r="K125" i="2"/>
  <c r="X74" i="3"/>
  <c r="L9" i="2"/>
  <c r="L10" i="2" s="1"/>
  <c r="W103" i="3"/>
  <c r="W38" i="3" s="1"/>
  <c r="W45" i="3" s="1"/>
  <c r="V44" i="3"/>
  <c r="V43" i="3"/>
  <c r="V24" i="3"/>
  <c r="V23" i="3"/>
  <c r="K37" i="2"/>
  <c r="K38" i="2" s="1"/>
  <c r="S42" i="3"/>
  <c r="M182" i="2"/>
  <c r="M127" i="2"/>
  <c r="O34" i="3"/>
  <c r="O29" i="3"/>
  <c r="O30" i="3"/>
  <c r="O31" i="3"/>
  <c r="O32" i="3"/>
  <c r="L16" i="2" l="1"/>
  <c r="L22" i="2" s="1"/>
  <c r="L24" i="2" s="1"/>
  <c r="U26" i="3"/>
  <c r="U87" i="3"/>
  <c r="L20" i="2"/>
  <c r="L101" i="2" s="1"/>
  <c r="J50" i="2"/>
  <c r="J54" i="2" s="1"/>
  <c r="J113" i="2"/>
  <c r="J51" i="2"/>
  <c r="G26" i="1"/>
  <c r="G30" i="1" s="1"/>
  <c r="K48" i="2"/>
  <c r="K50" i="2" s="1"/>
  <c r="K54" i="2" s="1"/>
  <c r="S53" i="3"/>
  <c r="U52" i="3"/>
  <c r="Q60" i="3"/>
  <c r="Q59" i="3"/>
  <c r="Q35" i="3"/>
  <c r="Q34" i="3"/>
  <c r="J129" i="2"/>
  <c r="N69" i="3"/>
  <c r="L65" i="3"/>
  <c r="M65" i="3" s="1"/>
  <c r="H61" i="2" s="1"/>
  <c r="G72" i="2"/>
  <c r="G70" i="2"/>
  <c r="G193" i="2" s="1"/>
  <c r="G157" i="2"/>
  <c r="G180" i="2"/>
  <c r="G183" i="2" s="1"/>
  <c r="K77" i="3"/>
  <c r="K78" i="3"/>
  <c r="M14" i="2"/>
  <c r="W20" i="3"/>
  <c r="K45" i="2"/>
  <c r="K148" i="2"/>
  <c r="H25" i="1"/>
  <c r="K40" i="2"/>
  <c r="K39" i="2"/>
  <c r="AB14" i="3"/>
  <c r="AB20" i="3"/>
  <c r="AB26" i="3" s="1"/>
  <c r="AB46" i="3"/>
  <c r="Z87" i="3"/>
  <c r="AB9" i="3"/>
  <c r="AB13" i="3"/>
  <c r="AB19" i="3" s="1"/>
  <c r="AB25" i="3" s="1"/>
  <c r="AB45" i="3"/>
  <c r="AB10" i="3"/>
  <c r="Z40" i="3"/>
  <c r="Z54" i="3"/>
  <c r="Z52" i="3" s="1"/>
  <c r="Z16" i="3"/>
  <c r="Z22" i="3" s="1"/>
  <c r="Z86" i="3"/>
  <c r="X35" i="3"/>
  <c r="X21" i="3"/>
  <c r="X53" i="3"/>
  <c r="AC110" i="3"/>
  <c r="AC115" i="3"/>
  <c r="AC82" i="3"/>
  <c r="AA112" i="3"/>
  <c r="AA116" i="3" s="1"/>
  <c r="AA39" i="3" s="1"/>
  <c r="O36" i="2" s="1"/>
  <c r="AA8" i="3"/>
  <c r="O96" i="2"/>
  <c r="AA85" i="3"/>
  <c r="N8" i="2"/>
  <c r="N99" i="2" s="1"/>
  <c r="Y14" i="3"/>
  <c r="N14" i="2" s="1"/>
  <c r="Y20" i="3"/>
  <c r="Y26" i="3"/>
  <c r="Y46" i="3"/>
  <c r="U21" i="3"/>
  <c r="L21" i="2" s="1"/>
  <c r="AC97" i="3"/>
  <c r="AC81" i="3"/>
  <c r="AA99" i="3"/>
  <c r="AA7" i="3"/>
  <c r="O95" i="2"/>
  <c r="AA83" i="3"/>
  <c r="AA84" i="3"/>
  <c r="N7" i="2"/>
  <c r="N98" i="2" s="1"/>
  <c r="Y9" i="3"/>
  <c r="Y10" i="3" s="1"/>
  <c r="Y13" i="3"/>
  <c r="Y19" i="3" s="1"/>
  <c r="Y25" i="3" s="1"/>
  <c r="N97" i="2"/>
  <c r="W40" i="3"/>
  <c r="W54" i="3"/>
  <c r="M13" i="2"/>
  <c r="W16" i="3"/>
  <c r="W22" i="3" s="1"/>
  <c r="W86" i="3"/>
  <c r="M19" i="2"/>
  <c r="M100" i="2" s="1"/>
  <c r="E28" i="1"/>
  <c r="E29" i="1"/>
  <c r="E33" i="1" s="1"/>
  <c r="E38" i="1" s="1"/>
  <c r="N90" i="2"/>
  <c r="Y102" i="3"/>
  <c r="AA100" i="3"/>
  <c r="J151" i="2"/>
  <c r="G32" i="1"/>
  <c r="V60" i="3"/>
  <c r="F28" i="1"/>
  <c r="F29" i="1" s="1"/>
  <c r="F33" i="1" s="1"/>
  <c r="F38" i="1" s="1"/>
  <c r="H31" i="1"/>
  <c r="K181" i="2"/>
  <c r="K166" i="2"/>
  <c r="K172" i="2" s="1"/>
  <c r="K128" i="2" s="1"/>
  <c r="K149" i="2"/>
  <c r="K120" i="2"/>
  <c r="X49" i="3"/>
  <c r="X58" i="3"/>
  <c r="X59" i="3" s="1"/>
  <c r="X33" i="3"/>
  <c r="L160" i="2"/>
  <c r="L111" i="2"/>
  <c r="L112" i="2"/>
  <c r="L125" i="2"/>
  <c r="W74" i="3"/>
  <c r="M71" i="2" s="1"/>
  <c r="M140" i="2" s="1"/>
  <c r="M35" i="2"/>
  <c r="S33" i="3"/>
  <c r="S58" i="3"/>
  <c r="S49" i="3"/>
  <c r="S43" i="3"/>
  <c r="S44" i="3"/>
  <c r="N171" i="2"/>
  <c r="N182" i="2" s="1"/>
  <c r="N127" i="2"/>
  <c r="X64" i="3"/>
  <c r="Y64" i="3"/>
  <c r="AB103" i="3"/>
  <c r="AB38" i="3" s="1"/>
  <c r="Y103" i="3"/>
  <c r="Y38" i="3" s="1"/>
  <c r="Y45" i="3" s="1"/>
  <c r="X43" i="3"/>
  <c r="X44" i="3"/>
  <c r="L37" i="2"/>
  <c r="L38" i="2" s="1"/>
  <c r="L40" i="2" s="1"/>
  <c r="U42" i="3"/>
  <c r="U43" i="3" s="1"/>
  <c r="U23" i="3"/>
  <c r="U24" i="3"/>
  <c r="M9" i="2"/>
  <c r="M10" i="2" s="1"/>
  <c r="M98" i="2"/>
  <c r="I27" i="2"/>
  <c r="Q29" i="3"/>
  <c r="J27" i="2" s="1"/>
  <c r="I28" i="2"/>
  <c r="Q30" i="3"/>
  <c r="J28" i="2" s="1"/>
  <c r="I29" i="2"/>
  <c r="Q31" i="3"/>
  <c r="J29" i="2" s="1"/>
  <c r="I30" i="2"/>
  <c r="Q32" i="3"/>
  <c r="J30" i="2" s="1"/>
  <c r="J56" i="2" l="1"/>
  <c r="G27" i="1"/>
  <c r="G28" i="1" s="1"/>
  <c r="G29" i="1" s="1"/>
  <c r="G33" i="1" s="1"/>
  <c r="G38" i="1" s="1"/>
  <c r="J191" i="2"/>
  <c r="J55" i="2"/>
  <c r="K113" i="2"/>
  <c r="M16" i="2"/>
  <c r="M22" i="2" s="1"/>
  <c r="G184" i="2"/>
  <c r="G185" i="2" s="1"/>
  <c r="G186" i="2"/>
  <c r="W26" i="3"/>
  <c r="M20" i="2"/>
  <c r="M101" i="2" s="1"/>
  <c r="W87" i="3"/>
  <c r="W52" i="3"/>
  <c r="K191" i="2"/>
  <c r="H27" i="1"/>
  <c r="L48" i="2"/>
  <c r="L50" i="2" s="1"/>
  <c r="L54" i="2" s="1"/>
  <c r="U53" i="3"/>
  <c r="K51" i="2"/>
  <c r="H26" i="1"/>
  <c r="H30" i="1" s="1"/>
  <c r="K129" i="2"/>
  <c r="N65" i="3"/>
  <c r="P69" i="3"/>
  <c r="H65" i="2"/>
  <c r="H153" i="2"/>
  <c r="G74" i="2"/>
  <c r="G85" i="2" s="1"/>
  <c r="G84" i="2"/>
  <c r="G75" i="2"/>
  <c r="G76" i="2"/>
  <c r="K55" i="2"/>
  <c r="K56" i="2"/>
  <c r="I31" i="2"/>
  <c r="I32" i="2" s="1"/>
  <c r="AB87" i="3"/>
  <c r="AB40" i="3"/>
  <c r="AB44" i="3"/>
  <c r="AB54" i="3"/>
  <c r="AB52" i="3" s="1"/>
  <c r="AB16" i="3"/>
  <c r="AB22" i="3" s="1"/>
  <c r="AB86" i="3"/>
  <c r="Z21" i="3"/>
  <c r="Z42" i="3"/>
  <c r="Z53" i="3"/>
  <c r="AC112" i="3"/>
  <c r="AC116" i="3" s="1"/>
  <c r="AC39" i="3" s="1"/>
  <c r="P36" i="2" s="1"/>
  <c r="AC8" i="3"/>
  <c r="P96" i="2"/>
  <c r="AC85" i="3"/>
  <c r="O8" i="2"/>
  <c r="O99" i="2" s="1"/>
  <c r="AA14" i="3"/>
  <c r="AA46" i="3"/>
  <c r="Y87" i="3"/>
  <c r="N20" i="2"/>
  <c r="N101" i="2" s="1"/>
  <c r="AC99" i="3"/>
  <c r="AC7" i="3"/>
  <c r="P95" i="2"/>
  <c r="AC83" i="3"/>
  <c r="AC84" i="3"/>
  <c r="O7" i="2"/>
  <c r="AA9" i="3"/>
  <c r="AA10" i="3" s="1"/>
  <c r="AA13" i="3"/>
  <c r="AA19" i="3" s="1"/>
  <c r="AA25" i="3" s="1"/>
  <c r="O97" i="2"/>
  <c r="Y40" i="3"/>
  <c r="Y54" i="3"/>
  <c r="N13" i="2"/>
  <c r="N16" i="2" s="1"/>
  <c r="Y16" i="3"/>
  <c r="Y22" i="3" s="1"/>
  <c r="Y86" i="3"/>
  <c r="N19" i="2"/>
  <c r="N100" i="2" s="1"/>
  <c r="W21" i="3"/>
  <c r="M21" i="2" s="1"/>
  <c r="O90" i="2"/>
  <c r="AA102" i="3"/>
  <c r="AC100" i="3"/>
  <c r="AC102" i="3" s="1"/>
  <c r="K151" i="2"/>
  <c r="H32" i="1"/>
  <c r="X60" i="3"/>
  <c r="I31" i="1"/>
  <c r="L181" i="2"/>
  <c r="L166" i="2"/>
  <c r="L172" i="2" s="1"/>
  <c r="L128" i="2" s="1"/>
  <c r="L23" i="2"/>
  <c r="L120" i="2"/>
  <c r="L149" i="2"/>
  <c r="I32" i="1" s="1"/>
  <c r="S31" i="3"/>
  <c r="K29" i="2" s="1"/>
  <c r="S35" i="3"/>
  <c r="S30" i="3"/>
  <c r="K28" i="2" s="1"/>
  <c r="S29" i="3"/>
  <c r="K27" i="2" s="1"/>
  <c r="S34" i="3"/>
  <c r="S32" i="3"/>
  <c r="K30" i="2" s="1"/>
  <c r="S59" i="3"/>
  <c r="S60" i="3"/>
  <c r="Z64" i="3"/>
  <c r="AA64" i="3" s="1"/>
  <c r="O171" i="2"/>
  <c r="AB74" i="3"/>
  <c r="AB42" i="3"/>
  <c r="Y74" i="3"/>
  <c r="N71" i="2" s="1"/>
  <c r="N140" i="2" s="1"/>
  <c r="N35" i="2"/>
  <c r="L45" i="2"/>
  <c r="L148" i="2"/>
  <c r="I25" i="1"/>
  <c r="L39" i="2"/>
  <c r="U33" i="3"/>
  <c r="U58" i="3"/>
  <c r="U59" i="3" s="1"/>
  <c r="U49" i="3"/>
  <c r="U44" i="3"/>
  <c r="M160" i="2"/>
  <c r="M125" i="2"/>
  <c r="M111" i="2"/>
  <c r="M112" i="2"/>
  <c r="AA103" i="3"/>
  <c r="AA38" i="3" s="1"/>
  <c r="AA45" i="3" s="1"/>
  <c r="N9" i="2"/>
  <c r="N10" i="2" s="1"/>
  <c r="N60" i="2"/>
  <c r="N154" i="2" s="1"/>
  <c r="J31" i="2"/>
  <c r="Z23" i="3"/>
  <c r="Z24" i="3"/>
  <c r="M37" i="2"/>
  <c r="M38" i="2" s="1"/>
  <c r="W42" i="3"/>
  <c r="W43" i="3" s="1"/>
  <c r="W23" i="3"/>
  <c r="W24" i="3"/>
  <c r="X34" i="3"/>
  <c r="X30" i="3"/>
  <c r="X31" i="3"/>
  <c r="X32" i="3"/>
  <c r="X29" i="3"/>
  <c r="L113" i="2" l="1"/>
  <c r="O14" i="2"/>
  <c r="AA20" i="3"/>
  <c r="O182" i="2"/>
  <c r="O127" i="2"/>
  <c r="P171" i="2" s="1"/>
  <c r="L51" i="2"/>
  <c r="I26" i="1"/>
  <c r="I30" i="1" s="1"/>
  <c r="M48" i="2"/>
  <c r="M50" i="2" s="1"/>
  <c r="M54" i="2" s="1"/>
  <c r="M55" i="2" s="1"/>
  <c r="Y52" i="3"/>
  <c r="W53" i="3"/>
  <c r="H28" i="1"/>
  <c r="H29" i="1" s="1"/>
  <c r="H33" i="1" s="1"/>
  <c r="H38" i="1" s="1"/>
  <c r="AC103" i="3"/>
  <c r="AC38" i="3" s="1"/>
  <c r="L129" i="2"/>
  <c r="O65" i="3"/>
  <c r="I61" i="2" s="1"/>
  <c r="P65" i="3"/>
  <c r="Q65" i="3" s="1"/>
  <c r="J61" i="2" s="1"/>
  <c r="R69" i="3"/>
  <c r="G86" i="2"/>
  <c r="G88" i="2"/>
  <c r="L151" i="2"/>
  <c r="J32" i="2"/>
  <c r="N37" i="2"/>
  <c r="N38" i="2" s="1"/>
  <c r="Y42" i="3"/>
  <c r="Y43" i="3" s="1"/>
  <c r="AB35" i="3"/>
  <c r="AB21" i="3"/>
  <c r="Z43" i="3"/>
  <c r="Z44" i="3"/>
  <c r="Z33" i="3"/>
  <c r="Z58" i="3"/>
  <c r="Z49" i="3"/>
  <c r="AB43" i="3"/>
  <c r="P8" i="2"/>
  <c r="P99" i="2" s="1"/>
  <c r="AC14" i="3"/>
  <c r="P14" i="2" s="1"/>
  <c r="AC20" i="3"/>
  <c r="AC26" i="3" s="1"/>
  <c r="AC46" i="3"/>
  <c r="P7" i="2"/>
  <c r="P98" i="2" s="1"/>
  <c r="AC9" i="3"/>
  <c r="AC10" i="3" s="1"/>
  <c r="AC13" i="3"/>
  <c r="AC19" i="3" s="1"/>
  <c r="AC25" i="3" s="1"/>
  <c r="P97" i="2"/>
  <c r="AA40" i="3"/>
  <c r="AA54" i="3"/>
  <c r="O13" i="2"/>
  <c r="AA16" i="3"/>
  <c r="AA22" i="3" s="1"/>
  <c r="O19" i="2"/>
  <c r="O100" i="2" s="1"/>
  <c r="AA86" i="3"/>
  <c r="Y21" i="3"/>
  <c r="N21" i="2" s="1"/>
  <c r="P90" i="2"/>
  <c r="AB64" i="3"/>
  <c r="AC64" i="3" s="1"/>
  <c r="P60" i="2" s="1"/>
  <c r="P154" i="2" s="1"/>
  <c r="AB49" i="3"/>
  <c r="AB58" i="3"/>
  <c r="AB33" i="3"/>
  <c r="L56" i="2"/>
  <c r="L55" i="2"/>
  <c r="L191" i="2"/>
  <c r="I27" i="1"/>
  <c r="U35" i="3"/>
  <c r="U60" i="3"/>
  <c r="J31" i="1"/>
  <c r="M181" i="2"/>
  <c r="M166" i="2"/>
  <c r="M172" i="2" s="1"/>
  <c r="M128" i="2" s="1"/>
  <c r="M149" i="2"/>
  <c r="J32" i="1" s="1"/>
  <c r="M120" i="2"/>
  <c r="AA74" i="3"/>
  <c r="O35" i="2"/>
  <c r="N160" i="2"/>
  <c r="N125" i="2"/>
  <c r="N22" i="2"/>
  <c r="N24" i="2"/>
  <c r="N111" i="2"/>
  <c r="N112" i="2"/>
  <c r="M148" i="2"/>
  <c r="M151" i="2" s="1"/>
  <c r="J25" i="1"/>
  <c r="M45" i="2"/>
  <c r="W33" i="3"/>
  <c r="W58" i="3"/>
  <c r="W59" i="3" s="1"/>
  <c r="W49" i="3"/>
  <c r="W44" i="3"/>
  <c r="AB53" i="3"/>
  <c r="O60" i="2"/>
  <c r="O154" i="2" s="1"/>
  <c r="K31" i="2"/>
  <c r="AB23" i="3"/>
  <c r="AB24" i="3"/>
  <c r="O9" i="2"/>
  <c r="O10" i="2" s="1"/>
  <c r="O98" i="2"/>
  <c r="Y24" i="3"/>
  <c r="Y23" i="3"/>
  <c r="U31" i="3"/>
  <c r="L29" i="2" s="1"/>
  <c r="U32" i="3"/>
  <c r="L30" i="2" s="1"/>
  <c r="U34" i="3"/>
  <c r="U30" i="3"/>
  <c r="L28" i="2" s="1"/>
  <c r="U29" i="3"/>
  <c r="L27" i="2" s="1"/>
  <c r="M24" i="2"/>
  <c r="M23" i="2"/>
  <c r="M39" i="2"/>
  <c r="M40" i="2"/>
  <c r="AA52" i="3" l="1"/>
  <c r="M113" i="2"/>
  <c r="O16" i="2"/>
  <c r="O22" i="2" s="1"/>
  <c r="AA26" i="3"/>
  <c r="AA87" i="3"/>
  <c r="O20" i="2"/>
  <c r="O101" i="2" s="1"/>
  <c r="N48" i="2"/>
  <c r="N50" i="2" s="1"/>
  <c r="Y53" i="3"/>
  <c r="M51" i="2"/>
  <c r="J26" i="1"/>
  <c r="J30" i="1" s="1"/>
  <c r="K26" i="1"/>
  <c r="K30" i="1" s="1"/>
  <c r="N51" i="2"/>
  <c r="N113" i="2"/>
  <c r="P35" i="2"/>
  <c r="AC45" i="3"/>
  <c r="M129" i="2"/>
  <c r="I65" i="2"/>
  <c r="I153" i="2"/>
  <c r="J65" i="2"/>
  <c r="J153" i="2"/>
  <c r="R65" i="3"/>
  <c r="S65" i="3" s="1"/>
  <c r="K61" i="2" s="1"/>
  <c r="T69" i="3"/>
  <c r="G89" i="2"/>
  <c r="G91" i="2"/>
  <c r="G92" i="2"/>
  <c r="L31" i="2"/>
  <c r="L32" i="2" s="1"/>
  <c r="N40" i="2"/>
  <c r="N39" i="2"/>
  <c r="K25" i="1"/>
  <c r="N148" i="2"/>
  <c r="N45" i="2"/>
  <c r="N54" i="2"/>
  <c r="Y44" i="3"/>
  <c r="Y49" i="3"/>
  <c r="Y58" i="3"/>
  <c r="Y33" i="3"/>
  <c r="Z32" i="3"/>
  <c r="Z30" i="3"/>
  <c r="Z34" i="3"/>
  <c r="Z31" i="3"/>
  <c r="Z29" i="3"/>
  <c r="Z35" i="3"/>
  <c r="AB34" i="3"/>
  <c r="AB29" i="3"/>
  <c r="AB30" i="3"/>
  <c r="AB31" i="3"/>
  <c r="AB32" i="3"/>
  <c r="Z59" i="3"/>
  <c r="Z60" i="3"/>
  <c r="AB59" i="3"/>
  <c r="AC87" i="3"/>
  <c r="P20" i="2"/>
  <c r="P101" i="2" s="1"/>
  <c r="AC40" i="3"/>
  <c r="AC54" i="3"/>
  <c r="P13" i="2"/>
  <c r="P16" i="2" s="1"/>
  <c r="AC16" i="3"/>
  <c r="AC22" i="3" s="1"/>
  <c r="P19" i="2"/>
  <c r="P100" i="2" s="1"/>
  <c r="AC86" i="3"/>
  <c r="AA21" i="3"/>
  <c r="O21" i="2" s="1"/>
  <c r="AB60" i="3"/>
  <c r="I28" i="1"/>
  <c r="I29" i="1" s="1"/>
  <c r="I33" i="1" s="1"/>
  <c r="I38" i="1" s="1"/>
  <c r="K31" i="1"/>
  <c r="N181" i="2"/>
  <c r="N166" i="2"/>
  <c r="N172" i="2" s="1"/>
  <c r="N128" i="2" s="1"/>
  <c r="N23" i="2"/>
  <c r="N149" i="2"/>
  <c r="N120" i="2"/>
  <c r="M56" i="2"/>
  <c r="M191" i="2"/>
  <c r="J27" i="1"/>
  <c r="W35" i="3"/>
  <c r="W60" i="3"/>
  <c r="K32" i="2"/>
  <c r="O160" i="2"/>
  <c r="O111" i="2"/>
  <c r="O112" i="2"/>
  <c r="O125" i="2"/>
  <c r="P9" i="2"/>
  <c r="P10" i="2" s="1"/>
  <c r="O37" i="2"/>
  <c r="O38" i="2" s="1"/>
  <c r="AA42" i="3"/>
  <c r="AA23" i="3"/>
  <c r="AA24" i="3"/>
  <c r="P182" i="2"/>
  <c r="P127" i="2"/>
  <c r="O71" i="2"/>
  <c r="O140" i="2" s="1"/>
  <c r="AC74" i="3"/>
  <c r="P71" i="2" s="1"/>
  <c r="W34" i="3"/>
  <c r="W29" i="3"/>
  <c r="W30" i="3"/>
  <c r="W31" i="3"/>
  <c r="W32" i="3"/>
  <c r="AC52" i="3" l="1"/>
  <c r="O48" i="2"/>
  <c r="O50" i="2" s="1"/>
  <c r="AA53" i="3"/>
  <c r="P140" i="2"/>
  <c r="Y59" i="3"/>
  <c r="Y60" i="3"/>
  <c r="Y35" i="3"/>
  <c r="Y34" i="3"/>
  <c r="N56" i="2"/>
  <c r="K27" i="1"/>
  <c r="K28" i="1" s="1"/>
  <c r="K29" i="1" s="1"/>
  <c r="N191" i="2"/>
  <c r="N55" i="2"/>
  <c r="N129" i="2"/>
  <c r="K65" i="2"/>
  <c r="K153" i="2"/>
  <c r="V69" i="3"/>
  <c r="T65" i="3"/>
  <c r="U65" i="3" s="1"/>
  <c r="L61" i="2" s="1"/>
  <c r="G169" i="2"/>
  <c r="G174" i="2" s="1"/>
  <c r="G177" i="2" s="1"/>
  <c r="G110" i="2" s="1"/>
  <c r="G138" i="2"/>
  <c r="G141" i="2" s="1"/>
  <c r="O23" i="2"/>
  <c r="O24" i="2"/>
  <c r="O54" i="2"/>
  <c r="O45" i="2"/>
  <c r="O148" i="2"/>
  <c r="O40" i="2"/>
  <c r="L25" i="1"/>
  <c r="O39" i="2"/>
  <c r="AC21" i="3"/>
  <c r="P21" i="2" s="1"/>
  <c r="AC42" i="3"/>
  <c r="AC43" i="3" s="1"/>
  <c r="P37" i="2"/>
  <c r="P38" i="2" s="1"/>
  <c r="P40" i="2" s="1"/>
  <c r="N151" i="2"/>
  <c r="K32" i="1"/>
  <c r="J28" i="1"/>
  <c r="J29" i="1" s="1"/>
  <c r="J33" i="1" s="1"/>
  <c r="J38" i="1" s="1"/>
  <c r="O113" i="2"/>
  <c r="L31" i="1"/>
  <c r="O181" i="2"/>
  <c r="O166" i="2"/>
  <c r="O172" i="2" s="1"/>
  <c r="O128" i="2" s="1"/>
  <c r="O149" i="2"/>
  <c r="O120" i="2"/>
  <c r="P160" i="2"/>
  <c r="P111" i="2"/>
  <c r="P112" i="2"/>
  <c r="P125" i="2"/>
  <c r="P22" i="2"/>
  <c r="AA33" i="3"/>
  <c r="AA58" i="3"/>
  <c r="AA49" i="3"/>
  <c r="AA43" i="3"/>
  <c r="AA44" i="3"/>
  <c r="AC23" i="3"/>
  <c r="AC24" i="3"/>
  <c r="M27" i="2"/>
  <c r="Y29" i="3"/>
  <c r="N27" i="2" s="1"/>
  <c r="M28" i="2"/>
  <c r="Y30" i="3"/>
  <c r="N28" i="2" s="1"/>
  <c r="M29" i="2"/>
  <c r="Y31" i="3"/>
  <c r="N29" i="2" s="1"/>
  <c r="M30" i="2"/>
  <c r="Y32" i="3"/>
  <c r="N30" i="2" s="1"/>
  <c r="O51" i="2" l="1"/>
  <c r="L26" i="1"/>
  <c r="L30" i="1" s="1"/>
  <c r="P48" i="2"/>
  <c r="P50" i="2" s="1"/>
  <c r="AC53" i="3"/>
  <c r="P113" i="2"/>
  <c r="O129" i="2"/>
  <c r="V65" i="3"/>
  <c r="W65" i="3" s="1"/>
  <c r="M61" i="2" s="1"/>
  <c r="X69" i="3"/>
  <c r="L65" i="2"/>
  <c r="L153" i="2"/>
  <c r="L63" i="3"/>
  <c r="G131" i="2"/>
  <c r="G190" i="2" s="1"/>
  <c r="G117" i="2"/>
  <c r="G144" i="2" s="1"/>
  <c r="O56" i="2"/>
  <c r="O55" i="2"/>
  <c r="K33" i="1"/>
  <c r="K38" i="1" s="1"/>
  <c r="M31" i="2"/>
  <c r="M32" i="2" s="1"/>
  <c r="G143" i="2"/>
  <c r="G142" i="2"/>
  <c r="O191" i="2"/>
  <c r="L27" i="1"/>
  <c r="AC44" i="3"/>
  <c r="AC33" i="3"/>
  <c r="AC58" i="3"/>
  <c r="AC59" i="3" s="1"/>
  <c r="AC49" i="3"/>
  <c r="P39" i="2"/>
  <c r="M25" i="1"/>
  <c r="P54" i="2"/>
  <c r="P148" i="2"/>
  <c r="P45" i="2"/>
  <c r="O151" i="2"/>
  <c r="L32" i="1"/>
  <c r="M31" i="1"/>
  <c r="P181" i="2"/>
  <c r="P166" i="2"/>
  <c r="P172" i="2" s="1"/>
  <c r="P128" i="2" s="1"/>
  <c r="P120" i="2"/>
  <c r="P149" i="2"/>
  <c r="M32" i="1" s="1"/>
  <c r="AA34" i="3"/>
  <c r="AA29" i="3"/>
  <c r="O27" i="2" s="1"/>
  <c r="AA32" i="3"/>
  <c r="O30" i="2" s="1"/>
  <c r="AA30" i="3"/>
  <c r="O28" i="2" s="1"/>
  <c r="AA31" i="3"/>
  <c r="O29" i="2" s="1"/>
  <c r="AA35" i="3"/>
  <c r="AA59" i="3"/>
  <c r="AA60" i="3"/>
  <c r="N31" i="2"/>
  <c r="P23" i="2"/>
  <c r="P24" i="2"/>
  <c r="P51" i="2" l="1"/>
  <c r="M26" i="1"/>
  <c r="M30" i="1" s="1"/>
  <c r="L28" i="1"/>
  <c r="L29" i="1" s="1"/>
  <c r="L33" i="1" s="1"/>
  <c r="L38" i="1" s="1"/>
  <c r="M65" i="2"/>
  <c r="M153" i="2"/>
  <c r="Z69" i="3"/>
  <c r="X65" i="3"/>
  <c r="Y65" i="3" s="1"/>
  <c r="N61" i="2" s="1"/>
  <c r="L66" i="3"/>
  <c r="L71" i="3" s="1"/>
  <c r="M63" i="3"/>
  <c r="G132" i="2"/>
  <c r="G134" i="2"/>
  <c r="G133" i="2"/>
  <c r="N32" i="2"/>
  <c r="G192" i="2"/>
  <c r="G194" i="2"/>
  <c r="P129" i="2"/>
  <c r="AC60" i="3"/>
  <c r="P55" i="2"/>
  <c r="P56" i="2"/>
  <c r="M27" i="1"/>
  <c r="P191" i="2"/>
  <c r="O31" i="2"/>
  <c r="P151" i="2"/>
  <c r="AC35" i="3"/>
  <c r="AC34" i="3"/>
  <c r="AC29" i="3"/>
  <c r="P27" i="2" s="1"/>
  <c r="AC30" i="3"/>
  <c r="P28" i="2" s="1"/>
  <c r="AC31" i="3"/>
  <c r="P29" i="2" s="1"/>
  <c r="AC32" i="3"/>
  <c r="P30" i="2" s="1"/>
  <c r="M66" i="3" l="1"/>
  <c r="M71" i="3" s="1"/>
  <c r="M72" i="3" s="1"/>
  <c r="M75" i="3" s="1"/>
  <c r="H59" i="2"/>
  <c r="Z65" i="3"/>
  <c r="AA65" i="3" s="1"/>
  <c r="O61" i="2" s="1"/>
  <c r="AB69" i="3"/>
  <c r="AB65" i="3" s="1"/>
  <c r="N65" i="2"/>
  <c r="N153" i="2"/>
  <c r="L72" i="3"/>
  <c r="M28" i="1"/>
  <c r="M29" i="1" s="1"/>
  <c r="O32" i="2"/>
  <c r="P31" i="2"/>
  <c r="P32" i="2" s="1"/>
  <c r="M77" i="3" l="1"/>
  <c r="M78" i="3"/>
  <c r="H69" i="2"/>
  <c r="H155" i="2" s="1"/>
  <c r="L75" i="3"/>
  <c r="H152" i="2"/>
  <c r="H62" i="2"/>
  <c r="H68" i="2" s="1"/>
  <c r="H63" i="2"/>
  <c r="O65" i="2"/>
  <c r="O153" i="2"/>
  <c r="AC65" i="3"/>
  <c r="P61" i="2" s="1"/>
  <c r="M33" i="1"/>
  <c r="M38" i="1" s="1"/>
  <c r="C41" i="1" s="1"/>
  <c r="M34" i="1"/>
  <c r="M35" i="1" s="1"/>
  <c r="M39" i="1" s="1"/>
  <c r="C42" i="1" s="1"/>
  <c r="L78" i="3" l="1"/>
  <c r="L77" i="3"/>
  <c r="H156" i="2"/>
  <c r="H70" i="2"/>
  <c r="H193" i="2" s="1"/>
  <c r="H72" i="2"/>
  <c r="P65" i="2"/>
  <c r="P153" i="2"/>
  <c r="C43" i="1"/>
  <c r="C47" i="1" s="1"/>
  <c r="C48" i="1" s="1"/>
  <c r="C49" i="1" s="1"/>
  <c r="H84" i="2" l="1"/>
  <c r="H75" i="2"/>
  <c r="H76" i="2"/>
  <c r="H74" i="2"/>
  <c r="H85" i="2" s="1"/>
  <c r="H180" i="2"/>
  <c r="H183" i="2" s="1"/>
  <c r="H157" i="2"/>
  <c r="H88" i="2" l="1"/>
  <c r="H86" i="2"/>
  <c r="H186" i="2"/>
  <c r="H184" i="2"/>
  <c r="H185" i="2" s="1"/>
  <c r="H89" i="2"/>
  <c r="H92" i="2"/>
  <c r="H91" i="2"/>
  <c r="H169" i="2" l="1"/>
  <c r="H174" i="2" s="1"/>
  <c r="H177" i="2" s="1"/>
  <c r="H110" i="2" s="1"/>
  <c r="H138" i="2"/>
  <c r="H141" i="2" s="1"/>
  <c r="H142" i="2" l="1"/>
  <c r="H143" i="2"/>
  <c r="H117" i="2"/>
  <c r="H144" i="2" s="1"/>
  <c r="H131" i="2"/>
  <c r="N63" i="3"/>
  <c r="H132" i="2" l="1"/>
  <c r="H134" i="2"/>
  <c r="H133" i="2"/>
  <c r="H190" i="2"/>
  <c r="N66" i="3"/>
  <c r="N71" i="3" s="1"/>
  <c r="O63" i="3"/>
  <c r="O66" i="3" l="1"/>
  <c r="O71" i="3" s="1"/>
  <c r="O72" i="3" s="1"/>
  <c r="O75" i="3" s="1"/>
  <c r="O78" i="3" s="1"/>
  <c r="I59" i="2"/>
  <c r="H194" i="2"/>
  <c r="H192" i="2"/>
  <c r="O77" i="3"/>
  <c r="N72" i="3"/>
  <c r="I152" i="2" l="1"/>
  <c r="I63" i="2"/>
  <c r="I62" i="2"/>
  <c r="I68" i="2" s="1"/>
  <c r="I69" i="2"/>
  <c r="N75" i="3"/>
  <c r="I155" i="2" l="1"/>
  <c r="I156" i="2" s="1"/>
  <c r="I70" i="2"/>
  <c r="I193" i="2" s="1"/>
  <c r="I72" i="2"/>
  <c r="N78" i="3"/>
  <c r="N77" i="3"/>
  <c r="I75" i="2" l="1"/>
  <c r="I74" i="2"/>
  <c r="I85" i="2" s="1"/>
  <c r="I157" i="2"/>
  <c r="I180" i="2"/>
  <c r="I183" i="2" s="1"/>
  <c r="I84" i="2"/>
  <c r="I76" i="2"/>
  <c r="I184" i="2" l="1"/>
  <c r="I185" i="2" s="1"/>
  <c r="I186" i="2"/>
  <c r="I86" i="2"/>
  <c r="I88" i="2"/>
  <c r="I89" i="2" s="1"/>
  <c r="I91" i="2"/>
  <c r="I92" i="2"/>
  <c r="I169" i="2" l="1"/>
  <c r="I174" i="2" s="1"/>
  <c r="I177" i="2" s="1"/>
  <c r="I110" i="2" s="1"/>
  <c r="I138" i="2"/>
  <c r="I141" i="2" s="1"/>
  <c r="I117" i="2" l="1"/>
  <c r="I144" i="2" s="1"/>
  <c r="I131" i="2"/>
  <c r="I190" i="2" s="1"/>
  <c r="P63" i="3"/>
  <c r="I143" i="2"/>
  <c r="I142" i="2"/>
  <c r="I132" i="2" l="1"/>
  <c r="I134" i="2"/>
  <c r="I133" i="2"/>
  <c r="P66" i="3"/>
  <c r="P71" i="3" s="1"/>
  <c r="Q63" i="3"/>
  <c r="I194" i="2"/>
  <c r="I192" i="2"/>
  <c r="P72" i="3" l="1"/>
  <c r="Q66" i="3"/>
  <c r="Q71" i="3" s="1"/>
  <c r="Q72" i="3" s="1"/>
  <c r="Q75" i="3" s="1"/>
  <c r="J59" i="2"/>
  <c r="J69" i="2" l="1"/>
  <c r="J155" i="2" s="1"/>
  <c r="P75" i="3"/>
  <c r="P77" i="3"/>
  <c r="P78" i="3"/>
  <c r="Q78" i="3"/>
  <c r="Q77" i="3"/>
  <c r="J63" i="2"/>
  <c r="J62" i="2"/>
  <c r="J68" i="2" s="1"/>
  <c r="J152" i="2"/>
  <c r="J156" i="2" l="1"/>
  <c r="J72" i="2"/>
  <c r="J70" i="2"/>
  <c r="J193" i="2" s="1"/>
  <c r="J157" i="2" l="1"/>
  <c r="J180" i="2"/>
  <c r="J183" i="2" s="1"/>
  <c r="J75" i="2"/>
  <c r="J76" i="2"/>
  <c r="J74" i="2"/>
  <c r="J85" i="2" s="1"/>
  <c r="J84" i="2"/>
  <c r="J184" i="2" l="1"/>
  <c r="J185" i="2" s="1"/>
  <c r="J186" i="2"/>
  <c r="J88" i="2"/>
  <c r="J86" i="2"/>
  <c r="J89" i="2" l="1"/>
  <c r="J91" i="2"/>
  <c r="J92" i="2"/>
  <c r="J138" i="2" l="1"/>
  <c r="J141" i="2" s="1"/>
  <c r="J169" i="2"/>
  <c r="J174" i="2" s="1"/>
  <c r="J177" i="2" s="1"/>
  <c r="J110" i="2" s="1"/>
  <c r="J143" i="2" l="1"/>
  <c r="J142" i="2"/>
  <c r="R63" i="3"/>
  <c r="J131" i="2"/>
  <c r="J190" i="2" s="1"/>
  <c r="J117" i="2"/>
  <c r="J144" i="2" s="1"/>
  <c r="J194" i="2" l="1"/>
  <c r="J192" i="2"/>
  <c r="R66" i="3"/>
  <c r="R71" i="3" s="1"/>
  <c r="S63" i="3"/>
  <c r="J134" i="2"/>
  <c r="J132" i="2"/>
  <c r="J133" i="2"/>
  <c r="S66" i="3" l="1"/>
  <c r="S71" i="3" s="1"/>
  <c r="S72" i="3" s="1"/>
  <c r="S75" i="3" s="1"/>
  <c r="K59" i="2"/>
  <c r="R72" i="3"/>
  <c r="K152" i="2" l="1"/>
  <c r="K63" i="2"/>
  <c r="K62" i="2"/>
  <c r="K68" i="2" s="1"/>
  <c r="S77" i="3"/>
  <c r="S78" i="3"/>
  <c r="K69" i="2"/>
  <c r="R75" i="3"/>
  <c r="K72" i="2" l="1"/>
  <c r="K155" i="2"/>
  <c r="K156" i="2" s="1"/>
  <c r="K70" i="2"/>
  <c r="K193" i="2" s="1"/>
  <c r="R77" i="3"/>
  <c r="R78" i="3"/>
  <c r="K75" i="2" l="1"/>
  <c r="K74" i="2"/>
  <c r="K85" i="2" s="1"/>
  <c r="K84" i="2"/>
  <c r="K76" i="2"/>
  <c r="K180" i="2"/>
  <c r="K183" i="2" s="1"/>
  <c r="K157" i="2"/>
  <c r="K86" i="2" l="1"/>
  <c r="K88" i="2"/>
  <c r="K184" i="2"/>
  <c r="K185" i="2" s="1"/>
  <c r="K186" i="2"/>
  <c r="K91" i="2" l="1"/>
  <c r="K92" i="2"/>
  <c r="K89" i="2"/>
  <c r="K138" i="2" l="1"/>
  <c r="K141" i="2" s="1"/>
  <c r="K169" i="2"/>
  <c r="K174" i="2" s="1"/>
  <c r="K177" i="2" s="1"/>
  <c r="K110" i="2" s="1"/>
  <c r="T63" i="3" s="1"/>
  <c r="K142" i="2" l="1"/>
  <c r="K143" i="2"/>
  <c r="K117" i="2"/>
  <c r="K144" i="2" s="1"/>
  <c r="K131" i="2"/>
  <c r="T66" i="3"/>
  <c r="T71" i="3" s="1"/>
  <c r="U63" i="3"/>
  <c r="K134" i="2"/>
  <c r="K190" i="2" l="1"/>
  <c r="K132" i="2"/>
  <c r="K133" i="2"/>
  <c r="T72" i="3"/>
  <c r="U66" i="3"/>
  <c r="U71" i="3" s="1"/>
  <c r="U72" i="3" s="1"/>
  <c r="U75" i="3" s="1"/>
  <c r="L59" i="2"/>
  <c r="K192" i="2" l="1"/>
  <c r="K194" i="2"/>
  <c r="U78" i="3"/>
  <c r="U77" i="3"/>
  <c r="L62" i="2"/>
  <c r="L68" i="2" s="1"/>
  <c r="L152" i="2"/>
  <c r="L63" i="2"/>
  <c r="L69" i="2"/>
  <c r="L155" i="2" s="1"/>
  <c r="T75" i="3"/>
  <c r="L156" i="2" l="1"/>
  <c r="L70" i="2"/>
  <c r="L193" i="2" s="1"/>
  <c r="L72" i="2"/>
  <c r="T77" i="3"/>
  <c r="T78" i="3"/>
  <c r="L180" i="2" l="1"/>
  <c r="L183" i="2" s="1"/>
  <c r="L157" i="2"/>
  <c r="L74" i="2"/>
  <c r="L84" i="2"/>
  <c r="L76" i="2"/>
  <c r="L75" i="2"/>
  <c r="L186" i="2" l="1"/>
  <c r="L184" i="2"/>
  <c r="L185" i="2" s="1"/>
  <c r="L85" i="2"/>
  <c r="L88" i="2"/>
  <c r="L86" i="2"/>
  <c r="L89" i="2" l="1"/>
  <c r="L91" i="2"/>
  <c r="L92" i="2"/>
  <c r="L138" i="2" l="1"/>
  <c r="L141" i="2" s="1"/>
  <c r="L169" i="2"/>
  <c r="L174" i="2" s="1"/>
  <c r="L177" i="2" s="1"/>
  <c r="L110" i="2" s="1"/>
  <c r="L142" i="2" l="1"/>
  <c r="L143" i="2"/>
  <c r="L117" i="2"/>
  <c r="L144" i="2" s="1"/>
  <c r="L131" i="2"/>
  <c r="L190" i="2" s="1"/>
  <c r="V63" i="3"/>
  <c r="L194" i="2" l="1"/>
  <c r="L192" i="2"/>
  <c r="L132" i="2"/>
  <c r="L134" i="2"/>
  <c r="L133" i="2"/>
  <c r="M59" i="2"/>
  <c r="V66" i="3"/>
  <c r="V71" i="3" s="1"/>
  <c r="W63" i="3"/>
  <c r="W66" i="3" s="1"/>
  <c r="W71" i="3" s="1"/>
  <c r="W72" i="3" s="1"/>
  <c r="W75" i="3" s="1"/>
  <c r="M63" i="2" l="1"/>
  <c r="M62" i="2"/>
  <c r="M68" i="2" s="1"/>
  <c r="M152" i="2"/>
  <c r="V72" i="3"/>
  <c r="W77" i="3"/>
  <c r="W78" i="3"/>
  <c r="M69" i="2" l="1"/>
  <c r="V75" i="3"/>
  <c r="M155" i="2" l="1"/>
  <c r="M156" i="2" s="1"/>
  <c r="M72" i="2"/>
  <c r="M70" i="2"/>
  <c r="M193" i="2" s="1"/>
  <c r="V77" i="3"/>
  <c r="V78" i="3"/>
  <c r="M84" i="2" l="1"/>
  <c r="M74" i="2"/>
  <c r="M85" i="2" s="1"/>
  <c r="M76" i="2"/>
  <c r="M75" i="2"/>
  <c r="M180" i="2"/>
  <c r="M183" i="2" s="1"/>
  <c r="M157" i="2"/>
  <c r="M88" i="2" l="1"/>
  <c r="M86" i="2"/>
  <c r="M184" i="2"/>
  <c r="M185" i="2" s="1"/>
  <c r="M186" i="2"/>
  <c r="M89" i="2" l="1"/>
  <c r="M91" i="2"/>
  <c r="M92" i="2"/>
  <c r="M138" i="2"/>
  <c r="M141" i="2" s="1"/>
  <c r="M169" i="2"/>
  <c r="M174" i="2" s="1"/>
  <c r="M177" i="2" s="1"/>
  <c r="M110" i="2" s="1"/>
  <c r="M142" i="2" l="1"/>
  <c r="M143" i="2"/>
  <c r="M117" i="2"/>
  <c r="M144" i="2" s="1"/>
  <c r="M131" i="2"/>
  <c r="M190" i="2" s="1"/>
  <c r="X63" i="3"/>
  <c r="M194" i="2" l="1"/>
  <c r="M192" i="2"/>
  <c r="M132" i="2"/>
  <c r="M134" i="2"/>
  <c r="M133" i="2"/>
  <c r="X66" i="3"/>
  <c r="X71" i="3" s="1"/>
  <c r="Y63" i="3"/>
  <c r="Y66" i="3" l="1"/>
  <c r="Y71" i="3" s="1"/>
  <c r="Y72" i="3" s="1"/>
  <c r="Y75" i="3" s="1"/>
  <c r="N59" i="2"/>
  <c r="X72" i="3"/>
  <c r="Y78" i="3" l="1"/>
  <c r="Y77" i="3"/>
  <c r="N152" i="2"/>
  <c r="N63" i="2"/>
  <c r="N62" i="2"/>
  <c r="N68" i="2" s="1"/>
  <c r="N69" i="2"/>
  <c r="X75" i="3"/>
  <c r="N155" i="2" l="1"/>
  <c r="N156" i="2" s="1"/>
  <c r="N72" i="2"/>
  <c r="N70" i="2"/>
  <c r="N193" i="2" s="1"/>
  <c r="X78" i="3"/>
  <c r="X77" i="3"/>
  <c r="N157" i="2" l="1"/>
  <c r="N180" i="2"/>
  <c r="N183" i="2" s="1"/>
  <c r="N84" i="2"/>
  <c r="N76" i="2"/>
  <c r="N75" i="2"/>
  <c r="N74" i="2"/>
  <c r="N85" i="2" s="1"/>
  <c r="N184" i="2" l="1"/>
  <c r="N185" i="2" s="1"/>
  <c r="N186" i="2"/>
  <c r="N88" i="2"/>
  <c r="N89" i="2" s="1"/>
  <c r="N86" i="2"/>
  <c r="N91" i="2" l="1"/>
  <c r="N92" i="2"/>
  <c r="N138" i="2"/>
  <c r="N141" i="2" s="1"/>
  <c r="N169" i="2"/>
  <c r="N174" i="2" s="1"/>
  <c r="N177" i="2" s="1"/>
  <c r="N110" i="2" s="1"/>
  <c r="N142" i="2" l="1"/>
  <c r="N143" i="2"/>
  <c r="N190" i="2"/>
  <c r="N117" i="2"/>
  <c r="N144" i="2" s="1"/>
  <c r="N131" i="2"/>
  <c r="Z63" i="3"/>
  <c r="N194" i="2" l="1"/>
  <c r="N192" i="2"/>
  <c r="N132" i="2"/>
  <c r="N133" i="2"/>
  <c r="N134" i="2"/>
  <c r="O59" i="2"/>
  <c r="Z66" i="3"/>
  <c r="Z71" i="3" s="1"/>
  <c r="AA63" i="3"/>
  <c r="AA66" i="3" s="1"/>
  <c r="AA71" i="3" s="1"/>
  <c r="O63" i="2" l="1"/>
  <c r="O152" i="2"/>
  <c r="O62" i="2"/>
  <c r="O68" i="2" s="1"/>
  <c r="Z72" i="3"/>
  <c r="AA72" i="3"/>
  <c r="AA75" i="3"/>
  <c r="O69" i="2" l="1"/>
  <c r="Z75" i="3"/>
  <c r="AA77" i="3"/>
  <c r="AA78" i="3"/>
  <c r="O155" i="2" l="1"/>
  <c r="O156" i="2" s="1"/>
  <c r="O70" i="2"/>
  <c r="O193" i="2" s="1"/>
  <c r="O72" i="2"/>
  <c r="Z78" i="3"/>
  <c r="Z77" i="3"/>
  <c r="O180" i="2" l="1"/>
  <c r="O183" i="2" s="1"/>
  <c r="O157" i="2"/>
  <c r="O76" i="2"/>
  <c r="O75" i="2"/>
  <c r="O74" i="2"/>
  <c r="O85" i="2" s="1"/>
  <c r="O84" i="2"/>
  <c r="O184" i="2" l="1"/>
  <c r="O185" i="2" s="1"/>
  <c r="O186" i="2"/>
  <c r="O88" i="2"/>
  <c r="O86" i="2"/>
  <c r="O91" i="2" l="1"/>
  <c r="O89" i="2"/>
  <c r="O92" i="2"/>
  <c r="O169" i="2" l="1"/>
  <c r="O174" i="2" s="1"/>
  <c r="O177" i="2" s="1"/>
  <c r="O110" i="2" s="1"/>
  <c r="O138" i="2"/>
  <c r="O141" i="2" s="1"/>
  <c r="O131" i="2" l="1"/>
  <c r="O117" i="2"/>
  <c r="AB63" i="3"/>
  <c r="O143" i="2"/>
  <c r="O142" i="2"/>
  <c r="O190" i="2"/>
  <c r="O144" i="2"/>
  <c r="O194" i="2"/>
  <c r="O192" i="2"/>
  <c r="O132" i="2"/>
  <c r="O134" i="2"/>
  <c r="O133" i="2"/>
  <c r="AC63" i="3" l="1"/>
  <c r="AB66" i="3"/>
  <c r="AB71" i="3" s="1"/>
  <c r="AB72" i="3"/>
  <c r="AC66" i="3" l="1"/>
  <c r="AC71" i="3" s="1"/>
  <c r="AC72" i="3" s="1"/>
  <c r="AC75" i="3" s="1"/>
  <c r="P59" i="2"/>
  <c r="P69" i="2"/>
  <c r="AB75" i="3"/>
  <c r="P62" i="2" l="1"/>
  <c r="P68" i="2" s="1"/>
  <c r="P152" i="2"/>
  <c r="P63" i="2"/>
  <c r="AC77" i="3"/>
  <c r="AC78" i="3"/>
  <c r="P155" i="2"/>
  <c r="P156" i="2" s="1"/>
  <c r="P72" i="2"/>
  <c r="P70" i="2"/>
  <c r="P193" i="2" s="1"/>
  <c r="AB78" i="3"/>
  <c r="AB77" i="3"/>
  <c r="P75" i="2" l="1"/>
  <c r="P74" i="2"/>
  <c r="P85" i="2" s="1"/>
  <c r="P84" i="2"/>
  <c r="P76" i="2"/>
  <c r="P180" i="2"/>
  <c r="P183" i="2" s="1"/>
  <c r="P157" i="2"/>
  <c r="P88" i="2" l="1"/>
  <c r="P86" i="2"/>
  <c r="P184" i="2"/>
  <c r="P185" i="2" s="1"/>
  <c r="P186" i="2"/>
  <c r="P89" i="2" l="1"/>
  <c r="P91" i="2"/>
  <c r="P92" i="2"/>
  <c r="P169" i="2" l="1"/>
  <c r="P174" i="2" s="1"/>
  <c r="P177" i="2" s="1"/>
  <c r="P110" i="2" s="1"/>
  <c r="P138" i="2"/>
  <c r="P141" i="2" s="1"/>
  <c r="P143" i="2"/>
  <c r="P142" i="2"/>
  <c r="P117" i="2"/>
  <c r="P131" i="2"/>
  <c r="P144" i="2" l="1"/>
  <c r="P133" i="2"/>
  <c r="P132" i="2"/>
  <c r="P134" i="2"/>
  <c r="P190" i="2"/>
  <c r="P194" i="2" l="1"/>
  <c r="P192" i="2"/>
</calcChain>
</file>

<file path=xl/sharedStrings.xml><?xml version="1.0" encoding="utf-8"?>
<sst xmlns="http://schemas.openxmlformats.org/spreadsheetml/2006/main" count="871" uniqueCount="424">
  <si>
    <t>VSL Model Summary</t>
  </si>
  <si>
    <t>Actual ----------&gt;</t>
  </si>
  <si>
    <t>Forecast -----&gt;</t>
  </si>
  <si>
    <t>Vulcan Steel (VSL.NZ)</t>
  </si>
  <si>
    <t>Units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</si>
  <si>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</si>
  <si>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</si>
  <si>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</si>
  <si>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</si>
  <si>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</si>
  <si>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</si>
  <si>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</si>
  <si>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</si>
  <si>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FY31E</t>
  </si>
  <si>
    <t>FY32E</t>
  </si>
  <si>
    <t>FY33E</t>
  </si>
  <si>
    <t>FY34E</t>
  </si>
  <si>
    <t>FY35E</t>
  </si>
  <si>
    <t>P&amp;L</t>
  </si>
  <si>
    <t>Revenue</t>
  </si>
  <si>
    <t>Rev-Steel Revenue</t>
  </si>
  <si>
    <t>Steel Revenue</t>
  </si>
  <si>
    <t>NZDm</t>
  </si>
  <si>
    <t>Rev-Metals Revenue</t>
  </si>
  <si>
    <t>Metals Revenue</t>
  </si>
  <si>
    <t>Rev-Total Revenue</t>
  </si>
  <si>
    <t>Total Revenue</t>
  </si>
  <si>
    <t>Revenue Growth</t>
  </si>
  <si>
    <t>% YoY</t>
  </si>
  <si>
    <t>COGS</t>
  </si>
  <si>
    <t>COGS-Steel COGS</t>
  </si>
  <si>
    <t>Steel COGS</t>
  </si>
  <si>
    <t>COGS-Metals COGS</t>
  </si>
  <si>
    <t>Metals COGS</t>
  </si>
  <si>
    <t>COGS-Other COGS</t>
  </si>
  <si>
    <t>Other COGS</t>
  </si>
  <si>
    <t>COGS-Total COGS</t>
  </si>
  <si>
    <t>Total COGS</t>
  </si>
  <si>
    <t>Gross Profit</t>
  </si>
  <si>
    <t>GP-Steel GP</t>
  </si>
  <si>
    <t>Steel GP</t>
  </si>
  <si>
    <t>GP-Metals GP</t>
  </si>
  <si>
    <t>Metals GP</t>
  </si>
  <si>
    <t>GP-Corporate GP</t>
  </si>
  <si>
    <t>Corporate/Elim</t>
  </si>
  <si>
    <t>GP-Gross Profit</t>
  </si>
  <si>
    <t>GP Growth</t>
  </si>
  <si>
    <t>GP Margin</t>
  </si>
  <si>
    <t>%</t>
  </si>
  <si>
    <t>Operating Expenses</t>
  </si>
  <si>
    <t>OPEX-Employee Benefits</t>
  </si>
  <si>
    <t>Employee Benefits</t>
  </si>
  <si>
    <t>OPEX-Selling &amp; Distribution</t>
  </si>
  <si>
    <t>Selling &amp; Distribution</t>
  </si>
  <si>
    <t>OPEX-Occupancy Costs</t>
  </si>
  <si>
    <t>Occupancy Costs</t>
  </si>
  <si>
    <t>OPEX-General &amp; Admin</t>
  </si>
  <si>
    <t>General &amp; Admin</t>
  </si>
  <si>
    <t>OPEX-Total OpEx</t>
  </si>
  <si>
    <t>Total Operating Expenses</t>
  </si>
  <si>
    <t>OpEx Growth</t>
  </si>
  <si>
    <t>EBITDA</t>
  </si>
  <si>
    <t>EBITDA-Steel EBITDA</t>
  </si>
  <si>
    <t>Steel EBITDA</t>
  </si>
  <si>
    <t>EBITDA-Metals EBITDA</t>
  </si>
  <si>
    <t>Metals EBITDA</t>
  </si>
  <si>
    <t>EBITDA-Corporate EBITDA</t>
  </si>
  <si>
    <t>Corporate EBITDA</t>
  </si>
  <si>
    <t>EBITDA-Underlying EBITDA</t>
  </si>
  <si>
    <t>Underlying EBITDA</t>
  </si>
  <si>
    <t>EBITDA Growth</t>
  </si>
  <si>
    <t>EBITDA Margin</t>
  </si>
  <si>
    <t>Statutory EBITDA Adjustments</t>
  </si>
  <si>
    <t>Stat-SBP</t>
  </si>
  <si>
    <t>Share-based payments</t>
  </si>
  <si>
    <t>Stat-Significant Items</t>
  </si>
  <si>
    <t>Significant items</t>
  </si>
  <si>
    <t>Stat-Statutory EBITDA</t>
  </si>
  <si>
    <t>Statutory EBITDA</t>
  </si>
  <si>
    <t>D&amp;A</t>
  </si>
  <si>
    <t>DA-Depreciation PPE</t>
  </si>
  <si>
    <t>Depreciation PPE &amp; Intangibles</t>
  </si>
  <si>
    <t>DA-ROU Amortisation</t>
  </si>
  <si>
    <t>ROU Asset Amortisation</t>
  </si>
  <si>
    <t>DA-Total DA</t>
  </si>
  <si>
    <t>Total D&amp;A</t>
  </si>
  <si>
    <t>D&amp;A / Revenue</t>
  </si>
  <si>
    <t>Avg Lease Life</t>
  </si>
  <si>
    <t>years</t>
  </si>
  <si>
    <t>EBIT</t>
  </si>
  <si>
    <t>EBIT-Underlying EBIT</t>
  </si>
  <si>
    <t>Underlying EBIT</t>
  </si>
  <si>
    <t>EBIT Growth</t>
  </si>
  <si>
    <t>EBIT Margin</t>
  </si>
  <si>
    <t>Interest</t>
  </si>
  <si>
    <t>Int-Interest Income</t>
  </si>
  <si>
    <t>Interest Income</t>
  </si>
  <si>
    <t>Int-Lease Interest</t>
  </si>
  <si>
    <t>Interest on Lease Liabilities</t>
  </si>
  <si>
    <t>Int-Bank Interest</t>
  </si>
  <si>
    <t>Bank Interest Expense</t>
  </si>
  <si>
    <t>Int-Net Finance Costs</t>
  </si>
  <si>
    <t>Net Finance Costs</t>
  </si>
  <si>
    <t>Interest Income Rate</t>
  </si>
  <si>
    <t>Lease Interest Rate</t>
  </si>
  <si>
    <t>Bank Interest Rate</t>
  </si>
  <si>
    <t>PBT, Tax, NPAT</t>
  </si>
  <si>
    <t>PBT-PBT</t>
  </si>
  <si>
    <t>PBT</t>
  </si>
  <si>
    <t>Tax-Tax Expense</t>
  </si>
  <si>
    <t>Tax Expense</t>
  </si>
  <si>
    <t>Underlying Tax Rate</t>
  </si>
  <si>
    <t>NPAT-NCI</t>
  </si>
  <si>
    <t>Non-controlling Interests</t>
  </si>
  <si>
    <t>NPAT-Underlying NPAT</t>
  </si>
  <si>
    <t>Underlying NPAT</t>
  </si>
  <si>
    <t>NPAT-Sig Items AT</t>
  </si>
  <si>
    <t>Significant Items After Tax</t>
  </si>
  <si>
    <t>NPAT-Statutory NPAT</t>
  </si>
  <si>
    <t>Statutory NPAT</t>
  </si>
  <si>
    <t>NPAT Growth</t>
  </si>
  <si>
    <t>NPAT Margin</t>
  </si>
  <si>
    <t>EPS &amp; Dividends</t>
  </si>
  <si>
    <t>EPS-YE Shares</t>
  </si>
  <si>
    <t>YE Basic Shares Outstanding</t>
  </si>
  <si>
    <t>#m</t>
  </si>
  <si>
    <t>EPS-WASO Basic</t>
  </si>
  <si>
    <t>WASO Basic</t>
  </si>
  <si>
    <t>EPS-Dilution</t>
  </si>
  <si>
    <t>Dilution</t>
  </si>
  <si>
    <t>EPS-WASO Diluted</t>
  </si>
  <si>
    <t>WASO Diluted</t>
  </si>
  <si>
    <t>EPS-Underlying EPS</t>
  </si>
  <si>
    <t>Underlying EPS</t>
  </si>
  <si>
    <t>NZDps</t>
  </si>
  <si>
    <t>EPS-Statutory EPS</t>
  </si>
  <si>
    <t>Statutory EPS</t>
  </si>
  <si>
    <t>EPS Growth</t>
  </si>
  <si>
    <t>Div-DPS</t>
  </si>
  <si>
    <t>DPS</t>
  </si>
  <si>
    <t>Div-Total Dividends</t>
  </si>
  <si>
    <t>Total Dividends</t>
  </si>
  <si>
    <t>Payout Ratio</t>
  </si>
  <si>
    <t>Dividend Yield</t>
  </si>
  <si>
    <t>Dividend Growth</t>
  </si>
  <si>
    <t>Operating Metrics</t>
  </si>
  <si>
    <t>KPI-Steel Volume</t>
  </si>
  <si>
    <t>Steel Volume</t>
  </si>
  <si>
    <t>000t</t>
  </si>
  <si>
    <t>KPI-Metals Volume</t>
  </si>
  <si>
    <t>Metals Volume</t>
  </si>
  <si>
    <t>KPI-Total Volume</t>
  </si>
  <si>
    <t>Total Volume</t>
  </si>
  <si>
    <t>KPI-Steel Rev/t</t>
  </si>
  <si>
    <t>Steel Revenue / Tonne</t>
  </si>
  <si>
    <t>NZD</t>
  </si>
  <si>
    <t>KPI-Metals Rev/t</t>
  </si>
  <si>
    <t>Metals Revenue / Tonne</t>
  </si>
  <si>
    <t>KPI-Steel GP/t</t>
  </si>
  <si>
    <t>Steel GP / Tonne</t>
  </si>
  <si>
    <t>KPI-Metals GP/t</t>
  </si>
  <si>
    <t>Metals GP / Tonne</t>
  </si>
  <si>
    <t>KPI-Customers</t>
  </si>
  <si>
    <t>Active Customers</t>
  </si>
  <si>
    <t>#</t>
  </si>
  <si>
    <t>KPI-Headcount</t>
  </si>
  <si>
    <t>Headcount</t>
  </si>
  <si>
    <t>KPI-DIFOT</t>
  </si>
  <si>
    <t>DIFOT</t>
  </si>
  <si>
    <t>Revenue per Employee</t>
  </si>
  <si>
    <t>EBITDA per Employee</t>
  </si>
  <si>
    <t>Balance Sheet</t>
  </si>
  <si>
    <t>Assets</t>
  </si>
  <si>
    <t>BS-Cash</t>
  </si>
  <si>
    <t>Cash</t>
  </si>
  <si>
    <t>BS-Trade Receivables</t>
  </si>
  <si>
    <t>Trade Receivables</t>
  </si>
  <si>
    <t>BS-Inventories</t>
  </si>
  <si>
    <t>Inventories</t>
  </si>
  <si>
    <t>BS-PPE</t>
  </si>
  <si>
    <t>Property, Plant &amp; Equipment</t>
  </si>
  <si>
    <t>BS-Intangibles</t>
  </si>
  <si>
    <t>Intangibles</t>
  </si>
  <si>
    <t>BS-ROU Assets</t>
  </si>
  <si>
    <t>Right-of-Use Assets</t>
  </si>
  <si>
    <t>BS-Other Assets</t>
  </si>
  <si>
    <t>Other Assets</t>
  </si>
  <si>
    <t>Total Assets</t>
  </si>
  <si>
    <t>Receivables / Revenue</t>
  </si>
  <si>
    <t>Inventory / Revenue</t>
  </si>
  <si>
    <t>Working Capital</t>
  </si>
  <si>
    <t>Payables / Revenue</t>
  </si>
  <si>
    <t>New Lease Additions</t>
  </si>
  <si>
    <t>Liabilities</t>
  </si>
  <si>
    <t>BS-Trade Payables</t>
  </si>
  <si>
    <t>Trade &amp; Other Payables</t>
  </si>
  <si>
    <t>BS-Other Liabilities</t>
  </si>
  <si>
    <t>Other Liabilities</t>
  </si>
  <si>
    <t>BS-Lease Liabilities</t>
  </si>
  <si>
    <t>Lease Liabilities</t>
  </si>
  <si>
    <t>BS-Total Banking Debt</t>
  </si>
  <si>
    <t>Total Banking Debt</t>
  </si>
  <si>
    <t>Total Liabilities</t>
  </si>
  <si>
    <t>Net Banking Debt</t>
  </si>
  <si>
    <t>Adj Net Debt (incl leases)</t>
  </si>
  <si>
    <t>ND / EBITDA</t>
  </si>
  <si>
    <t>x</t>
  </si>
  <si>
    <t>Gearing (ND/(ND+E))</t>
  </si>
  <si>
    <t>Equity</t>
  </si>
  <si>
    <t>BS-Issued Capital</t>
  </si>
  <si>
    <t>Issued Capital</t>
  </si>
  <si>
    <t>BS-Retained Profits</t>
  </si>
  <si>
    <t>Retained Profits</t>
  </si>
  <si>
    <t>BS-Reserves</t>
  </si>
  <si>
    <t>Reserves</t>
  </si>
  <si>
    <t>BS-Minorities</t>
  </si>
  <si>
    <t>Minorities</t>
  </si>
  <si>
    <t>Total Equity</t>
  </si>
  <si>
    <t>ROE</t>
  </si>
  <si>
    <t>P/B</t>
  </si>
  <si>
    <t>BS Check (should be 0, +/-0.2 due to rounding)</t>
  </si>
  <si>
    <t>Cash Flow</t>
  </si>
  <si>
    <t>CFO</t>
  </si>
  <si>
    <t>CF-EBITDA</t>
  </si>
  <si>
    <t>CF-WC Change</t>
  </si>
  <si>
    <t>Working Capital Change</t>
  </si>
  <si>
    <t>CF-Significant Items</t>
  </si>
  <si>
    <t>Significant Items/Non-Cash Items</t>
  </si>
  <si>
    <t>Gross Operating Cash Flow</t>
  </si>
  <si>
    <t>CF-Int Received</t>
  </si>
  <si>
    <t>Interest Received</t>
  </si>
  <si>
    <t>CF-Interest Paid</t>
  </si>
  <si>
    <t>Interest Paid</t>
  </si>
  <si>
    <t>CF-Lease Int Paid</t>
  </si>
  <si>
    <t>Lease Interest Paid</t>
  </si>
  <si>
    <t>CF-Tax Paid</t>
  </si>
  <si>
    <t>Tax Paid</t>
  </si>
  <si>
    <t>CF-Net OCF</t>
  </si>
  <si>
    <t>Net Operating Cash Flow</t>
  </si>
  <si>
    <t>OCF Growth</t>
  </si>
  <si>
    <t>CFI</t>
  </si>
  <si>
    <t>CF-Capex PPE</t>
  </si>
  <si>
    <t>Capex (PPE)</t>
  </si>
  <si>
    <t>Capex / Sales</t>
  </si>
  <si>
    <t>CF-Capex Intang</t>
  </si>
  <si>
    <t>Capex (Intangibles)</t>
  </si>
  <si>
    <t>CF-Acquisitions</t>
  </si>
  <si>
    <t>Acquisitions</t>
  </si>
  <si>
    <t>CF-Asset Sales</t>
  </si>
  <si>
    <t>Asset Sales</t>
  </si>
  <si>
    <t>CF-Other CFI</t>
  </si>
  <si>
    <t>Other</t>
  </si>
  <si>
    <t>Total Investing Cash Flow</t>
  </si>
  <si>
    <t>CFF</t>
  </si>
  <si>
    <t>CF-Dividends</t>
  </si>
  <si>
    <t>Dividends Paid</t>
  </si>
  <si>
    <t>CF-Share Issues</t>
  </si>
  <si>
    <t>Share Issues / Buybacks</t>
  </si>
  <si>
    <t>CF-Lease Principal</t>
  </si>
  <si>
    <t>Lease Principal Payments</t>
  </si>
  <si>
    <t>CF-Debt Change</t>
  </si>
  <si>
    <t>Change in Debt</t>
  </si>
  <si>
    <t>CF-Other CFF</t>
  </si>
  <si>
    <t>Total Financing Cash Flow</t>
  </si>
  <si>
    <t>Net Change in Cash</t>
  </si>
  <si>
    <t>Operating Free Cash Flow</t>
  </si>
  <si>
    <t>Net OCF</t>
  </si>
  <si>
    <t>Net Capex</t>
  </si>
  <si>
    <t>Lease Principal</t>
  </si>
  <si>
    <t>FCF per Share</t>
  </si>
  <si>
    <t>FCF Yield</t>
  </si>
  <si>
    <t>FCF Margin</t>
  </si>
  <si>
    <t>ROIC</t>
  </si>
  <si>
    <t>Invested Capital</t>
  </si>
  <si>
    <t>ROFE</t>
  </si>
  <si>
    <t>NOPAT</t>
  </si>
  <si>
    <t>DCF Valuation</t>
  </si>
  <si>
    <t>Current Share Price (NZD)</t>
  </si>
  <si>
    <t>Shares Outstanding (#m)</t>
  </si>
  <si>
    <t>Market Cap (NZDm)</t>
  </si>
  <si>
    <t>Net Debt (NZDm)</t>
  </si>
  <si>
    <t>Market EV (NZDm)</t>
  </si>
  <si>
    <t>Valuation Date</t>
  </si>
  <si>
    <t>WACC Inputs</t>
  </si>
  <si>
    <t>Risk-free Rate</t>
  </si>
  <si>
    <t>Equity Risk Premium</t>
  </si>
  <si>
    <t>Beta</t>
  </si>
  <si>
    <t>Cost of Equity</t>
  </si>
  <si>
    <t>Pre-tax Cost of Debt</t>
  </si>
  <si>
    <t>Tax Rate</t>
  </si>
  <si>
    <t>After-tax Cost of Debt</t>
  </si>
  <si>
    <t>Debt Weight (D/(D+E))</t>
  </si>
  <si>
    <t>WACC</t>
  </si>
  <si>
    <t>Terminal Growth Rate</t>
  </si>
  <si>
    <t>Stub Period</t>
  </si>
  <si>
    <t>FCF Projection</t>
  </si>
  <si>
    <t>less D&amp;A</t>
  </si>
  <si>
    <t>less Tax on EBIT</t>
  </si>
  <si>
    <t>plus D&amp;A</t>
  </si>
  <si>
    <t>less Capex</t>
  </si>
  <si>
    <t>less WC Change</t>
  </si>
  <si>
    <t>FCFF</t>
  </si>
  <si>
    <t>Normalised FCFF (capex=D&amp;A)</t>
  </si>
  <si>
    <t>Terminal Value</t>
  </si>
  <si>
    <t>Discount Factor</t>
  </si>
  <si>
    <t>PV of FCFF</t>
  </si>
  <si>
    <t>PV of Terminal Value</t>
  </si>
  <si>
    <t>Sum of PV of FCFs</t>
  </si>
  <si>
    <t>Enterprise Value</t>
  </si>
  <si>
    <t>less Net Debt</t>
  </si>
  <si>
    <t>less Lease Liabilities</t>
  </si>
  <si>
    <t>Equity Value</t>
  </si>
  <si>
    <t>Per Share Value (NZD)</t>
  </si>
  <si>
    <t>Upside / Downside</t>
  </si>
  <si>
    <t>EV/EBITDA Sum-of-the-Parts</t>
  </si>
  <si>
    <t>Segment</t>
  </si>
  <si>
    <t>FY27E EBITDA</t>
  </si>
  <si>
    <t>Multiple</t>
  </si>
  <si>
    <t>Implied EV</t>
  </si>
  <si>
    <t>Steel</t>
  </si>
  <si>
    <t>Metals</t>
  </si>
  <si>
    <t>Corporate</t>
  </si>
  <si>
    <t>Group EV</t>
  </si>
  <si>
    <t>Implied Group EV/EBITDA</t>
  </si>
  <si>
    <t>VSL Segments (Half-Year)</t>
  </si>
  <si>
    <t>1H23</t>
  </si>
  <si>
    <t>2H23</t>
  </si>
  <si>
    <t>1H24</t>
  </si>
  <si>
    <t>2H24</t>
  </si>
  <si>
    <t>1H25</t>
  </si>
  <si>
    <t>2H25</t>
  </si>
  <si>
    <t>1H26</t>
  </si>
  <si>
    <t>2H26</t>
  </si>
  <si>
    <t>1H27</t>
  </si>
  <si>
    <t>2H27</t>
  </si>
  <si>
    <t>1H28</t>
  </si>
  <si>
    <t>2H28</t>
  </si>
  <si>
    <t>1H29</t>
  </si>
  <si>
    <t>2H29</t>
  </si>
  <si>
    <t>1H30</t>
  </si>
  <si>
    <t>2H30</t>
  </si>
  <si>
    <t>1H31</t>
  </si>
  <si>
    <t>2H31</t>
  </si>
  <si>
    <t>1H32</t>
  </si>
  <si>
    <t>2H32</t>
  </si>
  <si>
    <t>1H33</t>
  </si>
  <si>
    <t>2H33</t>
  </si>
  <si>
    <t>1H34</t>
  </si>
  <si>
    <t>2H34</t>
  </si>
  <si>
    <t>1H35</t>
  </si>
  <si>
    <t>2H35</t>
  </si>
  <si>
    <t>Revenue Growth (YoY)</t>
  </si>
  <si>
    <t>GP Growth (YoY)</t>
  </si>
  <si>
    <t>Steel GP Margin</t>
  </si>
  <si>
    <t>Metals GP Margin</t>
  </si>
  <si>
    <t>OpEx Growth (YoY)</t>
  </si>
  <si>
    <t>Cost-to-Income Ratio</t>
  </si>
  <si>
    <t>Corp EBITDA / Revenue</t>
  </si>
  <si>
    <t>EBITDA Growth (YoY)</t>
  </si>
  <si>
    <t>Steel EBITDA Margin</t>
  </si>
  <si>
    <t>Metals EBITDA Margin</t>
  </si>
  <si>
    <t>Significant Items</t>
  </si>
  <si>
    <t>EBIT Growth (YoY)</t>
  </si>
  <si>
    <t>NPAT Growth (YoY)</t>
  </si>
  <si>
    <t>Segment Forecast - Steel</t>
  </si>
  <si>
    <t>Volume</t>
  </si>
  <si>
    <t>Volume Growth</t>
  </si>
  <si>
    <t>Revenue / Tonne</t>
  </si>
  <si>
    <t>Rev/Tonne Growth</t>
  </si>
  <si>
    <t>Opex</t>
  </si>
  <si>
    <t>Opex Growth</t>
  </si>
  <si>
    <t>Opex per Tonne</t>
  </si>
  <si>
    <t>Segment EBITDA</t>
  </si>
  <si>
    <t>Segment Forecast - Metals</t>
  </si>
  <si>
    <t>VSL — Inputs (Presentation-Only Items)</t>
  </si>
  <si>
    <t>Item</t>
  </si>
  <si>
    <t>Unit</t>
  </si>
  <si>
    <t>Segment Gross Margins</t>
  </si>
  <si>
    <t>D&amp;A Split</t>
  </si>
  <si>
    <t>Interest Split</t>
  </si>
  <si>
    <t>Group EBITDA Movement from FY24 to FY25 (NZ$m)</t>
  </si>
  <si>
    <t>Category</t>
  </si>
  <si>
    <t>Value</t>
  </si>
  <si>
    <t>Type</t>
  </si>
  <si>
    <t>Running</t>
  </si>
  <si>
    <t>Base</t>
  </si>
  <si>
    <t>Total</t>
  </si>
  <si>
    <t>Increase</t>
  </si>
  <si>
    <t>Decrease</t>
  </si>
  <si>
    <t>FY24 (statutory)</t>
  </si>
  <si>
    <t>FY24 (adjusted)</t>
  </si>
  <si>
    <t>Volume (000t)</t>
  </si>
  <si>
    <t>Gross Margin (NZ$/t)</t>
  </si>
  <si>
    <t>OPEX (NZ$m)</t>
  </si>
  <si>
    <t>FY25 (adjusted)</t>
  </si>
  <si>
    <t>Steel EBITDA Movement from FY24 to FY25 (NZ$m)</t>
  </si>
  <si>
    <t>FY24 Steel EBITDA</t>
  </si>
  <si>
    <t>FY25 Steel EBITDA</t>
  </si>
  <si>
    <t>Metals EBITDA Movement from FY24 to FY25 (NZ$m)</t>
  </si>
  <si>
    <t>FY24 Metals EBITDA</t>
  </si>
  <si>
    <t>FY25 Metals EBITDA</t>
  </si>
  <si>
    <t>FY25 Earnings and Cashflow (CF) Movements (NZ$m)</t>
  </si>
  <si>
    <t>Adjusted EBITDA</t>
  </si>
  <si>
    <t>Lease interest</t>
  </si>
  <si>
    <t>Tax paid</t>
  </si>
  <si>
    <t>CF pre W/Capital</t>
  </si>
  <si>
    <t>W/Cap/Other</t>
  </si>
  <si>
    <t>Operating CF</t>
  </si>
  <si>
    <t>Lease payments</t>
  </si>
  <si>
    <t>Free cash flow</t>
  </si>
  <si>
    <t>Movement in Working Capital (excl tax, NZ$m)</t>
  </si>
  <si>
    <t>Jun 24</t>
  </si>
  <si>
    <t>Inventory</t>
  </si>
  <si>
    <t>Debtors</t>
  </si>
  <si>
    <t>Creditors</t>
  </si>
  <si>
    <t>Jun 25</t>
  </si>
  <si>
    <t>Revenue Movement from FY24 to FY25 (NZ$m)</t>
  </si>
  <si>
    <t>FY24 Revenue</t>
  </si>
  <si>
    <t>Steel Volume (000t)</t>
  </si>
  <si>
    <t>Steel Price (NZ$/t)</t>
  </si>
  <si>
    <t>Metals Volume (000t)</t>
  </si>
  <si>
    <t>Metals Price (NZ$/t)</t>
  </si>
  <si>
    <t>FY25 Revenue</t>
  </si>
  <si>
    <t>Debt funding % of CFI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</si>
</sst>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#,##0.0"/>
    <numFmt numFmtId="166" formatCode="0.0%"/>
    <numFmt numFmtId="167" formatCode="0.000"/>
    <numFmt numFmtId="168" formatCode="0.0\x"/>
    <numFmt numFmtId="169" formatCode="d/mm/yy"/>
    <numFmt numFmtId="170" formatCode="dd\-mmm\-yy"/>
  </numFmts>
  <fonts count="2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  <font>
      <sz val="11"/>
      <color rgb="FFC00000"/>
      <name val="Calibri"/>
      <family val="2"/>
    </font>
    <font>
      <b/>
      <sz val="12"/>
      <name val="Calibri"/>
      <family val="2"/>
    </font>
    <font>
      <sz val="11"/>
      <color rgb="FF0000CC"/>
      <name val="Calibri"/>
      <family val="2"/>
    </font>
    <font>
      <b/>
      <sz val="11"/>
      <color rgb="FF0000CC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CC"/>
      <name val="Calibri"/>
    </font>
    <font>
      <sz val="11"/>
      <color rgb="FFC00000"/>
      <name val="Calibri"/>
    </font>
    <font>
      <b/>
      <sz val="14"/>
      <name val="Calibri"/>
    </font>
    <font>
      <b/>
      <sz val="11"/>
      <name val="Calibri"/>
    </font>
    <font>
      <sz val="11"/>
      <color rgb="FFC00000"/>
      <name val="Calibri"/>
    </font>
    <font>
      <sz val="11"/>
      <color rgb="FF0000CC"/>
      <name val="Calibri"/>
    </font>
    <font>
      <sz val="11"/>
      <color rgb="FFC00000"/>
      <name val="Calibri"/>
    </font>
    <font>
      <sz val="11"/>
      <color rgb="FF0000CC"/>
      <name val="Calibri"/>
    </font>
    <font>
      <b/>
      <sz val="11"/>
      <color rgb="FF1B2A4A"/>
      <name val="Calibri"/>
    </font>
    <font>
      <b/>
      <sz val="10"/>
      <name val="Calibri"/>
    </font>
    <font>
      <sz val="10"/>
      <name val="Calibri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C5D9F1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C5D9F1"/>
        <bgColor rgb="FFC5D9F1"/>
      </patternFill>
    </fill>
    <fill>
      <patternFill patternType="solid">
        <fgColor rgb="FFC5D9F1"/>
        <bgColor rgb="FFC5D9F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9" fontId="23" fillId="0" borderId="0" applyFont="0" applyFill="0" applyBorder="0" applyAlignment="0" applyProtection="0"/>
  </cellStyleXfs>
  <cellXfs count="69">
    <xf numFmtId="0" fontId="0" fillId="0" borderId="0" xfId="0"/>
    <xf numFmtId="0" fontId="1" fillId="4" borderId="0" xfId="0" applyFont="1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166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167" fontId="0" fillId="0" borderId="0" xfId="0" applyNumberFormat="1"/>
    <xf numFmtId="165" fontId="3" fillId="0" borderId="0" xfId="0" applyNumberFormat="1" applyFont="1"/>
    <xf numFmtId="2" fontId="6" fillId="0" borderId="0" xfId="0" applyNumberFormat="1" applyFont="1"/>
    <xf numFmtId="168" fontId="5" fillId="6" borderId="0" xfId="0" applyNumberFormat="1" applyFont="1" applyFill="1"/>
    <xf numFmtId="168" fontId="0" fillId="0" borderId="0" xfId="0" applyNumberFormat="1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169" fontId="0" fillId="0" borderId="0" xfId="0" applyNumberFormat="1"/>
    <xf numFmtId="0" fontId="3" fillId="4" borderId="0" xfId="0" applyFont="1" applyFill="1"/>
    <xf numFmtId="165" fontId="7" fillId="0" borderId="0" xfId="0" applyNumberFormat="1" applyFont="1"/>
    <xf numFmtId="0" fontId="3" fillId="0" borderId="1" xfId="0" applyFont="1" applyBorder="1"/>
    <xf numFmtId="165" fontId="3" fillId="0" borderId="1" xfId="0" applyNumberFormat="1" applyFont="1" applyBorder="1"/>
    <xf numFmtId="164" fontId="7" fillId="0" borderId="0" xfId="0" applyNumberFormat="1" applyFont="1"/>
    <xf numFmtId="167" fontId="3" fillId="0" borderId="1" xfId="0" applyNumberFormat="1" applyFont="1" applyBorder="1"/>
    <xf numFmtId="167" fontId="7" fillId="0" borderId="0" xfId="0" applyNumberFormat="1" applyFont="1"/>
    <xf numFmtId="0" fontId="5" fillId="0" borderId="0" xfId="0" applyFont="1"/>
    <xf numFmtId="166" fontId="5" fillId="0" borderId="0" xfId="0" applyNumberFormat="1" applyFont="1"/>
    <xf numFmtId="0" fontId="0" fillId="5" borderId="0" xfId="0" applyFill="1"/>
    <xf numFmtId="0" fontId="3" fillId="5" borderId="0" xfId="0" applyFont="1" applyFill="1"/>
    <xf numFmtId="3" fontId="0" fillId="0" borderId="0" xfId="0" applyNumberFormat="1"/>
    <xf numFmtId="3" fontId="7" fillId="0" borderId="0" xfId="0" applyNumberFormat="1" applyFont="1"/>
    <xf numFmtId="166" fontId="7" fillId="0" borderId="0" xfId="0" applyNumberFormat="1" applyFont="1"/>
    <xf numFmtId="165" fontId="8" fillId="0" borderId="1" xfId="0" applyNumberFormat="1" applyFont="1" applyBorder="1"/>
    <xf numFmtId="0" fontId="9" fillId="0" borderId="1" xfId="0" applyFont="1" applyBorder="1"/>
    <xf numFmtId="165" fontId="9" fillId="0" borderId="1" xfId="0" applyNumberFormat="1" applyFont="1" applyBorder="1"/>
    <xf numFmtId="165" fontId="0" fillId="0" borderId="2" xfId="0" applyNumberFormat="1" applyBorder="1"/>
    <xf numFmtId="0" fontId="0" fillId="0" borderId="3" xfId="0" applyBorder="1"/>
    <xf numFmtId="165" fontId="0" fillId="0" borderId="3" xfId="0" applyNumberFormat="1" applyBorder="1"/>
    <xf numFmtId="0" fontId="0" fillId="0" borderId="2" xfId="0" applyBorder="1"/>
    <xf numFmtId="165" fontId="3" fillId="0" borderId="2" xfId="0" applyNumberFormat="1" applyFont="1" applyBorder="1"/>
    <xf numFmtId="165" fontId="10" fillId="0" borderId="0" xfId="0" applyNumberFormat="1" applyFont="1"/>
    <xf numFmtId="165" fontId="11" fillId="0" borderId="0" xfId="0" applyNumberFormat="1" applyFont="1"/>
    <xf numFmtId="165" fontId="12" fillId="0" borderId="0" xfId="0" applyNumberFormat="1" applyFont="1"/>
    <xf numFmtId="165" fontId="5" fillId="0" borderId="0" xfId="0" applyNumberFormat="1" applyFont="1"/>
    <xf numFmtId="2" fontId="5" fillId="0" borderId="0" xfId="0" applyNumberFormat="1" applyFont="1"/>
    <xf numFmtId="166" fontId="5" fillId="0" borderId="3" xfId="0" applyNumberFormat="1" applyFont="1" applyBorder="1"/>
    <xf numFmtId="165" fontId="16" fillId="0" borderId="0" xfId="0" applyNumberFormat="1" applyFont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4" fillId="7" borderId="0" xfId="0" applyFont="1" applyFill="1"/>
    <xf numFmtId="0" fontId="0" fillId="7" borderId="0" xfId="0" applyFill="1"/>
    <xf numFmtId="166" fontId="15" fillId="0" borderId="0" xfId="0" applyNumberFormat="1" applyFont="1"/>
    <xf numFmtId="165" fontId="15" fillId="0" borderId="0" xfId="0" applyNumberFormat="1" applyFont="1"/>
    <xf numFmtId="165" fontId="18" fillId="0" borderId="0" xfId="0" applyNumberFormat="1" applyFont="1"/>
    <xf numFmtId="0" fontId="0" fillId="8" borderId="0" xfId="0" applyFill="1"/>
    <xf numFmtId="166" fontId="17" fillId="0" borderId="0" xfId="0" applyNumberFormat="1" applyFont="1"/>
    <xf numFmtId="165" fontId="17" fillId="0" borderId="0" xfId="0" applyNumberFormat="1" applyFont="1"/>
    <xf numFmtId="0" fontId="19" fillId="0" borderId="0" xfId="0" applyFont="1"/>
    <xf numFmtId="0" fontId="20" fillId="0" borderId="4" xfId="0" applyFont="1" applyBorder="1"/>
    <xf numFmtId="0" fontId="21" fillId="0" borderId="0" xfId="0" applyFont="1"/>
    <xf numFmtId="164" fontId="5" fillId="0" borderId="0" xfId="0" applyNumberFormat="1" applyFont="1"/>
    <xf numFmtId="0" fontId="10" fillId="0" borderId="0" xfId="0" applyFont="1"/>
    <xf numFmtId="164" fontId="10" fillId="0" borderId="0" xfId="0" applyNumberFormat="1" applyFont="1"/>
    <xf numFmtId="166" fontId="10" fillId="0" borderId="0" xfId="0" applyNumberFormat="1" applyFont="1"/>
    <xf numFmtId="170" fontId="22" fillId="9" borderId="0" xfId="0" applyNumberFormat="1" applyFont="1" applyFill="1"/>
    <xf numFmtId="2" fontId="0" fillId="0" borderId="0" xfId="0" applyNumberFormat="1"/>
    <xf numFmtId="9" fontId="0" fillId="0" borderId="0" xfId="1" applyFont="1"/>
    <xf numFmtId="9" fontId="12" fillId="0" borderId="0" xfId="1" applyFont="1"/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Group EBITDA Movement from FY24 to FY25 (NZ$m)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Charts!$E$2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Charts!$A$3:$A$9</c:f>
              <c:strCache>
                <c:ptCount val="7"/>
                <c:pt idx="0">
                  <c:v>FY24 (statutory)</c:v>
                </c:pt>
                <c:pt idx="1">
                  <c:v>Significant Items</c:v>
                </c:pt>
                <c:pt idx="2">
                  <c:v>FY24 (adjusted)</c:v>
                </c:pt>
                <c:pt idx="3">
                  <c:v>Volume (000t)</c:v>
                </c:pt>
                <c:pt idx="4">
                  <c:v>Gross Margin (NZ$/t)</c:v>
                </c:pt>
                <c:pt idx="5">
                  <c:v>OPEX (NZ$m)</c:v>
                </c:pt>
                <c:pt idx="6">
                  <c:v>FY25 (adjusted)</c:v>
                </c:pt>
              </c:strCache>
            </c:strRef>
          </c:cat>
          <c:val>
            <c:numRef>
              <c:f>Charts!$E$3:$E$9</c:f>
              <c:numCache>
                <c:formatCode>#,##0.0</c:formatCode>
                <c:ptCount val="7"/>
                <c:pt idx="0">
                  <c:v>0</c:v>
                </c:pt>
                <c:pt idx="1">
                  <c:v>147.60000000000002</c:v>
                </c:pt>
                <c:pt idx="2">
                  <c:v>0</c:v>
                </c:pt>
                <c:pt idx="3">
                  <c:v>121.68078111946535</c:v>
                </c:pt>
                <c:pt idx="4">
                  <c:v>111.19999999999993</c:v>
                </c:pt>
                <c:pt idx="5">
                  <c:v>111.19999999999993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C-40AA-94DE-746C3FC95433}"/>
            </c:ext>
          </c:extLst>
        </c:ser>
        <c:ser>
          <c:idx val="1"/>
          <c:order val="1"/>
          <c:tx>
            <c:strRef>
              <c:f>Charts!$F$2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2B2B2"/>
            </a:solidFill>
            <a:ln>
              <a:noFill/>
              <a:prstDash val="solid"/>
            </a:ln>
          </c:spPr>
          <c:invertIfNegative val="1"/>
          <c:dLbls>
            <c:dLbl>
              <c:idx val="0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C-40AA-94DE-746C3FC95433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EC-40AA-94DE-746C3FC95433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C-40AA-94DE-746C3FC95433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Charts!$A$3:$A$9</c:f>
              <c:strCache>
                <c:ptCount val="7"/>
                <c:pt idx="0">
                  <c:v>FY24 (statutory)</c:v>
                </c:pt>
                <c:pt idx="1">
                  <c:v>Significant Items</c:v>
                </c:pt>
                <c:pt idx="2">
                  <c:v>FY24 (adjusted)</c:v>
                </c:pt>
                <c:pt idx="3">
                  <c:v>Volume (000t)</c:v>
                </c:pt>
                <c:pt idx="4">
                  <c:v>Gross Margin (NZ$/t)</c:v>
                </c:pt>
                <c:pt idx="5">
                  <c:v>OPEX (NZ$m)</c:v>
                </c:pt>
                <c:pt idx="6">
                  <c:v>FY25 (adjusted)</c:v>
                </c:pt>
              </c:strCache>
            </c:strRef>
          </c:cat>
          <c:val>
            <c:numRef>
              <c:f>Charts!$F$3:$F$9</c:f>
              <c:numCache>
                <c:formatCode>#,##0.0</c:formatCode>
                <c:ptCount val="7"/>
                <c:pt idx="0">
                  <c:v>147.60000000000002</c:v>
                </c:pt>
                <c:pt idx="1">
                  <c:v>0</c:v>
                </c:pt>
                <c:pt idx="2">
                  <c:v>147.60000000000002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9EC-40AA-94DE-746C3FC95433}"/>
            </c:ext>
          </c:extLst>
        </c:ser>
        <c:ser>
          <c:idx val="2"/>
          <c:order val="2"/>
          <c:tx>
            <c:strRef>
              <c:f>Charts!$G$2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B6F0BD"/>
            </a:solidFill>
            <a:ln>
              <a:noFill/>
              <a:prstDash val="solid"/>
            </a:ln>
          </c:spPr>
          <c:invertIfNegative val="1"/>
          <c:dLbls>
            <c:dLbl>
              <c:idx val="5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C-40AA-94DE-746C3FC95433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Charts!$A$3:$A$9</c:f>
              <c:strCache>
                <c:ptCount val="7"/>
                <c:pt idx="0">
                  <c:v>FY24 (statutory)</c:v>
                </c:pt>
                <c:pt idx="1">
                  <c:v>Significant Items</c:v>
                </c:pt>
                <c:pt idx="2">
                  <c:v>FY24 (adjusted)</c:v>
                </c:pt>
                <c:pt idx="3">
                  <c:v>Volume (000t)</c:v>
                </c:pt>
                <c:pt idx="4">
                  <c:v>Gross Margin (NZ$/t)</c:v>
                </c:pt>
                <c:pt idx="5">
                  <c:v>OPEX (NZ$m)</c:v>
                </c:pt>
                <c:pt idx="6">
                  <c:v>FY25 (adjusted)</c:v>
                </c:pt>
              </c:strCache>
            </c:strRef>
          </c:cat>
          <c:val>
            <c:numRef>
              <c:f>Charts!$G$3:$G$9</c:f>
              <c:numCache>
                <c:formatCode>#,##0.0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0.80000000000006821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9EC-40AA-94DE-746C3FC95433}"/>
            </c:ext>
          </c:extLst>
        </c:ser>
        <c:ser>
          <c:idx val="3"/>
          <c:order val="3"/>
          <c:tx>
            <c:strRef>
              <c:f>Charts!$H$2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FFB7AF"/>
            </a:solidFill>
            <a:ln>
              <a:noFill/>
              <a:prstDash val="solid"/>
            </a:ln>
          </c:spPr>
          <c:invertIfNegative val="1"/>
          <c:dLbls>
            <c:dLbl>
              <c:idx val="3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C-40AA-94DE-746C3FC95433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EC-40AA-94DE-746C3FC95433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Charts!$A$3:$A$9</c:f>
              <c:strCache>
                <c:ptCount val="7"/>
                <c:pt idx="0">
                  <c:v>FY24 (statutory)</c:v>
                </c:pt>
                <c:pt idx="1">
                  <c:v>Significant Items</c:v>
                </c:pt>
                <c:pt idx="2">
                  <c:v>FY24 (adjusted)</c:v>
                </c:pt>
                <c:pt idx="3">
                  <c:v>Volume (000t)</c:v>
                </c:pt>
                <c:pt idx="4">
                  <c:v>Gross Margin (NZ$/t)</c:v>
                </c:pt>
                <c:pt idx="5">
                  <c:v>OPEX (NZ$m)</c:v>
                </c:pt>
                <c:pt idx="6">
                  <c:v>FY25 (adjusted)</c:v>
                </c:pt>
              </c:strCache>
            </c:strRef>
          </c:cat>
          <c:val>
            <c:numRef>
              <c:f>Charts!$H$3:$H$9</c:f>
              <c:numCache>
                <c:formatCode>#,##0.0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25.919218880534675</c:v>
                </c:pt>
                <c:pt idx="4">
                  <c:v>10.480781119465416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29EC-40AA-94DE-746C3FC95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Steel EBITDA Movement from FY24 to FY25 (NZ$m)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Charts!$E$13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Charts!$A$14:$A$18</c:f>
              <c:strCache>
                <c:ptCount val="5"/>
                <c:pt idx="0">
                  <c:v>FY24 Steel EBITDA</c:v>
                </c:pt>
                <c:pt idx="1">
                  <c:v>Volume (000t)</c:v>
                </c:pt>
                <c:pt idx="2">
                  <c:v>Gross Margin (NZ$/t)</c:v>
                </c:pt>
                <c:pt idx="3">
                  <c:v>OPEX (NZ$m)</c:v>
                </c:pt>
                <c:pt idx="4">
                  <c:v>FY25 Steel EBITDA</c:v>
                </c:pt>
              </c:strCache>
            </c:strRef>
          </c:cat>
          <c:val>
            <c:numRef>
              <c:f>Charts!$E$14:$E$18</c:f>
              <c:numCache>
                <c:formatCode>#,##0.0</c:formatCode>
                <c:ptCount val="5"/>
                <c:pt idx="0">
                  <c:v>0</c:v>
                </c:pt>
                <c:pt idx="1">
                  <c:v>60.550555555555547</c:v>
                </c:pt>
                <c:pt idx="2">
                  <c:v>44.3</c:v>
                </c:pt>
                <c:pt idx="3">
                  <c:v>44.1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8-4FD1-90D2-BB1DB278783A}"/>
            </c:ext>
          </c:extLst>
        </c:ser>
        <c:ser>
          <c:idx val="1"/>
          <c:order val="1"/>
          <c:tx>
            <c:strRef>
              <c:f>Charts!$F$13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2B2B2"/>
            </a:solidFill>
            <a:ln>
              <a:noFill/>
              <a:prstDash val="solid"/>
            </a:ln>
          </c:spPr>
          <c:invertIfNegative val="1"/>
          <c:dLbls>
            <c:dLbl>
              <c:idx val="0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38-4FD1-90D2-BB1DB278783A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38-4FD1-90D2-BB1DB278783A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Charts!$A$14:$A$18</c:f>
              <c:strCache>
                <c:ptCount val="5"/>
                <c:pt idx="0">
                  <c:v>FY24 Steel EBITDA</c:v>
                </c:pt>
                <c:pt idx="1">
                  <c:v>Volume (000t)</c:v>
                </c:pt>
                <c:pt idx="2">
                  <c:v>Gross Margin (NZ$/t)</c:v>
                </c:pt>
                <c:pt idx="3">
                  <c:v>OPEX (NZ$m)</c:v>
                </c:pt>
                <c:pt idx="4">
                  <c:v>FY25 Steel EBITDA</c:v>
                </c:pt>
              </c:strCache>
            </c:strRef>
          </c:cat>
          <c:val>
            <c:numRef>
              <c:f>Charts!$F$14:$F$18</c:f>
              <c:numCache>
                <c:formatCode>#,##0.0</c:formatCode>
                <c:ptCount val="5"/>
                <c:pt idx="0">
                  <c:v>68.8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138-4FD1-90D2-BB1DB278783A}"/>
            </c:ext>
          </c:extLst>
        </c:ser>
        <c:ser>
          <c:idx val="2"/>
          <c:order val="2"/>
          <c:tx>
            <c:strRef>
              <c:f>Charts!$G$13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B6F0BD"/>
            </a:solidFill>
            <a:ln>
              <a:noFill/>
              <a:prstDash val="solid"/>
            </a:ln>
          </c:spPr>
          <c:invertIfNegative val="1"/>
          <c:cat>
            <c:strRef>
              <c:f>Charts!$A$14:$A$18</c:f>
              <c:strCache>
                <c:ptCount val="5"/>
                <c:pt idx="0">
                  <c:v>FY24 Steel EBITDA</c:v>
                </c:pt>
                <c:pt idx="1">
                  <c:v>Volume (000t)</c:v>
                </c:pt>
                <c:pt idx="2">
                  <c:v>Gross Margin (NZ$/t)</c:v>
                </c:pt>
                <c:pt idx="3">
                  <c:v>OPEX (NZ$m)</c:v>
                </c:pt>
                <c:pt idx="4">
                  <c:v>FY25 Steel EBITDA</c:v>
                </c:pt>
              </c:strCache>
            </c:strRef>
          </c:cat>
          <c:val>
            <c:numRef>
              <c:f>Charts!$G$14:$G$18</c:f>
              <c:numCache>
                <c:formatCode>#,##0.0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138-4FD1-90D2-BB1DB278783A}"/>
            </c:ext>
          </c:extLst>
        </c:ser>
        <c:ser>
          <c:idx val="3"/>
          <c:order val="3"/>
          <c:tx>
            <c:strRef>
              <c:f>Charts!$H$13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FFB7AF"/>
            </a:solidFill>
            <a:ln>
              <a:noFill/>
              <a:prstDash val="solid"/>
            </a:ln>
          </c:spPr>
          <c:invertIfNegative val="1"/>
          <c:dLbls>
            <c:dLbl>
              <c:idx val="1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38-4FD1-90D2-BB1DB278783A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38-4FD1-90D2-BB1DB278783A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38-4FD1-90D2-BB1DB278783A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Charts!$A$14:$A$18</c:f>
              <c:strCache>
                <c:ptCount val="5"/>
                <c:pt idx="0">
                  <c:v>FY24 Steel EBITDA</c:v>
                </c:pt>
                <c:pt idx="1">
                  <c:v>Volume (000t)</c:v>
                </c:pt>
                <c:pt idx="2">
                  <c:v>Gross Margin (NZ$/t)</c:v>
                </c:pt>
                <c:pt idx="3">
                  <c:v>OPEX (NZ$m)</c:v>
                </c:pt>
                <c:pt idx="4">
                  <c:v>FY25 Steel EBITDA</c:v>
                </c:pt>
              </c:strCache>
            </c:strRef>
          </c:cat>
          <c:val>
            <c:numRef>
              <c:f>Charts!$H$14:$H$18</c:f>
              <c:numCache>
                <c:formatCode>#,##0.0</c:formatCode>
                <c:ptCount val="5"/>
                <c:pt idx="0">
                  <c:v>0</c:v>
                </c:pt>
                <c:pt idx="1">
                  <c:v>8.2494444444444532</c:v>
                </c:pt>
                <c:pt idx="2">
                  <c:v>16.250555555555547</c:v>
                </c:pt>
                <c:pt idx="3">
                  <c:v>0.19999999999999574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7138-4FD1-90D2-BB1DB2787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Metals EBITDA Movement from FY24 to FY25 (NZ$m)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Charts!$E$22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Charts!$A$23:$A$27</c:f>
              <c:strCache>
                <c:ptCount val="5"/>
                <c:pt idx="0">
                  <c:v>FY24 Metals EBITDA</c:v>
                </c:pt>
                <c:pt idx="1">
                  <c:v>Volume (000t)</c:v>
                </c:pt>
                <c:pt idx="2">
                  <c:v>Gross Margin (NZ$/t)</c:v>
                </c:pt>
                <c:pt idx="3">
                  <c:v>OPEX (NZ$m)</c:v>
                </c:pt>
                <c:pt idx="4">
                  <c:v>FY25 Metals EBITDA</c:v>
                </c:pt>
              </c:strCache>
            </c:strRef>
          </c:cat>
          <c:val>
            <c:numRef>
              <c:f>Charts!$E$23:$E$27</c:f>
              <c:numCache>
                <c:formatCode>#,##0.0</c:formatCode>
                <c:ptCount val="5"/>
                <c:pt idx="0">
                  <c:v>0</c:v>
                </c:pt>
                <c:pt idx="1">
                  <c:v>81.830225563909778</c:v>
                </c:pt>
                <c:pt idx="2">
                  <c:v>81.830225563909778</c:v>
                </c:pt>
                <c:pt idx="3">
                  <c:v>84.9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3-451D-B36F-531BE99F4EEE}"/>
            </c:ext>
          </c:extLst>
        </c:ser>
        <c:ser>
          <c:idx val="1"/>
          <c:order val="1"/>
          <c:tx>
            <c:strRef>
              <c:f>Charts!$F$22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2B2B2"/>
            </a:solidFill>
            <a:ln>
              <a:noFill/>
              <a:prstDash val="solid"/>
            </a:ln>
          </c:spPr>
          <c:invertIfNegative val="1"/>
          <c:dLbls>
            <c:dLbl>
              <c:idx val="0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B3-451D-B36F-531BE99F4EEE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B3-451D-B36F-531BE99F4EEE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Charts!$A$23:$A$27</c:f>
              <c:strCache>
                <c:ptCount val="5"/>
                <c:pt idx="0">
                  <c:v>FY24 Metals EBITDA</c:v>
                </c:pt>
                <c:pt idx="1">
                  <c:v>Volume (000t)</c:v>
                </c:pt>
                <c:pt idx="2">
                  <c:v>Gross Margin (NZ$/t)</c:v>
                </c:pt>
                <c:pt idx="3">
                  <c:v>OPEX (NZ$m)</c:v>
                </c:pt>
                <c:pt idx="4">
                  <c:v>FY25 Metals EBITDA</c:v>
                </c:pt>
              </c:strCache>
            </c:strRef>
          </c:cat>
          <c:val>
            <c:numRef>
              <c:f>Charts!$F$23:$F$27</c:f>
              <c:numCache>
                <c:formatCode>#,##0.0</c:formatCode>
                <c:ptCount val="5"/>
                <c:pt idx="0">
                  <c:v>99.5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84.9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1B3-451D-B36F-531BE99F4EEE}"/>
            </c:ext>
          </c:extLst>
        </c:ser>
        <c:ser>
          <c:idx val="2"/>
          <c:order val="2"/>
          <c:tx>
            <c:strRef>
              <c:f>Charts!$G$22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B6F0BD"/>
            </a:solidFill>
            <a:ln>
              <a:noFill/>
              <a:prstDash val="solid"/>
            </a:ln>
          </c:spPr>
          <c:invertIfNegative val="1"/>
          <c:dLbls>
            <c:dLbl>
              <c:idx val="2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B3-451D-B36F-531BE99F4EEE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Charts!$A$23:$A$27</c:f>
              <c:strCache>
                <c:ptCount val="5"/>
                <c:pt idx="0">
                  <c:v>FY24 Metals EBITDA</c:v>
                </c:pt>
                <c:pt idx="1">
                  <c:v>Volume (000t)</c:v>
                </c:pt>
                <c:pt idx="2">
                  <c:v>Gross Margin (NZ$/t)</c:v>
                </c:pt>
                <c:pt idx="3">
                  <c:v>OPEX (NZ$m)</c:v>
                </c:pt>
                <c:pt idx="4">
                  <c:v>FY25 Metals EBITDA</c:v>
                </c:pt>
              </c:strCache>
            </c:strRef>
          </c:cat>
          <c:val>
            <c:numRef>
              <c:f>Charts!$G$23:$G$27</c:f>
              <c:numCache>
                <c:formatCode>#,##0.0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5.7697744360901879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D1B3-451D-B36F-531BE99F4EEE}"/>
            </c:ext>
          </c:extLst>
        </c:ser>
        <c:ser>
          <c:idx val="3"/>
          <c:order val="3"/>
          <c:tx>
            <c:strRef>
              <c:f>Charts!$H$22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FFB7AF"/>
            </a:solidFill>
            <a:ln>
              <a:noFill/>
              <a:prstDash val="solid"/>
            </a:ln>
          </c:spPr>
          <c:invertIfNegative val="1"/>
          <c:dLbls>
            <c:dLbl>
              <c:idx val="1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1B3-451D-B36F-531BE99F4EEE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B3-451D-B36F-531BE99F4EEE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Charts!$A$23:$A$27</c:f>
              <c:strCache>
                <c:ptCount val="5"/>
                <c:pt idx="0">
                  <c:v>FY24 Metals EBITDA</c:v>
                </c:pt>
                <c:pt idx="1">
                  <c:v>Volume (000t)</c:v>
                </c:pt>
                <c:pt idx="2">
                  <c:v>Gross Margin (NZ$/t)</c:v>
                </c:pt>
                <c:pt idx="3">
                  <c:v>OPEX (NZ$m)</c:v>
                </c:pt>
                <c:pt idx="4">
                  <c:v>FY25 Metals EBITDA</c:v>
                </c:pt>
              </c:strCache>
            </c:strRef>
          </c:cat>
          <c:val>
            <c:numRef>
              <c:f>Charts!$H$23:$H$27</c:f>
              <c:numCache>
                <c:formatCode>#,##0.0</c:formatCode>
                <c:ptCount val="5"/>
                <c:pt idx="0">
                  <c:v>0</c:v>
                </c:pt>
                <c:pt idx="1">
                  <c:v>17.669774436090222</c:v>
                </c:pt>
                <c:pt idx="2">
                  <c:v>0</c:v>
                </c:pt>
                <c:pt idx="3">
                  <c:v>2.6999999999999602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D1B3-451D-B36F-531BE99F4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FY25 Earnings and Cashflow (CF) Movements (NZ$m)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Charts!$E$31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Charts!$A$32:$A$41</c:f>
              <c:strCache>
                <c:ptCount val="10"/>
                <c:pt idx="0">
                  <c:v>Adjusted EBITDA</c:v>
                </c:pt>
                <c:pt idx="1">
                  <c:v>Lease interest</c:v>
                </c:pt>
                <c:pt idx="2">
                  <c:v>Interest Paid</c:v>
                </c:pt>
                <c:pt idx="3">
                  <c:v>Tax paid</c:v>
                </c:pt>
                <c:pt idx="4">
                  <c:v>CF pre W/Capital</c:v>
                </c:pt>
                <c:pt idx="5">
                  <c:v>W/Cap/Other</c:v>
                </c:pt>
                <c:pt idx="6">
                  <c:v>Operating CF</c:v>
                </c:pt>
                <c:pt idx="7">
                  <c:v>Net Capex</c:v>
                </c:pt>
                <c:pt idx="8">
                  <c:v>Lease payments</c:v>
                </c:pt>
                <c:pt idx="9">
                  <c:v>Free cash flow</c:v>
                </c:pt>
              </c:strCache>
            </c:strRef>
          </c:cat>
          <c:val>
            <c:numRef>
              <c:f>Charts!$E$32:$E$41</c:f>
              <c:numCache>
                <c:formatCode>#,##0.0</c:formatCode>
                <c:ptCount val="10"/>
                <c:pt idx="0">
                  <c:v>0</c:v>
                </c:pt>
                <c:pt idx="1">
                  <c:v>94</c:v>
                </c:pt>
                <c:pt idx="2">
                  <c:v>70.099999999999994</c:v>
                </c:pt>
                <c:pt idx="3">
                  <c:v>62.599999999999994</c:v>
                </c:pt>
                <c:pt idx="4">
                  <c:v>0</c:v>
                </c:pt>
                <c:pt idx="5">
                  <c:v>62.599999999999994</c:v>
                </c:pt>
                <c:pt idx="6">
                  <c:v>0</c:v>
                </c:pt>
                <c:pt idx="7">
                  <c:v>87.8</c:v>
                </c:pt>
                <c:pt idx="8">
                  <c:v>61.099999999999994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C-4C37-92B2-4DF1D96A0301}"/>
            </c:ext>
          </c:extLst>
        </c:ser>
        <c:ser>
          <c:idx val="1"/>
          <c:order val="1"/>
          <c:tx>
            <c:strRef>
              <c:f>Charts!$F$31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2B2B2"/>
            </a:solidFill>
            <a:ln>
              <a:noFill/>
              <a:prstDash val="solid"/>
            </a:ln>
          </c:spPr>
          <c:invertIfNegative val="1"/>
          <c:dLbls>
            <c:dLbl>
              <c:idx val="0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AC-4C37-92B2-4DF1D96A0301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AC-4C37-92B2-4DF1D96A0301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AC-4C37-92B2-4DF1D96A0301}"/>
                </c:ext>
              </c:extLst>
            </c:dLbl>
            <c:dLbl>
              <c:idx val="9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CAC-4C37-92B2-4DF1D96A0301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Charts!$A$32:$A$41</c:f>
              <c:strCache>
                <c:ptCount val="10"/>
                <c:pt idx="0">
                  <c:v>Adjusted EBITDA</c:v>
                </c:pt>
                <c:pt idx="1">
                  <c:v>Lease interest</c:v>
                </c:pt>
                <c:pt idx="2">
                  <c:v>Interest Paid</c:v>
                </c:pt>
                <c:pt idx="3">
                  <c:v>Tax paid</c:v>
                </c:pt>
                <c:pt idx="4">
                  <c:v>CF pre W/Capital</c:v>
                </c:pt>
                <c:pt idx="5">
                  <c:v>W/Cap/Other</c:v>
                </c:pt>
                <c:pt idx="6">
                  <c:v>Operating CF</c:v>
                </c:pt>
                <c:pt idx="7">
                  <c:v>Net Capex</c:v>
                </c:pt>
                <c:pt idx="8">
                  <c:v>Lease payments</c:v>
                </c:pt>
                <c:pt idx="9">
                  <c:v>Free cash flow</c:v>
                </c:pt>
              </c:strCache>
            </c:strRef>
          </c:cat>
          <c:val>
            <c:numRef>
              <c:f>Charts!$F$32:$F$41</c:f>
              <c:numCache>
                <c:formatCode>#,##0.0</c:formatCode>
                <c:ptCount val="10"/>
                <c:pt idx="0">
                  <c:v>112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62.599999999999994</c:v>
                </c:pt>
                <c:pt idx="5">
                  <c:v>0</c:v>
                </c:pt>
                <c:pt idx="6">
                  <c:v>105</c:v>
                </c:pt>
                <c:pt idx="7">
                  <c:v>0</c:v>
                </c:pt>
                <c:pt idx="8">
                  <c:v>0</c:v>
                </c:pt>
                <c:pt idx="9">
                  <c:v>61.099999999999994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DCAC-4C37-92B2-4DF1D96A0301}"/>
            </c:ext>
          </c:extLst>
        </c:ser>
        <c:ser>
          <c:idx val="2"/>
          <c:order val="2"/>
          <c:tx>
            <c:strRef>
              <c:f>Charts!$G$31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B6F0BD"/>
            </a:solidFill>
            <a:ln>
              <a:noFill/>
              <a:prstDash val="solid"/>
            </a:ln>
          </c:spPr>
          <c:invertIfNegative val="1"/>
          <c:dLbls>
            <c:dLbl>
              <c:idx val="5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CAC-4C37-92B2-4DF1D96A0301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Charts!$A$32:$A$41</c:f>
              <c:strCache>
                <c:ptCount val="10"/>
                <c:pt idx="0">
                  <c:v>Adjusted EBITDA</c:v>
                </c:pt>
                <c:pt idx="1">
                  <c:v>Lease interest</c:v>
                </c:pt>
                <c:pt idx="2">
                  <c:v>Interest Paid</c:v>
                </c:pt>
                <c:pt idx="3">
                  <c:v>Tax paid</c:v>
                </c:pt>
                <c:pt idx="4">
                  <c:v>CF pre W/Capital</c:v>
                </c:pt>
                <c:pt idx="5">
                  <c:v>W/Cap/Other</c:v>
                </c:pt>
                <c:pt idx="6">
                  <c:v>Operating CF</c:v>
                </c:pt>
                <c:pt idx="7">
                  <c:v>Net Capex</c:v>
                </c:pt>
                <c:pt idx="8">
                  <c:v>Lease payments</c:v>
                </c:pt>
                <c:pt idx="9">
                  <c:v>Free cash flow</c:v>
                </c:pt>
              </c:strCache>
            </c:strRef>
          </c:cat>
          <c:val>
            <c:numRef>
              <c:f>Charts!$G$32:$G$41</c:f>
              <c:numCache>
                <c:formatCode>#,##0.0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42.400000000000006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DCAC-4C37-92B2-4DF1D96A0301}"/>
            </c:ext>
          </c:extLst>
        </c:ser>
        <c:ser>
          <c:idx val="3"/>
          <c:order val="3"/>
          <c:tx>
            <c:strRef>
              <c:f>Charts!$H$31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FFB7AF"/>
            </a:solidFill>
            <a:ln>
              <a:noFill/>
              <a:prstDash val="solid"/>
            </a:ln>
          </c:spPr>
          <c:invertIfNegative val="1"/>
          <c:dLbls>
            <c:dLbl>
              <c:idx val="1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CAC-4C37-92B2-4DF1D96A0301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CAC-4C37-92B2-4DF1D96A0301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CAC-4C37-92B2-4DF1D96A0301}"/>
                </c:ext>
              </c:extLst>
            </c:dLbl>
            <c:dLbl>
              <c:idx val="7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CAC-4C37-92B2-4DF1D96A0301}"/>
                </c:ext>
              </c:extLst>
            </c:dLbl>
            <c:dLbl>
              <c:idx val="8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CAC-4C37-92B2-4DF1D96A0301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Charts!$A$32:$A$41</c:f>
              <c:strCache>
                <c:ptCount val="10"/>
                <c:pt idx="0">
                  <c:v>Adjusted EBITDA</c:v>
                </c:pt>
                <c:pt idx="1">
                  <c:v>Lease interest</c:v>
                </c:pt>
                <c:pt idx="2">
                  <c:v>Interest Paid</c:v>
                </c:pt>
                <c:pt idx="3">
                  <c:v>Tax paid</c:v>
                </c:pt>
                <c:pt idx="4">
                  <c:v>CF pre W/Capital</c:v>
                </c:pt>
                <c:pt idx="5">
                  <c:v>W/Cap/Other</c:v>
                </c:pt>
                <c:pt idx="6">
                  <c:v>Operating CF</c:v>
                </c:pt>
                <c:pt idx="7">
                  <c:v>Net Capex</c:v>
                </c:pt>
                <c:pt idx="8">
                  <c:v>Lease payments</c:v>
                </c:pt>
                <c:pt idx="9">
                  <c:v>Free cash flow</c:v>
                </c:pt>
              </c:strCache>
            </c:strRef>
          </c:cat>
          <c:val>
            <c:numRef>
              <c:f>Charts!$H$32:$H$41</c:f>
              <c:numCache>
                <c:formatCode>#,##0.0</c:formatCode>
                <c:ptCount val="10"/>
                <c:pt idx="0">
                  <c:v>0</c:v>
                </c:pt>
                <c:pt idx="1">
                  <c:v>18</c:v>
                </c:pt>
                <c:pt idx="2">
                  <c:v>23.9</c:v>
                </c:pt>
                <c:pt idx="3">
                  <c:v>7.5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17.200000000000003</c:v>
                </c:pt>
                <c:pt idx="8">
                  <c:v>26.7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DCAC-4C37-92B2-4DF1D96A0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Movement in Working Capital (excl tax, NZ$m)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Charts!$E$45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Charts!$A$46:$A$50</c:f>
              <c:strCache>
                <c:ptCount val="5"/>
                <c:pt idx="0">
                  <c:v>Jun 24</c:v>
                </c:pt>
                <c:pt idx="1">
                  <c:v>Inventory</c:v>
                </c:pt>
                <c:pt idx="2">
                  <c:v>Debtors</c:v>
                </c:pt>
                <c:pt idx="3">
                  <c:v>Creditors</c:v>
                </c:pt>
                <c:pt idx="4">
                  <c:v>Jun 25</c:v>
                </c:pt>
              </c:strCache>
            </c:strRef>
          </c:cat>
          <c:val>
            <c:numRef>
              <c:f>Charts!$E$46:$E$50</c:f>
              <c:numCache>
                <c:formatCode>#,##0.0</c:formatCode>
                <c:ptCount val="5"/>
                <c:pt idx="0">
                  <c:v>0</c:v>
                </c:pt>
                <c:pt idx="1">
                  <c:v>334.6</c:v>
                </c:pt>
                <c:pt idx="2">
                  <c:v>320.60000000000002</c:v>
                </c:pt>
                <c:pt idx="3">
                  <c:v>320.60000000000002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3-4B55-9E5B-1311920FBBB5}"/>
            </c:ext>
          </c:extLst>
        </c:ser>
        <c:ser>
          <c:idx val="1"/>
          <c:order val="1"/>
          <c:tx>
            <c:strRef>
              <c:f>Charts!$F$45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2B2B2"/>
            </a:solidFill>
            <a:ln>
              <a:noFill/>
              <a:prstDash val="solid"/>
            </a:ln>
          </c:spPr>
          <c:invertIfNegative val="1"/>
          <c:dLbls>
            <c:dLbl>
              <c:idx val="0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A3-4B55-9E5B-1311920FBBB5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A3-4B55-9E5B-1311920FBBB5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Charts!$A$46:$A$50</c:f>
              <c:strCache>
                <c:ptCount val="5"/>
                <c:pt idx="0">
                  <c:v>Jun 24</c:v>
                </c:pt>
                <c:pt idx="1">
                  <c:v>Inventory</c:v>
                </c:pt>
                <c:pt idx="2">
                  <c:v>Debtors</c:v>
                </c:pt>
                <c:pt idx="3">
                  <c:v>Creditors</c:v>
                </c:pt>
                <c:pt idx="4">
                  <c:v>Jun 25</c:v>
                </c:pt>
              </c:strCache>
            </c:strRef>
          </c:cat>
          <c:val>
            <c:numRef>
              <c:f>Charts!$F$46:$F$50</c:f>
              <c:numCache>
                <c:formatCode>#,##0.0</c:formatCode>
                <c:ptCount val="5"/>
                <c:pt idx="0">
                  <c:v>361.30000000000007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321.39999999999998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6A3-4B55-9E5B-1311920FBBB5}"/>
            </c:ext>
          </c:extLst>
        </c:ser>
        <c:ser>
          <c:idx val="2"/>
          <c:order val="2"/>
          <c:tx>
            <c:strRef>
              <c:f>Charts!$G$45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B6F0BD"/>
            </a:solidFill>
            <a:ln>
              <a:noFill/>
              <a:prstDash val="solid"/>
            </a:ln>
          </c:spPr>
          <c:invertIfNegative val="1"/>
          <c:dLbls>
            <c:dLbl>
              <c:idx val="3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A3-4B55-9E5B-1311920FBBB5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Charts!$A$46:$A$50</c:f>
              <c:strCache>
                <c:ptCount val="5"/>
                <c:pt idx="0">
                  <c:v>Jun 24</c:v>
                </c:pt>
                <c:pt idx="1">
                  <c:v>Inventory</c:v>
                </c:pt>
                <c:pt idx="2">
                  <c:v>Debtors</c:v>
                </c:pt>
                <c:pt idx="3">
                  <c:v>Creditors</c:v>
                </c:pt>
                <c:pt idx="4">
                  <c:v>Jun 25</c:v>
                </c:pt>
              </c:strCache>
            </c:strRef>
          </c:cat>
          <c:val>
            <c:numRef>
              <c:f>Charts!$G$46:$G$50</c:f>
              <c:numCache>
                <c:formatCode>#,##0.0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0.79999999999998295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F6A3-4B55-9E5B-1311920FBBB5}"/>
            </c:ext>
          </c:extLst>
        </c:ser>
        <c:ser>
          <c:idx val="3"/>
          <c:order val="3"/>
          <c:tx>
            <c:strRef>
              <c:f>Charts!$H$45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FFB7AF"/>
            </a:solidFill>
            <a:ln>
              <a:noFill/>
              <a:prstDash val="solid"/>
            </a:ln>
          </c:spPr>
          <c:invertIfNegative val="1"/>
          <c:dLbls>
            <c:dLbl>
              <c:idx val="1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A3-4B55-9E5B-1311920FBBB5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A3-4B55-9E5B-1311920FBBB5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Charts!$A$46:$A$50</c:f>
              <c:strCache>
                <c:ptCount val="5"/>
                <c:pt idx="0">
                  <c:v>Jun 24</c:v>
                </c:pt>
                <c:pt idx="1">
                  <c:v>Inventory</c:v>
                </c:pt>
                <c:pt idx="2">
                  <c:v>Debtors</c:v>
                </c:pt>
                <c:pt idx="3">
                  <c:v>Creditors</c:v>
                </c:pt>
                <c:pt idx="4">
                  <c:v>Jun 25</c:v>
                </c:pt>
              </c:strCache>
            </c:strRef>
          </c:cat>
          <c:val>
            <c:numRef>
              <c:f>Charts!$H$46:$H$50</c:f>
              <c:numCache>
                <c:formatCode>#,##0.0</c:formatCode>
                <c:ptCount val="5"/>
                <c:pt idx="0">
                  <c:v>0</c:v>
                </c:pt>
                <c:pt idx="1">
                  <c:v>26.700000000000045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F6A3-4B55-9E5B-1311920FB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Revenue Movement from FY24 to FY25 (NZ$m)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Charts!$E$53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Charts!$A$54:$A$59</c:f>
              <c:strCache>
                <c:ptCount val="6"/>
                <c:pt idx="0">
                  <c:v>FY24 Revenue</c:v>
                </c:pt>
                <c:pt idx="1">
                  <c:v>Steel Volume (000t)</c:v>
                </c:pt>
                <c:pt idx="2">
                  <c:v>Steel Price (NZ$/t)</c:v>
                </c:pt>
                <c:pt idx="3">
                  <c:v>Metals Volume (000t)</c:v>
                </c:pt>
                <c:pt idx="4">
                  <c:v>Metals Price (NZ$/t)</c:v>
                </c:pt>
                <c:pt idx="5">
                  <c:v>FY25 Revenue</c:v>
                </c:pt>
              </c:strCache>
            </c:strRef>
          </c:cat>
          <c:val>
            <c:numRef>
              <c:f>Charts!$E$54:$E$59</c:f>
              <c:numCache>
                <c:formatCode>#,##0.0</c:formatCode>
                <c:ptCount val="6"/>
                <c:pt idx="0">
                  <c:v>0</c:v>
                </c:pt>
                <c:pt idx="1">
                  <c:v>1037.2438888888887</c:v>
                </c:pt>
                <c:pt idx="2">
                  <c:v>1002.6999999999998</c:v>
                </c:pt>
                <c:pt idx="3">
                  <c:v>954.54661654135316</c:v>
                </c:pt>
                <c:pt idx="4">
                  <c:v>948.0999999999998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C-464C-A50A-B66A209E7493}"/>
            </c:ext>
          </c:extLst>
        </c:ser>
        <c:ser>
          <c:idx val="1"/>
          <c:order val="1"/>
          <c:tx>
            <c:strRef>
              <c:f>Charts!$F$53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2B2B2"/>
            </a:solidFill>
            <a:ln>
              <a:noFill/>
              <a:prstDash val="solid"/>
            </a:ln>
          </c:spPr>
          <c:invertIfNegative val="1"/>
          <c:dLbls>
            <c:dLbl>
              <c:idx val="0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9C-464C-A50A-B66A209E7493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9C-464C-A50A-B66A209E7493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Charts!$A$54:$A$59</c:f>
              <c:strCache>
                <c:ptCount val="6"/>
                <c:pt idx="0">
                  <c:v>FY24 Revenue</c:v>
                </c:pt>
                <c:pt idx="1">
                  <c:v>Steel Volume (000t)</c:v>
                </c:pt>
                <c:pt idx="2">
                  <c:v>Steel Price (NZ$/t)</c:v>
                </c:pt>
                <c:pt idx="3">
                  <c:v>Metals Volume (000t)</c:v>
                </c:pt>
                <c:pt idx="4">
                  <c:v>Metals Price (NZ$/t)</c:v>
                </c:pt>
                <c:pt idx="5">
                  <c:v>FY25 Revenue</c:v>
                </c:pt>
              </c:strCache>
            </c:strRef>
          </c:cat>
          <c:val>
            <c:numRef>
              <c:f>Charts!$F$54:$F$59</c:f>
              <c:numCache>
                <c:formatCode>#,##0.0</c:formatCode>
                <c:ptCount val="6"/>
                <c:pt idx="0">
                  <c:v>1064.3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948.09999999999991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C9C-464C-A50A-B66A209E7493}"/>
            </c:ext>
          </c:extLst>
        </c:ser>
        <c:ser>
          <c:idx val="2"/>
          <c:order val="2"/>
          <c:tx>
            <c:strRef>
              <c:f>Charts!$G$53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B6F0BD"/>
            </a:solidFill>
            <a:ln>
              <a:noFill/>
              <a:prstDash val="solid"/>
            </a:ln>
          </c:spPr>
          <c:invertIfNegative val="1"/>
          <c:cat>
            <c:strRef>
              <c:f>Charts!$A$54:$A$59</c:f>
              <c:strCache>
                <c:ptCount val="6"/>
                <c:pt idx="0">
                  <c:v>FY24 Revenue</c:v>
                </c:pt>
                <c:pt idx="1">
                  <c:v>Steel Volume (000t)</c:v>
                </c:pt>
                <c:pt idx="2">
                  <c:v>Steel Price (NZ$/t)</c:v>
                </c:pt>
                <c:pt idx="3">
                  <c:v>Metals Volume (000t)</c:v>
                </c:pt>
                <c:pt idx="4">
                  <c:v>Metals Price (NZ$/t)</c:v>
                </c:pt>
                <c:pt idx="5">
                  <c:v>FY25 Revenue</c:v>
                </c:pt>
              </c:strCache>
            </c:strRef>
          </c:cat>
          <c:val>
            <c:numRef>
              <c:f>Charts!$G$54:$G$59</c:f>
              <c:numCache>
                <c:formatCode>#,##0.0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AC9C-464C-A50A-B66A209E7493}"/>
            </c:ext>
          </c:extLst>
        </c:ser>
        <c:ser>
          <c:idx val="3"/>
          <c:order val="3"/>
          <c:tx>
            <c:strRef>
              <c:f>Charts!$H$53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FFB7AF"/>
            </a:solidFill>
            <a:ln>
              <a:noFill/>
              <a:prstDash val="solid"/>
            </a:ln>
          </c:spPr>
          <c:invertIfNegative val="1"/>
          <c:dLbls>
            <c:dLbl>
              <c:idx val="1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9C-464C-A50A-B66A209E7493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C9C-464C-A50A-B66A209E7493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9C-464C-A50A-B66A209E7493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C9C-464C-A50A-B66A209E7493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Charts!$A$54:$A$59</c:f>
              <c:strCache>
                <c:ptCount val="6"/>
                <c:pt idx="0">
                  <c:v>FY24 Revenue</c:v>
                </c:pt>
                <c:pt idx="1">
                  <c:v>Steel Volume (000t)</c:v>
                </c:pt>
                <c:pt idx="2">
                  <c:v>Steel Price (NZ$/t)</c:v>
                </c:pt>
                <c:pt idx="3">
                  <c:v>Metals Volume (000t)</c:v>
                </c:pt>
                <c:pt idx="4">
                  <c:v>Metals Price (NZ$/t)</c:v>
                </c:pt>
                <c:pt idx="5">
                  <c:v>FY25 Revenue</c:v>
                </c:pt>
              </c:strCache>
            </c:strRef>
          </c:cat>
          <c:val>
            <c:numRef>
              <c:f>Charts!$H$54:$H$59</c:f>
              <c:numCache>
                <c:formatCode>#,##0.0</c:formatCode>
                <c:ptCount val="6"/>
                <c:pt idx="0">
                  <c:v>0</c:v>
                </c:pt>
                <c:pt idx="1">
                  <c:v>27.056111111111147</c:v>
                </c:pt>
                <c:pt idx="2">
                  <c:v>34.543888888888851</c:v>
                </c:pt>
                <c:pt idx="3">
                  <c:v>48.153383458646601</c:v>
                </c:pt>
                <c:pt idx="4">
                  <c:v>6.4466165413533236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AC9C-464C-A50A-B66A209E7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16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32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48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114300</xdr:colOff>
      <xdr:row>64</xdr:row>
      <xdr:rowOff>85725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95250</xdr:colOff>
      <xdr:row>80</xdr:row>
      <xdr:rowOff>85725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66"/>
  <sheetViews>
    <sheetView topLeftCell="A18" workbookViewId="0">
      <selection activeCell="G24" sqref="G24"/>
    </sheetView>
  </sheetViews>
  <sheetFormatPr defaultRowHeight="14.5" x14ac:dyDescent="0.35"/>
  <cols>
    <col min="1" max="1" width="3" customWidth="1"/>
    <col min="2" max="2" width="30" customWidth="1"/>
    <col min="3" max="18" width="12" customWidth="1"/>
  </cols>
  <sheetData>
    <row r="2" spans="2:18" ht="18.5" customHeight="1" x14ac:dyDescent="0.45">
      <c r="B2" s="1" t="s">
        <v>276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2:18" x14ac:dyDescent="0.35">
      <c r="B4" t="s">
        <v>277</v>
      </c>
      <c r="C4" s="44">
        <v>7.91</v>
      </c>
    </row>
    <row r="5" spans="2:18" x14ac:dyDescent="0.35">
      <c r="B5" t="s">
        <v>278</v>
      </c>
      <c r="C5" s="3">
        <f>Annual!G79</f>
        <v>146.53</v>
      </c>
    </row>
    <row r="6" spans="2:18" x14ac:dyDescent="0.35">
      <c r="B6" t="s">
        <v>279</v>
      </c>
      <c r="C6" s="4">
        <f>C4*C5</f>
        <v>1159.0523000000001</v>
      </c>
    </row>
    <row r="7" spans="2:18" x14ac:dyDescent="0.35">
      <c r="B7" t="s">
        <v>280</v>
      </c>
      <c r="C7" s="4">
        <f>Annual!F131</f>
        <v>232.29999999999998</v>
      </c>
    </row>
    <row r="8" spans="2:18" x14ac:dyDescent="0.35">
      <c r="B8" t="s">
        <v>281</v>
      </c>
      <c r="C8" s="4">
        <f>C6+C7</f>
        <v>1391.3523</v>
      </c>
    </row>
    <row r="9" spans="2:18" x14ac:dyDescent="0.35">
      <c r="B9" t="s">
        <v>282</v>
      </c>
      <c r="C9" s="65">
        <v>46022</v>
      </c>
    </row>
    <row r="11" spans="2:18" x14ac:dyDescent="0.35">
      <c r="B11" s="5" t="s">
        <v>283</v>
      </c>
    </row>
    <row r="12" spans="2:18" x14ac:dyDescent="0.35">
      <c r="B12" t="s">
        <v>284</v>
      </c>
      <c r="C12" s="26">
        <v>0.04</v>
      </c>
    </row>
    <row r="13" spans="2:18" x14ac:dyDescent="0.35">
      <c r="B13" t="s">
        <v>285</v>
      </c>
      <c r="C13" s="26">
        <v>0.06</v>
      </c>
    </row>
    <row r="14" spans="2:18" x14ac:dyDescent="0.35">
      <c r="B14" t="s">
        <v>286</v>
      </c>
      <c r="C14" s="44">
        <v>1</v>
      </c>
    </row>
    <row r="15" spans="2:18" x14ac:dyDescent="0.35">
      <c r="B15" t="s">
        <v>287</v>
      </c>
      <c r="C15" s="6">
        <f>C12+C13*C14</f>
        <v>0.1</v>
      </c>
    </row>
    <row r="16" spans="2:18" x14ac:dyDescent="0.35">
      <c r="B16" t="s">
        <v>288</v>
      </c>
      <c r="C16" s="26">
        <v>0.06</v>
      </c>
    </row>
    <row r="17" spans="2:13" x14ac:dyDescent="0.35">
      <c r="B17" t="s">
        <v>289</v>
      </c>
      <c r="C17" s="26">
        <v>0.28000000000000003</v>
      </c>
    </row>
    <row r="18" spans="2:13" x14ac:dyDescent="0.35">
      <c r="B18" t="s">
        <v>290</v>
      </c>
      <c r="C18" s="6">
        <f>C16*(1-C17)</f>
        <v>4.3199999999999995E-2</v>
      </c>
    </row>
    <row r="19" spans="2:13" x14ac:dyDescent="0.35">
      <c r="B19" s="36" t="s">
        <v>291</v>
      </c>
      <c r="C19" s="45">
        <v>0.3</v>
      </c>
    </row>
    <row r="20" spans="2:13" x14ac:dyDescent="0.35">
      <c r="B20" t="s">
        <v>292</v>
      </c>
      <c r="C20" s="6">
        <f>C15*(1-C19)+C18*C19</f>
        <v>8.2959999999999992E-2</v>
      </c>
    </row>
    <row r="21" spans="2:13" x14ac:dyDescent="0.35">
      <c r="B21" t="s">
        <v>293</v>
      </c>
      <c r="C21" s="26">
        <v>2.5000000000000001E-2</v>
      </c>
    </row>
    <row r="22" spans="2:13" x14ac:dyDescent="0.35">
      <c r="B22" t="s">
        <v>294</v>
      </c>
      <c r="C22" s="66">
        <f>(Annual!G4-C9)/365.25</f>
        <v>0.49555099247091033</v>
      </c>
    </row>
    <row r="23" spans="2:13" x14ac:dyDescent="0.35">
      <c r="C23" s="9"/>
    </row>
    <row r="24" spans="2:13" x14ac:dyDescent="0.35">
      <c r="B24" s="5" t="s">
        <v>295</v>
      </c>
      <c r="D24" s="7" t="s">
        <v>8</v>
      </c>
      <c r="E24" s="7" t="s">
        <v>9</v>
      </c>
      <c r="F24" s="7" t="s">
        <v>10</v>
      </c>
      <c r="G24" s="7" t="s">
        <v>11</v>
      </c>
      <c r="H24" s="7" t="s">
        <v>12</v>
      </c>
      <c r="I24" s="7" t="s">
        <v>13</v>
      </c>
      <c r="J24" s="7" t="s">
        <v>14</v>
      </c>
      <c r="K24" s="7" t="s">
        <v>15</v>
      </c>
      <c r="L24" s="7" t="s">
        <v>16</v>
      </c>
      <c r="M24" s="7" t="s">
        <v>17</v>
      </c>
    </row>
    <row r="25" spans="2:13" x14ac:dyDescent="0.35">
      <c r="B25" t="s">
        <v>61</v>
      </c>
      <c r="C25" t="s">
        <v>22</v>
      </c>
      <c r="D25" s="4">
        <f>Annual!G38</f>
        <v>134.80708315992061</v>
      </c>
      <c r="E25" s="4">
        <f>Annual!H38</f>
        <v>157.62308536360658</v>
      </c>
      <c r="F25" s="4">
        <f>Annual!I38</f>
        <v>172.77767403576826</v>
      </c>
      <c r="G25" s="4">
        <f>Annual!J38</f>
        <v>188.93630856798151</v>
      </c>
      <c r="H25" s="4">
        <f>Annual!K38</f>
        <v>206.15894395548358</v>
      </c>
      <c r="I25" s="4">
        <f>Annual!L38</f>
        <v>224.50897717045984</v>
      </c>
      <c r="J25" s="4">
        <f>Annual!M38</f>
        <v>244.05344153940749</v>
      </c>
      <c r="K25" s="4">
        <f>Annual!N38</f>
        <v>264.86321201921629</v>
      </c>
      <c r="L25" s="4">
        <f>Annual!O38</f>
        <v>287.01322198112405</v>
      </c>
      <c r="M25" s="4">
        <f>Annual!P38</f>
        <v>310.58269214570413</v>
      </c>
    </row>
    <row r="26" spans="2:13" x14ac:dyDescent="0.35">
      <c r="B26" t="s">
        <v>296</v>
      </c>
      <c r="C26" t="s">
        <v>22</v>
      </c>
      <c r="D26" s="4">
        <f>Annual!G50</f>
        <v>-52.837036425206115</v>
      </c>
      <c r="E26" s="4">
        <f>Annual!H50</f>
        <v>-54.612868723945397</v>
      </c>
      <c r="F26" s="4">
        <f>Annual!I50</f>
        <v>-55.881845387236019</v>
      </c>
      <c r="G26" s="4">
        <f>Annual!J50</f>
        <v>-57.216271766519768</v>
      </c>
      <c r="H26" s="4">
        <f>Annual!K50</f>
        <v>-58.620468266405652</v>
      </c>
      <c r="I26" s="4">
        <f>Annual!L50</f>
        <v>-60.098910986690029</v>
      </c>
      <c r="J26" s="4">
        <f>Annual!M50</f>
        <v>-61.656251202936637</v>
      </c>
      <c r="K26" s="4">
        <f>Annual!N50</f>
        <v>-63.297334563415063</v>
      </c>
      <c r="L26" s="4">
        <f>Annual!O50</f>
        <v>-65.027220160281999</v>
      </c>
      <c r="M26" s="4">
        <f>Annual!P50</f>
        <v>-66.851199619664669</v>
      </c>
    </row>
    <row r="27" spans="2:13" x14ac:dyDescent="0.35">
      <c r="B27" t="s">
        <v>89</v>
      </c>
      <c r="C27" t="s">
        <v>22</v>
      </c>
      <c r="D27" s="4">
        <f>Annual!G54</f>
        <v>81.970046734714487</v>
      </c>
      <c r="E27" s="4">
        <f>Annual!H54</f>
        <v>103.01021663966118</v>
      </c>
      <c r="F27" s="4">
        <f>Annual!I54</f>
        <v>116.89582864853224</v>
      </c>
      <c r="G27" s="4">
        <f>Annual!J54</f>
        <v>131.72003680146173</v>
      </c>
      <c r="H27" s="4">
        <f>Annual!K54</f>
        <v>147.53847568907793</v>
      </c>
      <c r="I27" s="4">
        <f>Annual!L54</f>
        <v>164.4100661837698</v>
      </c>
      <c r="J27" s="4">
        <f>Annual!M54</f>
        <v>182.39719033647086</v>
      </c>
      <c r="K27" s="4">
        <f>Annual!N54</f>
        <v>201.56587745580123</v>
      </c>
      <c r="L27" s="4">
        <f>Annual!O54</f>
        <v>221.98600182084203</v>
      </c>
      <c r="M27" s="4">
        <f>Annual!P54</f>
        <v>243.73149252603946</v>
      </c>
    </row>
    <row r="28" spans="2:13" x14ac:dyDescent="0.35">
      <c r="B28" t="s">
        <v>297</v>
      </c>
      <c r="C28" t="s">
        <v>22</v>
      </c>
      <c r="D28" s="4">
        <f t="shared" ref="D28:M28" si="0">-D27*$C$17</f>
        <v>-22.951613085720059</v>
      </c>
      <c r="E28" s="4">
        <f t="shared" si="0"/>
        <v>-28.842860659105135</v>
      </c>
      <c r="F28" s="4">
        <f t="shared" si="0"/>
        <v>-32.73083202158903</v>
      </c>
      <c r="G28" s="4">
        <f t="shared" si="0"/>
        <v>-36.881610304409286</v>
      </c>
      <c r="H28" s="4">
        <f t="shared" si="0"/>
        <v>-41.310773192941824</v>
      </c>
      <c r="I28" s="4">
        <f t="shared" si="0"/>
        <v>-46.034818531455549</v>
      </c>
      <c r="J28" s="4">
        <f t="shared" si="0"/>
        <v>-51.071213294211844</v>
      </c>
      <c r="K28" s="4">
        <f t="shared" si="0"/>
        <v>-56.438445687624352</v>
      </c>
      <c r="L28" s="4">
        <f t="shared" si="0"/>
        <v>-62.156080509835775</v>
      </c>
      <c r="M28" s="4">
        <f t="shared" si="0"/>
        <v>-68.244817907291051</v>
      </c>
    </row>
    <row r="29" spans="2:13" x14ac:dyDescent="0.35">
      <c r="B29" t="s">
        <v>275</v>
      </c>
      <c r="C29" t="s">
        <v>22</v>
      </c>
      <c r="D29" s="4">
        <f t="shared" ref="D29:M29" si="1">D27+D28</f>
        <v>59.018433648994431</v>
      </c>
      <c r="E29" s="4">
        <f t="shared" si="1"/>
        <v>74.167355980556039</v>
      </c>
      <c r="F29" s="4">
        <f t="shared" si="1"/>
        <v>84.164996626943207</v>
      </c>
      <c r="G29" s="4">
        <f t="shared" si="1"/>
        <v>94.838426497052438</v>
      </c>
      <c r="H29" s="4">
        <f t="shared" si="1"/>
        <v>106.2277024961361</v>
      </c>
      <c r="I29" s="4">
        <f t="shared" si="1"/>
        <v>118.37524765231424</v>
      </c>
      <c r="J29" s="4">
        <f t="shared" si="1"/>
        <v>131.32597704225901</v>
      </c>
      <c r="K29" s="4">
        <f t="shared" si="1"/>
        <v>145.12743176817688</v>
      </c>
      <c r="L29" s="4">
        <f t="shared" si="1"/>
        <v>159.82992131100627</v>
      </c>
      <c r="M29" s="4">
        <f t="shared" si="1"/>
        <v>175.4866746187484</v>
      </c>
    </row>
    <row r="30" spans="2:13" x14ac:dyDescent="0.35">
      <c r="B30" t="s">
        <v>298</v>
      </c>
      <c r="C30" t="s">
        <v>22</v>
      </c>
      <c r="D30" s="4">
        <f t="shared" ref="D30:M30" si="2">-D26</f>
        <v>52.837036425206115</v>
      </c>
      <c r="E30" s="4">
        <f t="shared" si="2"/>
        <v>54.612868723945397</v>
      </c>
      <c r="F30" s="4">
        <f t="shared" si="2"/>
        <v>55.881845387236019</v>
      </c>
      <c r="G30" s="4">
        <f t="shared" si="2"/>
        <v>57.216271766519768</v>
      </c>
      <c r="H30" s="4">
        <f t="shared" si="2"/>
        <v>58.620468266405652</v>
      </c>
      <c r="I30" s="4">
        <f t="shared" si="2"/>
        <v>60.098910986690029</v>
      </c>
      <c r="J30" s="4">
        <f t="shared" si="2"/>
        <v>61.656251202936637</v>
      </c>
      <c r="K30" s="4">
        <f t="shared" si="2"/>
        <v>63.297334563415063</v>
      </c>
      <c r="L30" s="4">
        <f t="shared" si="2"/>
        <v>65.027220160281999</v>
      </c>
      <c r="M30" s="4">
        <f t="shared" si="2"/>
        <v>66.851199619664669</v>
      </c>
    </row>
    <row r="31" spans="2:13" x14ac:dyDescent="0.35">
      <c r="B31" t="s">
        <v>299</v>
      </c>
      <c r="C31" t="s">
        <v>22</v>
      </c>
      <c r="D31" s="4">
        <f>Annual!G160+Annual!G162</f>
        <v>-24.16145322336402</v>
      </c>
      <c r="E31" s="4">
        <f>Annual!H160+Annual!H162</f>
        <v>-26.252215916160775</v>
      </c>
      <c r="F31" s="4">
        <f>Annual!I160+Annual!I162</f>
        <v>-27.715776953486742</v>
      </c>
      <c r="G31" s="4">
        <f>Annual!J160+Annual!J162</f>
        <v>-29.260931518643623</v>
      </c>
      <c r="H31" s="4">
        <f>Annual!K160+Annual!K162</f>
        <v>-30.892228450808002</v>
      </c>
      <c r="I31" s="4">
        <f>Annual!L160+Annual!L162</f>
        <v>-32.614470186940551</v>
      </c>
      <c r="J31" s="4">
        <f>Annual!M160+Annual!M162</f>
        <v>-34.43272689986248</v>
      </c>
      <c r="K31" s="4">
        <f>Annual!N160+Annual!N162</f>
        <v>-36.352351424529807</v>
      </c>
      <c r="L31" s="4">
        <f>Annual!O160+Annual!O162</f>
        <v>-38.378995016447348</v>
      </c>
      <c r="M31" s="4">
        <f>Annual!P160+Annual!P162</f>
        <v>-40.518623988614287</v>
      </c>
    </row>
    <row r="32" spans="2:13" x14ac:dyDescent="0.35">
      <c r="B32" t="s">
        <v>300</v>
      </c>
      <c r="C32" t="s">
        <v>22</v>
      </c>
      <c r="D32" s="4">
        <f>Annual!G149</f>
        <v>-43.177045351605443</v>
      </c>
      <c r="E32" s="4">
        <f>Annual!H149</f>
        <v>-31.547940350463762</v>
      </c>
      <c r="F32" s="4">
        <f>Annual!I149</f>
        <v>-22.083967952890333</v>
      </c>
      <c r="G32" s="4">
        <f>Annual!J149</f>
        <v>-23.315149166264007</v>
      </c>
      <c r="H32" s="4">
        <f>Annual!K149</f>
        <v>-24.614968732283074</v>
      </c>
      <c r="I32" s="4">
        <f>Annual!L149</f>
        <v>-25.987253239108099</v>
      </c>
      <c r="J32" s="4">
        <f>Annual!M149</f>
        <v>-27.436042607188227</v>
      </c>
      <c r="K32" s="4">
        <f>Annual!N149</f>
        <v>-28.965601982538885</v>
      </c>
      <c r="L32" s="4">
        <f>Annual!O149</f>
        <v>-30.580434293065565</v>
      </c>
      <c r="M32" s="4">
        <f>Annual!P149</f>
        <v>-32.285293504903905</v>
      </c>
    </row>
    <row r="33" spans="2:13" x14ac:dyDescent="0.35">
      <c r="B33" s="33" t="s">
        <v>301</v>
      </c>
      <c r="C33" s="33" t="s">
        <v>22</v>
      </c>
      <c r="D33" s="34">
        <f t="shared" ref="D33:M33" si="3">D29+D30+D31+D32</f>
        <v>44.51697149923109</v>
      </c>
      <c r="E33" s="34">
        <f t="shared" si="3"/>
        <v>70.980068437876909</v>
      </c>
      <c r="F33" s="34">
        <f t="shared" si="3"/>
        <v>90.247097107802148</v>
      </c>
      <c r="G33" s="34">
        <f t="shared" si="3"/>
        <v>99.478617578664597</v>
      </c>
      <c r="H33" s="34">
        <f t="shared" si="3"/>
        <v>109.34097357945069</v>
      </c>
      <c r="I33" s="34">
        <f t="shared" si="3"/>
        <v>119.87243521295562</v>
      </c>
      <c r="J33" s="34">
        <f t="shared" si="3"/>
        <v>131.11345873814494</v>
      </c>
      <c r="K33" s="34">
        <f t="shared" si="3"/>
        <v>143.10681292452324</v>
      </c>
      <c r="L33" s="34">
        <f t="shared" si="3"/>
        <v>155.89771216177539</v>
      </c>
      <c r="M33" s="34">
        <f t="shared" si="3"/>
        <v>169.53395674489488</v>
      </c>
    </row>
    <row r="34" spans="2:13" ht="15" customHeight="1" thickBot="1" x14ac:dyDescent="0.4">
      <c r="B34" t="s">
        <v>302</v>
      </c>
      <c r="C34" t="s">
        <v>22</v>
      </c>
      <c r="M34" s="35">
        <f>M29+M32</f>
        <v>143.20138111384449</v>
      </c>
    </row>
    <row r="35" spans="2:13" x14ac:dyDescent="0.35">
      <c r="B35" s="8" t="s">
        <v>303</v>
      </c>
      <c r="M35" s="4">
        <f>M34*(1+$C$21)/($C$20-$C$21)</f>
        <v>2532.460587330756</v>
      </c>
    </row>
    <row r="37" spans="2:13" x14ac:dyDescent="0.35">
      <c r="B37" t="s">
        <v>304</v>
      </c>
      <c r="D37" s="66">
        <f>1/(1+$C$20)^($C$22+0)</f>
        <v>0.96127529933997435</v>
      </c>
      <c r="E37" s="66">
        <f>1/(1+$C$20)^($C$22+1)</f>
        <v>0.88763693888968609</v>
      </c>
      <c r="F37" s="66">
        <f>1/(1+$C$20)^($C$22+2)</f>
        <v>0.81963963478769852</v>
      </c>
      <c r="G37" s="66">
        <f>1/(1+$C$20)^($C$22+3)</f>
        <v>0.75685125469795622</v>
      </c>
      <c r="H37" s="66">
        <f>1/(1+$C$20)^($C$22+4)</f>
        <v>0.69887276972183299</v>
      </c>
      <c r="I37" s="66">
        <f>1/(1+$C$20)^($C$22+5)</f>
        <v>0.64533571851391835</v>
      </c>
      <c r="J37" s="66">
        <f>1/(1+$C$20)^($C$22+6)</f>
        <v>0.59589986565885944</v>
      </c>
      <c r="K37" s="66">
        <f>1/(1+$C$20)^($C$22+7)</f>
        <v>0.55025103942791931</v>
      </c>
      <c r="L37" s="66">
        <f>1/(1+$C$20)^($C$22+8)</f>
        <v>0.50809913517389316</v>
      </c>
      <c r="M37" s="66">
        <f>1/(1+$C$20)^($C$22+9)</f>
        <v>0.46917627167567894</v>
      </c>
    </row>
    <row r="38" spans="2:13" x14ac:dyDescent="0.35">
      <c r="B38" s="36" t="s">
        <v>305</v>
      </c>
      <c r="C38" s="36"/>
      <c r="D38" s="37">
        <f t="shared" ref="D38:M38" si="4">D33*D37</f>
        <v>42.793065103632472</v>
      </c>
      <c r="E38" s="37">
        <f t="shared" si="4"/>
        <v>63.004530670377484</v>
      </c>
      <c r="F38" s="37">
        <f t="shared" si="4"/>
        <v>73.970097714088922</v>
      </c>
      <c r="G38" s="37">
        <f t="shared" si="4"/>
        <v>75.290516530030459</v>
      </c>
      <c r="H38" s="37">
        <f t="shared" si="4"/>
        <v>76.415429049552472</v>
      </c>
      <c r="I38" s="37">
        <f t="shared" si="4"/>
        <v>77.357964108165845</v>
      </c>
      <c r="J38" s="37">
        <f t="shared" si="4"/>
        <v>78.130492448128976</v>
      </c>
      <c r="K38" s="37">
        <f t="shared" si="4"/>
        <v>78.744672560935712</v>
      </c>
      <c r="L38" s="37">
        <f t="shared" si="4"/>
        <v>79.211492724986599</v>
      </c>
      <c r="M38" s="37">
        <f t="shared" si="4"/>
        <v>79.541309747995598</v>
      </c>
    </row>
    <row r="39" spans="2:13" x14ac:dyDescent="0.35">
      <c r="B39" t="s">
        <v>306</v>
      </c>
      <c r="M39" s="4">
        <f>M35*M37</f>
        <v>1188.1704165294443</v>
      </c>
    </row>
    <row r="41" spans="2:13" x14ac:dyDescent="0.35">
      <c r="B41" t="s">
        <v>307</v>
      </c>
      <c r="C41" s="4">
        <f>SUM(D38:M38)</f>
        <v>724.45957065789446</v>
      </c>
    </row>
    <row r="42" spans="2:13" x14ac:dyDescent="0.35">
      <c r="B42" s="36" t="s">
        <v>306</v>
      </c>
      <c r="C42" s="37">
        <f>M39</f>
        <v>1188.1704165294443</v>
      </c>
    </row>
    <row r="43" spans="2:13" x14ac:dyDescent="0.35">
      <c r="B43" t="s">
        <v>308</v>
      </c>
      <c r="C43" s="10">
        <f>C41+C42</f>
        <v>1912.6299871873389</v>
      </c>
    </row>
    <row r="45" spans="2:13" x14ac:dyDescent="0.35">
      <c r="B45" t="s">
        <v>309</v>
      </c>
      <c r="C45" s="4">
        <f>-C7</f>
        <v>-232.29999999999998</v>
      </c>
    </row>
    <row r="46" spans="2:13" x14ac:dyDescent="0.35">
      <c r="B46" t="s">
        <v>310</v>
      </c>
      <c r="C46" s="4">
        <f>-Annual!F127</f>
        <v>-295.3</v>
      </c>
    </row>
    <row r="47" spans="2:13" ht="15" customHeight="1" thickBot="1" x14ac:dyDescent="0.4">
      <c r="B47" s="38" t="s">
        <v>311</v>
      </c>
      <c r="C47" s="39">
        <f>C43+C45+C46</f>
        <v>1385.029987187339</v>
      </c>
    </row>
    <row r="48" spans="2:13" ht="15.5" customHeight="1" x14ac:dyDescent="0.35">
      <c r="B48" t="s">
        <v>312</v>
      </c>
      <c r="C48" s="11">
        <f>C47/C5</f>
        <v>9.4521940025069195</v>
      </c>
    </row>
    <row r="49" spans="2:9" x14ac:dyDescent="0.35">
      <c r="B49" t="s">
        <v>313</v>
      </c>
      <c r="C49" s="6">
        <f>IF(C4=0,"",C48/C4-1)</f>
        <v>0.19496763622084945</v>
      </c>
    </row>
    <row r="52" spans="2:9" ht="18.5" customHeight="1" x14ac:dyDescent="0.45">
      <c r="B52" s="1" t="s">
        <v>314</v>
      </c>
      <c r="C52" s="2"/>
      <c r="D52" s="2"/>
      <c r="E52" s="2"/>
      <c r="F52" s="2"/>
      <c r="G52" s="2"/>
      <c r="H52" s="2"/>
      <c r="I52" s="2"/>
    </row>
    <row r="54" spans="2:9" x14ac:dyDescent="0.35">
      <c r="B54" s="8" t="s">
        <v>315</v>
      </c>
      <c r="C54" s="8" t="s">
        <v>316</v>
      </c>
      <c r="D54" s="8" t="s">
        <v>317</v>
      </c>
      <c r="E54" s="8" t="s">
        <v>318</v>
      </c>
    </row>
    <row r="55" spans="2:9" x14ac:dyDescent="0.35">
      <c r="B55" t="s">
        <v>319</v>
      </c>
      <c r="C55" s="4">
        <f>Annual!H35</f>
        <v>92.617550527300864</v>
      </c>
      <c r="D55" s="12">
        <v>8</v>
      </c>
      <c r="E55" s="4">
        <f>C55*D55</f>
        <v>740.94040421840691</v>
      </c>
    </row>
    <row r="56" spans="2:9" x14ac:dyDescent="0.35">
      <c r="B56" t="s">
        <v>320</v>
      </c>
      <c r="C56" s="4">
        <f>Annual!H36</f>
        <v>89.042347933749994</v>
      </c>
      <c r="D56" s="12">
        <v>7</v>
      </c>
      <c r="E56" s="4">
        <f>C56*D56</f>
        <v>623.29643553624999</v>
      </c>
    </row>
    <row r="57" spans="2:9" x14ac:dyDescent="0.35">
      <c r="B57" t="s">
        <v>321</v>
      </c>
      <c r="C57" s="4">
        <f>Annual!H37</f>
        <v>-24.036813097444288</v>
      </c>
      <c r="D57" s="12">
        <f>IF((C55+C56)=0,"",(C55*D55+C56*D56)/(C55+C56))</f>
        <v>7.5098403737529278</v>
      </c>
      <c r="E57" s="4">
        <f>C57*D57</f>
        <v>-180.51262945554029</v>
      </c>
    </row>
    <row r="59" spans="2:9" x14ac:dyDescent="0.35">
      <c r="B59" s="8" t="s">
        <v>322</v>
      </c>
      <c r="E59" s="10">
        <f>SUM(E55:E57)</f>
        <v>1183.7242102991167</v>
      </c>
    </row>
    <row r="60" spans="2:9" x14ac:dyDescent="0.35">
      <c r="B60" t="s">
        <v>309</v>
      </c>
      <c r="E60" s="4">
        <f>-C7</f>
        <v>-232.29999999999998</v>
      </c>
    </row>
    <row r="61" spans="2:9" x14ac:dyDescent="0.35">
      <c r="B61" t="s">
        <v>310</v>
      </c>
      <c r="E61" s="4">
        <f>-Annual!F127</f>
        <v>-295.3</v>
      </c>
    </row>
    <row r="62" spans="2:9" x14ac:dyDescent="0.35">
      <c r="B62" t="s">
        <v>311</v>
      </c>
      <c r="E62" s="10">
        <f>E59+E60+E61</f>
        <v>656.12421029911684</v>
      </c>
    </row>
    <row r="63" spans="2:9" ht="15.5" customHeight="1" x14ac:dyDescent="0.35">
      <c r="B63" t="s">
        <v>312</v>
      </c>
      <c r="E63" s="11">
        <f>E62/C5</f>
        <v>4.477746606832163</v>
      </c>
    </row>
    <row r="64" spans="2:9" x14ac:dyDescent="0.35">
      <c r="B64" t="s">
        <v>313</v>
      </c>
      <c r="E64" s="6">
        <f>IF(C4=0,"",E63/C4-1)</f>
        <v>-0.43391319761919556</v>
      </c>
    </row>
    <row r="66" spans="2:5" x14ac:dyDescent="0.35">
      <c r="B66" t="s">
        <v>323</v>
      </c>
      <c r="E66" s="13">
        <f>IF(Annual!H38=0,"",E59/Annual!H38)</f>
        <v>7.5098403737529269</v>
      </c>
    </row>
  </sheetData>
  <conditionalFormatting sqref="C49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E6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>
      <pane xSplit="3" ySplit="4" topLeftCell="D77" activePane="bottomRight" state="frozen"/>
      <selection pane="topRight"/>
      <selection pane="bottomLeft"/>
      <selection pane="bottomRight" activeCell="G172" sqref="G172"/>
    </sheetView>
  </sheetViews>
  <sheetFormatPr defaultRowHeight="14.5" x14ac:dyDescent="0.35"/>
  <cols>
    <col min="1" max="1" width="30" hidden="1" customWidth="1"/>
    <col min="2" max="2" width="32" customWidth="1"/>
    <col min="3" max="3" width="8" customWidth="1"/>
    <col min="4" max="18" width="12" customWidth="1"/>
  </cols>
  <sheetData>
    <row r="1" spans="1:16" x14ac:dyDescent="0.35"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</row>
    <row r="2" spans="1:16" ht="18.5" customHeight="1" x14ac:dyDescent="0.45">
      <c r="B2" s="14" t="s">
        <v>0</v>
      </c>
      <c r="D2" s="15" t="s">
        <v>1</v>
      </c>
      <c r="E2" s="15"/>
      <c r="F2" s="15"/>
      <c r="G2" s="16" t="s">
        <v>2</v>
      </c>
      <c r="H2" s="16"/>
      <c r="I2" s="16"/>
      <c r="J2" s="16"/>
      <c r="K2" s="16"/>
      <c r="L2" s="16"/>
      <c r="M2" s="16"/>
      <c r="N2" s="16"/>
      <c r="O2" s="16"/>
      <c r="P2" s="16"/>
    </row>
    <row r="3" spans="1:16" x14ac:dyDescent="0.35">
      <c r="B3" t="s">
        <v>3</v>
      </c>
      <c r="C3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</row>
    <row r="4" spans="1:16" x14ac:dyDescent="0.35">
      <c r="D4" s="17">
        <v>45107</v>
      </c>
      <c r="E4" s="17">
        <v>45473</v>
      </c>
      <c r="F4" s="17">
        <v>45838</v>
      </c>
      <c r="G4" s="17">
        <v>46203</v>
      </c>
      <c r="H4" s="17">
        <v>46568</v>
      </c>
      <c r="I4" s="17">
        <v>46934</v>
      </c>
      <c r="J4" s="17">
        <v>47299</v>
      </c>
      <c r="K4" s="17">
        <v>47664</v>
      </c>
      <c r="L4" s="17">
        <v>48029</v>
      </c>
      <c r="M4" s="17">
        <v>48395</v>
      </c>
      <c r="N4" s="17">
        <v>48760</v>
      </c>
      <c r="O4" s="17">
        <v>49125</v>
      </c>
      <c r="P4" s="17">
        <v>49490</v>
      </c>
    </row>
    <row r="5" spans="1:16" x14ac:dyDescent="0.35">
      <c r="A5" s="2"/>
      <c r="B5" s="18" t="s">
        <v>18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B6" s="5" t="s">
        <v>19</v>
      </c>
    </row>
    <row r="7" spans="1:16" x14ac:dyDescent="0.35">
      <c r="A7" t="s">
        <v>20</v>
      </c>
      <c r="B7" t="s">
        <v>21</v>
      </c>
      <c r="C7" t="s">
        <v>22</v>
      </c>
      <c r="D7" s="19">
        <v>596.29999999999995</v>
      </c>
      <c r="E7" s="19">
        <v>471.3</v>
      </c>
      <c r="F7" s="19">
        <v>409.7</v>
      </c>
      <c r="G7" s="4">
        <f>INDEX('HY &amp; Segments'!$A:$AG,MATCH($A7,'HY &amp; Segments'!$A:$A,0),MATCH("1H"&amp;RIGHT(G$1,2),'HY &amp; Segments'!$3:$3,0))+INDEX('HY &amp; Segments'!$A:$AG,MATCH($A7,'HY &amp; Segments'!$A:$A,0),MATCH("2H"&amp;RIGHT(G$1,2),'HY &amp; Segments'!$3:$3,0))</f>
        <v>533.03527857142853</v>
      </c>
      <c r="H7" s="4">
        <f>INDEX('HY &amp; Segments'!$A:$AG,MATCH($A7,'HY &amp; Segments'!$A:$A,0),MATCH("1H"&amp;RIGHT(H$1,2),'HY &amp; Segments'!$3:$3,0))+INDEX('HY &amp; Segments'!$A:$AG,MATCH($A7,'HY &amp; Segments'!$A:$A,0),MATCH("2H"&amp;RIGHT(H$1,2),'HY &amp; Segments'!$3:$3,0))</f>
        <v>595.8581195128595</v>
      </c>
      <c r="I7" s="4">
        <f>INDEX('HY &amp; Segments'!$A:$AG,MATCH($A7,'HY &amp; Segments'!$A:$A,0),MATCH("1H"&amp;RIGHT(I$1,2),'HY &amp; Segments'!$3:$3,0))+INDEX('HY &amp; Segments'!$A:$AG,MATCH($A7,'HY &amp; Segments'!$A:$A,0),MATCH("2H"&amp;RIGHT(I$1,2),'HY &amp; Segments'!$3:$3,0))</f>
        <v>629.0772096757014</v>
      </c>
      <c r="J7" s="4">
        <f>INDEX('HY &amp; Segments'!$A:$AG,MATCH($A7,'HY &amp; Segments'!$A:$A,0),MATCH("1H"&amp;RIGHT(J$1,2),'HY &amp; Segments'!$3:$3,0))+INDEX('HY &amp; Segments'!$A:$AG,MATCH($A7,'HY &amp; Segments'!$A:$A,0),MATCH("2H"&amp;RIGHT(J$1,2),'HY &amp; Segments'!$3:$3,0))</f>
        <v>664.14826411512172</v>
      </c>
      <c r="K7" s="4">
        <f>INDEX('HY &amp; Segments'!$A:$AG,MATCH($A7,'HY &amp; Segments'!$A:$A,0),MATCH("1H"&amp;RIGHT(K$1,2),'HY &amp; Segments'!$3:$3,0))+INDEX('HY &amp; Segments'!$A:$AG,MATCH($A7,'HY &amp; Segments'!$A:$A,0),MATCH("2H"&amp;RIGHT(K$1,2),'HY &amp; Segments'!$3:$3,0))</f>
        <v>701.17452983953967</v>
      </c>
      <c r="L7" s="4">
        <f>INDEX('HY &amp; Segments'!$A:$AG,MATCH($A7,'HY &amp; Segments'!$A:$A,0),MATCH("1H"&amp;RIGHT(L$1,2),'HY &amp; Segments'!$3:$3,0))+INDEX('HY &amp; Segments'!$A:$AG,MATCH($A7,'HY &amp; Segments'!$A:$A,0),MATCH("2H"&amp;RIGHT(L$1,2),'HY &amp; Segments'!$3:$3,0))</f>
        <v>740.26500987809413</v>
      </c>
      <c r="M7" s="4">
        <f>INDEX('HY &amp; Segments'!$A:$AG,MATCH($A7,'HY &amp; Segments'!$A:$A,0),MATCH("1H"&amp;RIGHT(M$1,2),'HY &amp; Segments'!$3:$3,0))+INDEX('HY &amp; Segments'!$A:$AG,MATCH($A7,'HY &amp; Segments'!$A:$A,0),MATCH("2H"&amp;RIGHT(M$1,2),'HY &amp; Segments'!$3:$3,0))</f>
        <v>781.53478417879774</v>
      </c>
      <c r="N7" s="4">
        <f>INDEX('HY &amp; Segments'!$A:$AG,MATCH($A7,'HY &amp; Segments'!$A:$A,0),MATCH("1H"&amp;RIGHT(N$1,2),'HY &amp; Segments'!$3:$3,0))+INDEX('HY &amp; Segments'!$A:$AG,MATCH($A7,'HY &amp; Segments'!$A:$A,0),MATCH("2H"&amp;RIGHT(N$1,2),'HY &amp; Segments'!$3:$3,0))</f>
        <v>825.10534839676575</v>
      </c>
      <c r="O7" s="4">
        <f>INDEX('HY &amp; Segments'!$A:$AG,MATCH($A7,'HY &amp; Segments'!$A:$A,0),MATCH("1H"&amp;RIGHT(O$1,2),'HY &amp; Segments'!$3:$3,0))+INDEX('HY &amp; Segments'!$A:$AG,MATCH($A7,'HY &amp; Segments'!$A:$A,0),MATCH("2H"&amp;RIGHT(O$1,2),'HY &amp; Segments'!$3:$3,0))</f>
        <v>871.10497156988527</v>
      </c>
      <c r="P7" s="4">
        <f>INDEX('HY &amp; Segments'!$A:$AG,MATCH($A7,'HY &amp; Segments'!$A:$A,0),MATCH("1H"&amp;RIGHT(P$1,2),'HY &amp; Segments'!$3:$3,0))+INDEX('HY &amp; Segments'!$A:$AG,MATCH($A7,'HY &amp; Segments'!$A:$A,0),MATCH("2H"&amp;RIGHT(P$1,2),'HY &amp; Segments'!$3:$3,0))</f>
        <v>919.66907373490631</v>
      </c>
    </row>
    <row r="8" spans="1:16" x14ac:dyDescent="0.35">
      <c r="A8" t="s">
        <v>23</v>
      </c>
      <c r="B8" t="s">
        <v>24</v>
      </c>
      <c r="C8" t="s">
        <v>22</v>
      </c>
      <c r="D8" s="19">
        <v>648.6</v>
      </c>
      <c r="E8" s="19">
        <v>593</v>
      </c>
      <c r="F8" s="19">
        <v>538.4</v>
      </c>
      <c r="G8" s="4">
        <f>INDEX('HY &amp; Segments'!$A:$AG,MATCH($A8,'HY &amp; Segments'!$A:$A,0),MATCH("1H"&amp;RIGHT(G$1,2),'HY &amp; Segments'!$3:$3,0))+INDEX('HY &amp; Segments'!$A:$AG,MATCH($A8,'HY &amp; Segments'!$A:$A,0),MATCH("2H"&amp;RIGHT(G$1,2),'HY &amp; Segments'!$3:$3,0))</f>
        <v>542.43297499999994</v>
      </c>
      <c r="H8" s="4">
        <f>INDEX('HY &amp; Segments'!$A:$AG,MATCH($A8,'HY &amp; Segments'!$A:$A,0),MATCH("1H"&amp;RIGHT(H$1,2),'HY &amp; Segments'!$3:$3,0))+INDEX('HY &amp; Segments'!$A:$AG,MATCH($A8,'HY &amp; Segments'!$A:$A,0),MATCH("2H"&amp;RIGHT(H$1,2),'HY &amp; Segments'!$3:$3,0))</f>
        <v>572.67361335624992</v>
      </c>
      <c r="I8" s="4">
        <f>INDEX('HY &amp; Segments'!$A:$AG,MATCH($A8,'HY &amp; Segments'!$A:$A,0),MATCH("1H"&amp;RIGHT(I$1,2),'HY &amp; Segments'!$3:$3,0))+INDEX('HY &amp; Segments'!$A:$AG,MATCH($A8,'HY &amp; Segments'!$A:$A,0),MATCH("2H"&amp;RIGHT(I$1,2),'HY &amp; Segments'!$3:$3,0))</f>
        <v>604.60016730086079</v>
      </c>
      <c r="J8" s="4">
        <f>INDEX('HY &amp; Segments'!$A:$AG,MATCH($A8,'HY &amp; Segments'!$A:$A,0),MATCH("1H"&amp;RIGHT(J$1,2),'HY &amp; Segments'!$3:$3,0))+INDEX('HY &amp; Segments'!$A:$AG,MATCH($A8,'HY &amp; Segments'!$A:$A,0),MATCH("2H"&amp;RIGHT(J$1,2),'HY &amp; Segments'!$3:$3,0))</f>
        <v>638.30662662788382</v>
      </c>
      <c r="K8" s="4">
        <f>INDEX('HY &amp; Segments'!$A:$AG,MATCH($A8,'HY &amp; Segments'!$A:$A,0),MATCH("1H"&amp;RIGHT(K$1,2),'HY &amp; Segments'!$3:$3,0))+INDEX('HY &amp; Segments'!$A:$AG,MATCH($A8,'HY &amp; Segments'!$A:$A,0),MATCH("2H"&amp;RIGHT(K$1,2),'HY &amp; Segments'!$3:$3,0))</f>
        <v>673.89222106238822</v>
      </c>
      <c r="L8" s="4">
        <f>INDEX('HY &amp; Segments'!$A:$AG,MATCH($A8,'HY &amp; Segments'!$A:$A,0),MATCH("1H"&amp;RIGHT(L$1,2),'HY &amp; Segments'!$3:$3,0))+INDEX('HY &amp; Segments'!$A:$AG,MATCH($A8,'HY &amp; Segments'!$A:$A,0),MATCH("2H"&amp;RIGHT(L$1,2),'HY &amp; Segments'!$3:$3,0))</f>
        <v>711.46171238661645</v>
      </c>
      <c r="M8" s="4">
        <f>INDEX('HY &amp; Segments'!$A:$AG,MATCH($A8,'HY &amp; Segments'!$A:$A,0),MATCH("1H"&amp;RIGHT(M$1,2),'HY &amp; Segments'!$3:$3,0))+INDEX('HY &amp; Segments'!$A:$AG,MATCH($A8,'HY &amp; Segments'!$A:$A,0),MATCH("2H"&amp;RIGHT(M$1,2),'HY &amp; Segments'!$3:$3,0))</f>
        <v>751.12570285217021</v>
      </c>
      <c r="N8" s="4">
        <f>INDEX('HY &amp; Segments'!$A:$AG,MATCH($A8,'HY &amp; Segments'!$A:$A,0),MATCH("1H"&amp;RIGHT(N$1,2),'HY &amp; Segments'!$3:$3,0))+INDEX('HY &amp; Segments'!$A:$AG,MATCH($A8,'HY &amp; Segments'!$A:$A,0),MATCH("2H"&amp;RIGHT(N$1,2),'HY &amp; Segments'!$3:$3,0))</f>
        <v>793.00096078617855</v>
      </c>
      <c r="O8" s="4">
        <f>INDEX('HY &amp; Segments'!$A:$AG,MATCH($A8,'HY &amp; Segments'!$A:$A,0),MATCH("1H"&amp;RIGHT(O$1,2),'HY &amp; Segments'!$3:$3,0))+INDEX('HY &amp; Segments'!$A:$AG,MATCH($A8,'HY &amp; Segments'!$A:$A,0),MATCH("2H"&amp;RIGHT(O$1,2),'HY &amp; Segments'!$3:$3,0))</f>
        <v>837.21076435000805</v>
      </c>
      <c r="P8" s="4">
        <f>INDEX('HY &amp; Segments'!$A:$AG,MATCH($A8,'HY &amp; Segments'!$A:$A,0),MATCH("1H"&amp;RIGHT(P$1,2),'HY &amp; Segments'!$3:$3,0))+INDEX('HY &amp; Segments'!$A:$AG,MATCH($A8,'HY &amp; Segments'!$A:$A,0),MATCH("2H"&amp;RIGHT(P$1,2),'HY &amp; Segments'!$3:$3,0))</f>
        <v>883.88526446252104</v>
      </c>
    </row>
    <row r="9" spans="1:16" x14ac:dyDescent="0.35">
      <c r="A9" t="s">
        <v>25</v>
      </c>
      <c r="B9" s="20" t="s">
        <v>26</v>
      </c>
      <c r="C9" s="20" t="s">
        <v>22</v>
      </c>
      <c r="D9" s="21">
        <f t="shared" ref="D9:P9" si="0">D7+D8</f>
        <v>1244.9000000000001</v>
      </c>
      <c r="E9" s="21">
        <f t="shared" si="0"/>
        <v>1064.3</v>
      </c>
      <c r="F9" s="21">
        <f t="shared" si="0"/>
        <v>948.09999999999991</v>
      </c>
      <c r="G9" s="21">
        <f t="shared" si="0"/>
        <v>1075.4682535714285</v>
      </c>
      <c r="H9" s="21">
        <f t="shared" si="0"/>
        <v>1168.5317328691094</v>
      </c>
      <c r="I9" s="21">
        <f t="shared" si="0"/>
        <v>1233.6773769765623</v>
      </c>
      <c r="J9" s="21">
        <f t="shared" si="0"/>
        <v>1302.4548907430055</v>
      </c>
      <c r="K9" s="21">
        <f t="shared" si="0"/>
        <v>1375.0667509019279</v>
      </c>
      <c r="L9" s="21">
        <f t="shared" si="0"/>
        <v>1451.7267222647106</v>
      </c>
      <c r="M9" s="21">
        <f t="shared" si="0"/>
        <v>1532.6604870309679</v>
      </c>
      <c r="N9" s="21">
        <f t="shared" si="0"/>
        <v>1618.1063091829442</v>
      </c>
      <c r="O9" s="21">
        <f t="shared" si="0"/>
        <v>1708.3157359198933</v>
      </c>
      <c r="P9" s="21">
        <f t="shared" si="0"/>
        <v>1803.5543381974273</v>
      </c>
    </row>
    <row r="10" spans="1:16" x14ac:dyDescent="0.35">
      <c r="B10" t="s">
        <v>27</v>
      </c>
      <c r="C10" t="s">
        <v>28</v>
      </c>
      <c r="D10" s="6"/>
      <c r="E10" s="6">
        <f t="shared" ref="E10:P10" si="1">IF(D9=0,"",E9/D9-1)</f>
        <v>-0.14507189332476511</v>
      </c>
      <c r="F10" s="6">
        <f t="shared" si="1"/>
        <v>-0.10917974255379126</v>
      </c>
      <c r="G10" s="6">
        <f t="shared" si="1"/>
        <v>0.13434052691849874</v>
      </c>
      <c r="H10" s="6">
        <f t="shared" si="1"/>
        <v>8.6532985970189769E-2</v>
      </c>
      <c r="I10" s="6">
        <f t="shared" si="1"/>
        <v>5.5749999999999966E-2</v>
      </c>
      <c r="J10" s="6">
        <f t="shared" si="1"/>
        <v>5.5749999999999966E-2</v>
      </c>
      <c r="K10" s="6">
        <f t="shared" si="1"/>
        <v>5.5749999999999744E-2</v>
      </c>
      <c r="L10" s="6">
        <f t="shared" si="1"/>
        <v>5.5750000000000188E-2</v>
      </c>
      <c r="M10" s="6">
        <f t="shared" si="1"/>
        <v>5.5749999999999744E-2</v>
      </c>
      <c r="N10" s="6">
        <f t="shared" si="1"/>
        <v>5.5749999999999966E-2</v>
      </c>
      <c r="O10" s="6">
        <f t="shared" si="1"/>
        <v>5.5749999999999966E-2</v>
      </c>
      <c r="P10" s="6">
        <f t="shared" si="1"/>
        <v>5.5749999999999966E-2</v>
      </c>
    </row>
    <row r="12" spans="1:16" x14ac:dyDescent="0.35">
      <c r="B12" s="5" t="s">
        <v>29</v>
      </c>
    </row>
    <row r="13" spans="1:16" x14ac:dyDescent="0.35">
      <c r="A13" t="s">
        <v>30</v>
      </c>
      <c r="B13" t="s">
        <v>31</v>
      </c>
      <c r="C13" t="s">
        <v>22</v>
      </c>
      <c r="D13" s="19">
        <v>-410.25439999999992</v>
      </c>
      <c r="E13" s="19">
        <v>-327.60000000000002</v>
      </c>
      <c r="F13" s="19">
        <v>-290.5</v>
      </c>
      <c r="G13" s="4">
        <f>INDEX('HY &amp; Segments'!$A:$AG,MATCH($A13,'HY &amp; Segments'!$A:$A,0),MATCH("1H"&amp;RIGHT(G$1,2),'HY &amp; Segments'!$3:$3,0))+INDEX('HY &amp; Segments'!$A:$AG,MATCH($A13,'HY &amp; Segments'!$A:$A,0),MATCH("2H"&amp;RIGHT(G$1,2),'HY &amp; Segments'!$3:$3,0))</f>
        <v>-374.71590505436507</v>
      </c>
      <c r="H13" s="4">
        <f>INDEX('HY &amp; Segments'!$A:$AG,MATCH($A13,'HY &amp; Segments'!$A:$A,0),MATCH("1H"&amp;RIGHT(H$1,2),'HY &amp; Segments'!$3:$3,0))+INDEX('HY &amp; Segments'!$A:$AG,MATCH($A13,'HY &amp; Segments'!$A:$A,0),MATCH("2H"&amp;RIGHT(H$1,2),'HY &amp; Segments'!$3:$3,0))</f>
        <v>-418.81370979805871</v>
      </c>
      <c r="I13" s="4">
        <f>INDEX('HY &amp; Segments'!$A:$AG,MATCH($A13,'HY &amp; Segments'!$A:$A,0),MATCH("1H"&amp;RIGHT(I$1,2),'HY &amp; Segments'!$3:$3,0))+INDEX('HY &amp; Segments'!$A:$AG,MATCH($A13,'HY &amp; Segments'!$A:$A,0),MATCH("2H"&amp;RIGHT(I$1,2),'HY &amp; Segments'!$3:$3,0))</f>
        <v>-442.16257411930042</v>
      </c>
      <c r="J13" s="4">
        <f>INDEX('HY &amp; Segments'!$A:$AG,MATCH($A13,'HY &amp; Segments'!$A:$A,0),MATCH("1H"&amp;RIGHT(J$1,2),'HY &amp; Segments'!$3:$3,0))+INDEX('HY &amp; Segments'!$A:$AG,MATCH($A13,'HY &amp; Segments'!$A:$A,0),MATCH("2H"&amp;RIGHT(J$1,2),'HY &amp; Segments'!$3:$3,0))</f>
        <v>-466.81313762645141</v>
      </c>
      <c r="K13" s="4">
        <f>INDEX('HY &amp; Segments'!$A:$AG,MATCH($A13,'HY &amp; Segments'!$A:$A,0),MATCH("1H"&amp;RIGHT(K$1,2),'HY &amp; Segments'!$3:$3,0))+INDEX('HY &amp; Segments'!$A:$AG,MATCH($A13,'HY &amp; Segments'!$A:$A,0),MATCH("2H"&amp;RIGHT(K$1,2),'HY &amp; Segments'!$3:$3,0))</f>
        <v>-492.83797004912606</v>
      </c>
      <c r="L13" s="4">
        <f>INDEX('HY &amp; Segments'!$A:$AG,MATCH($A13,'HY &amp; Segments'!$A:$A,0),MATCH("1H"&amp;RIGHT(L$1,2),'HY &amp; Segments'!$3:$3,0))+INDEX('HY &amp; Segments'!$A:$AG,MATCH($A13,'HY &amp; Segments'!$A:$A,0),MATCH("2H"&amp;RIGHT(L$1,2),'HY &amp; Segments'!$3:$3,0))</f>
        <v>-520.31368687936492</v>
      </c>
      <c r="M13" s="4">
        <f>INDEX('HY &amp; Segments'!$A:$AG,MATCH($A13,'HY &amp; Segments'!$A:$A,0),MATCH("1H"&amp;RIGHT(M$1,2),'HY &amp; Segments'!$3:$3,0))+INDEX('HY &amp; Segments'!$A:$AG,MATCH($A13,'HY &amp; Segments'!$A:$A,0),MATCH("2H"&amp;RIGHT(M$1,2),'HY &amp; Segments'!$3:$3,0))</f>
        <v>-549.32117492288944</v>
      </c>
      <c r="N13" s="4">
        <f>INDEX('HY &amp; Segments'!$A:$AG,MATCH($A13,'HY &amp; Segments'!$A:$A,0),MATCH("1H"&amp;RIGHT(N$1,2),'HY &amp; Segments'!$3:$3,0))+INDEX('HY &amp; Segments'!$A:$AG,MATCH($A13,'HY &amp; Segments'!$A:$A,0),MATCH("2H"&amp;RIGHT(N$1,2),'HY &amp; Segments'!$3:$3,0))</f>
        <v>-579.94583042484055</v>
      </c>
      <c r="O13" s="4">
        <f>INDEX('HY &amp; Segments'!$A:$AG,MATCH($A13,'HY &amp; Segments'!$A:$A,0),MATCH("1H"&amp;RIGHT(O$1,2),'HY &amp; Segments'!$3:$3,0))+INDEX('HY &amp; Segments'!$A:$AG,MATCH($A13,'HY &amp; Segments'!$A:$A,0),MATCH("2H"&amp;RIGHT(O$1,2),'HY &amp; Segments'!$3:$3,0))</f>
        <v>-612.27781047102519</v>
      </c>
      <c r="P13" s="4">
        <f>INDEX('HY &amp; Segments'!$A:$AG,MATCH($A13,'HY &amp; Segments'!$A:$A,0),MATCH("1H"&amp;RIGHT(P$1,2),'HY &amp; Segments'!$3:$3,0))+INDEX('HY &amp; Segments'!$A:$AG,MATCH($A13,'HY &amp; Segments'!$A:$A,0),MATCH("2H"&amp;RIGHT(P$1,2),'HY &amp; Segments'!$3:$3,0))</f>
        <v>-646.41229840478491</v>
      </c>
    </row>
    <row r="14" spans="1:16" x14ac:dyDescent="0.35">
      <c r="A14" t="s">
        <v>32</v>
      </c>
      <c r="B14" t="s">
        <v>33</v>
      </c>
      <c r="C14" t="s">
        <v>22</v>
      </c>
      <c r="D14" s="19">
        <v>-391.10579999999999</v>
      </c>
      <c r="E14" s="19">
        <v>-375.4</v>
      </c>
      <c r="F14" s="19">
        <v>-332.7</v>
      </c>
      <c r="G14" s="4">
        <f>INDEX('HY &amp; Segments'!$A:$AG,MATCH($A14,'HY &amp; Segments'!$A:$A,0),MATCH("1H"&amp;RIGHT(G$1,2),'HY &amp; Segments'!$3:$3,0))+INDEX('HY &amp; Segments'!$A:$AG,MATCH($A14,'HY &amp; Segments'!$A:$A,0),MATCH("2H"&amp;RIGHT(G$1,2),'HY &amp; Segments'!$3:$3,0))</f>
        <v>-341.93502999999993</v>
      </c>
      <c r="H14" s="4">
        <f>INDEX('HY &amp; Segments'!$A:$AG,MATCH($A14,'HY &amp; Segments'!$A:$A,0),MATCH("1H"&amp;RIGHT(H$1,2),'HY &amp; Segments'!$3:$3,0))+INDEX('HY &amp; Segments'!$A:$AG,MATCH($A14,'HY &amp; Segments'!$A:$A,0),MATCH("2H"&amp;RIGHT(H$1,2),'HY &amp; Segments'!$3:$3,0))</f>
        <v>-360.99790792249996</v>
      </c>
      <c r="I14" s="4">
        <f>INDEX('HY &amp; Segments'!$A:$AG,MATCH($A14,'HY &amp; Segments'!$A:$A,0),MATCH("1H"&amp;RIGHT(I$1,2),'HY &amp; Segments'!$3:$3,0))+INDEX('HY &amp; Segments'!$A:$AG,MATCH($A14,'HY &amp; Segments'!$A:$A,0),MATCH("2H"&amp;RIGHT(I$1,2),'HY &amp; Segments'!$3:$3,0))</f>
        <v>-381.12354128917929</v>
      </c>
      <c r="J14" s="4">
        <f>INDEX('HY &amp; Segments'!$A:$AG,MATCH($A14,'HY &amp; Segments'!$A:$A,0),MATCH("1H"&amp;RIGHT(J$1,2),'HY &amp; Segments'!$3:$3,0))+INDEX('HY &amp; Segments'!$A:$AG,MATCH($A14,'HY &amp; Segments'!$A:$A,0),MATCH("2H"&amp;RIGHT(J$1,2),'HY &amp; Segments'!$3:$3,0))</f>
        <v>-402.37117871605108</v>
      </c>
      <c r="K14" s="4">
        <f>INDEX('HY &amp; Segments'!$A:$AG,MATCH($A14,'HY &amp; Segments'!$A:$A,0),MATCH("1H"&amp;RIGHT(K$1,2),'HY &amp; Segments'!$3:$3,0))+INDEX('HY &amp; Segments'!$A:$AG,MATCH($A14,'HY &amp; Segments'!$A:$A,0),MATCH("2H"&amp;RIGHT(K$1,2),'HY &amp; Segments'!$3:$3,0))</f>
        <v>-424.80337192947087</v>
      </c>
      <c r="L14" s="4">
        <f>INDEX('HY &amp; Segments'!$A:$AG,MATCH($A14,'HY &amp; Segments'!$A:$A,0),MATCH("1H"&amp;RIGHT(L$1,2),'HY &amp; Segments'!$3:$3,0))+INDEX('HY &amp; Segments'!$A:$AG,MATCH($A14,'HY &amp; Segments'!$A:$A,0),MATCH("2H"&amp;RIGHT(L$1,2),'HY &amp; Segments'!$3:$3,0))</f>
        <v>-448.48615991453886</v>
      </c>
      <c r="M14" s="4">
        <f>INDEX('HY &amp; Segments'!$A:$AG,MATCH($A14,'HY &amp; Segments'!$A:$A,0),MATCH("1H"&amp;RIGHT(M$1,2),'HY &amp; Segments'!$3:$3,0))+INDEX('HY &amp; Segments'!$A:$AG,MATCH($A14,'HY &amp; Segments'!$A:$A,0),MATCH("2H"&amp;RIGHT(M$1,2),'HY &amp; Segments'!$3:$3,0))</f>
        <v>-473.4892633297743</v>
      </c>
      <c r="N14" s="4">
        <f>INDEX('HY &amp; Segments'!$A:$AG,MATCH($A14,'HY &amp; Segments'!$A:$A,0),MATCH("1H"&amp;RIGHT(N$1,2),'HY &amp; Segments'!$3:$3,0))+INDEX('HY &amp; Segments'!$A:$AG,MATCH($A14,'HY &amp; Segments'!$A:$A,0),MATCH("2H"&amp;RIGHT(N$1,2),'HY &amp; Segments'!$3:$3,0))</f>
        <v>-499.88628976040917</v>
      </c>
      <c r="O14" s="4">
        <f>INDEX('HY &amp; Segments'!$A:$AG,MATCH($A14,'HY &amp; Segments'!$A:$A,0),MATCH("1H"&amp;RIGHT(O$1,2),'HY &amp; Segments'!$3:$3,0))+INDEX('HY &amp; Segments'!$A:$AG,MATCH($A14,'HY &amp; Segments'!$A:$A,0),MATCH("2H"&amp;RIGHT(O$1,2),'HY &amp; Segments'!$3:$3,0))</f>
        <v>-527.75495041455201</v>
      </c>
      <c r="P14" s="4">
        <f>INDEX('HY &amp; Segments'!$A:$AG,MATCH($A14,'HY &amp; Segments'!$A:$A,0),MATCH("1H"&amp;RIGHT(P$1,2),'HY &amp; Segments'!$3:$3,0))+INDEX('HY &amp; Segments'!$A:$AG,MATCH($A14,'HY &amp; Segments'!$A:$A,0),MATCH("2H"&amp;RIGHT(P$1,2),'HY &amp; Segments'!$3:$3,0))</f>
        <v>-557.17728890016326</v>
      </c>
    </row>
    <row r="15" spans="1:16" x14ac:dyDescent="0.35">
      <c r="A15" t="s">
        <v>34</v>
      </c>
      <c r="B15" t="s">
        <v>35</v>
      </c>
      <c r="C15" t="s">
        <v>22</v>
      </c>
      <c r="D15" s="19">
        <v>0</v>
      </c>
      <c r="E15" s="19">
        <v>0</v>
      </c>
      <c r="F15" s="19">
        <v>0</v>
      </c>
      <c r="G15" s="4">
        <f>INDEX('HY &amp; Segments'!$A:$AG,MATCH($A15,'HY &amp; Segments'!$A:$A,0),MATCH("1H"&amp;RIGHT(G$1,2),'HY &amp; Segments'!$3:$3,0))+INDEX('HY &amp; Segments'!$A:$AG,MATCH($A15,'HY &amp; Segments'!$A:$A,0),MATCH("2H"&amp;RIGHT(G$1,2),'HY &amp; Segments'!$3:$3,0))</f>
        <v>0</v>
      </c>
      <c r="H15" s="4">
        <f>INDEX('HY &amp; Segments'!$A:$AG,MATCH($A15,'HY &amp; Segments'!$A:$A,0),MATCH("1H"&amp;RIGHT(H$1,2),'HY &amp; Segments'!$3:$3,0))+INDEX('HY &amp; Segments'!$A:$AG,MATCH($A15,'HY &amp; Segments'!$A:$A,0),MATCH("2H"&amp;RIGHT(H$1,2),'HY &amp; Segments'!$3:$3,0))</f>
        <v>0</v>
      </c>
      <c r="I15" s="4">
        <f>INDEX('HY &amp; Segments'!$A:$AG,MATCH($A15,'HY &amp; Segments'!$A:$A,0),MATCH("1H"&amp;RIGHT(I$1,2),'HY &amp; Segments'!$3:$3,0))+INDEX('HY &amp; Segments'!$A:$AG,MATCH($A15,'HY &amp; Segments'!$A:$A,0),MATCH("2H"&amp;RIGHT(I$1,2),'HY &amp; Segments'!$3:$3,0))</f>
        <v>0</v>
      </c>
      <c r="J15" s="4">
        <f>INDEX('HY &amp; Segments'!$A:$AG,MATCH($A15,'HY &amp; Segments'!$A:$A,0),MATCH("1H"&amp;RIGHT(J$1,2),'HY &amp; Segments'!$3:$3,0))+INDEX('HY &amp; Segments'!$A:$AG,MATCH($A15,'HY &amp; Segments'!$A:$A,0),MATCH("2H"&amp;RIGHT(J$1,2),'HY &amp; Segments'!$3:$3,0))</f>
        <v>0</v>
      </c>
      <c r="K15" s="4">
        <f>INDEX('HY &amp; Segments'!$A:$AG,MATCH($A15,'HY &amp; Segments'!$A:$A,0),MATCH("1H"&amp;RIGHT(K$1,2),'HY &amp; Segments'!$3:$3,0))+INDEX('HY &amp; Segments'!$A:$AG,MATCH($A15,'HY &amp; Segments'!$A:$A,0),MATCH("2H"&amp;RIGHT(K$1,2),'HY &amp; Segments'!$3:$3,0))</f>
        <v>0</v>
      </c>
      <c r="L15" s="4">
        <f>INDEX('HY &amp; Segments'!$A:$AG,MATCH($A15,'HY &amp; Segments'!$A:$A,0),MATCH("1H"&amp;RIGHT(L$1,2),'HY &amp; Segments'!$3:$3,0))+INDEX('HY &amp; Segments'!$A:$AG,MATCH($A15,'HY &amp; Segments'!$A:$A,0),MATCH("2H"&amp;RIGHT(L$1,2),'HY &amp; Segments'!$3:$3,0))</f>
        <v>0</v>
      </c>
      <c r="M15" s="4">
        <f>INDEX('HY &amp; Segments'!$A:$AG,MATCH($A15,'HY &amp; Segments'!$A:$A,0),MATCH("1H"&amp;RIGHT(M$1,2),'HY &amp; Segments'!$3:$3,0))+INDEX('HY &amp; Segments'!$A:$AG,MATCH($A15,'HY &amp; Segments'!$A:$A,0),MATCH("2H"&amp;RIGHT(M$1,2),'HY &amp; Segments'!$3:$3,0))</f>
        <v>0</v>
      </c>
      <c r="N15" s="4">
        <f>INDEX('HY &amp; Segments'!$A:$AG,MATCH($A15,'HY &amp; Segments'!$A:$A,0),MATCH("1H"&amp;RIGHT(N$1,2),'HY &amp; Segments'!$3:$3,0))+INDEX('HY &amp; Segments'!$A:$AG,MATCH($A15,'HY &amp; Segments'!$A:$A,0),MATCH("2H"&amp;RIGHT(N$1,2),'HY &amp; Segments'!$3:$3,0))</f>
        <v>0</v>
      </c>
      <c r="O15" s="4">
        <f>INDEX('HY &amp; Segments'!$A:$AG,MATCH($A15,'HY &amp; Segments'!$A:$A,0),MATCH("1H"&amp;RIGHT(O$1,2),'HY &amp; Segments'!$3:$3,0))+INDEX('HY &amp; Segments'!$A:$AG,MATCH($A15,'HY &amp; Segments'!$A:$A,0),MATCH("2H"&amp;RIGHT(O$1,2),'HY &amp; Segments'!$3:$3,0))</f>
        <v>0</v>
      </c>
      <c r="P15" s="4">
        <f>INDEX('HY &amp; Segments'!$A:$AG,MATCH($A15,'HY &amp; Segments'!$A:$A,0),MATCH("1H"&amp;RIGHT(P$1,2),'HY &amp; Segments'!$3:$3,0))+INDEX('HY &amp; Segments'!$A:$AG,MATCH($A15,'HY &amp; Segments'!$A:$A,0),MATCH("2H"&amp;RIGHT(P$1,2),'HY &amp; Segments'!$3:$3,0))</f>
        <v>0</v>
      </c>
    </row>
    <row r="16" spans="1:16" x14ac:dyDescent="0.35">
      <c r="A16" t="s">
        <v>36</v>
      </c>
      <c r="B16" s="20" t="s">
        <v>37</v>
      </c>
      <c r="C16" s="20" t="s">
        <v>22</v>
      </c>
      <c r="D16" s="21">
        <f t="shared" ref="D16:P16" si="2">SUM(D13:D15)</f>
        <v>-801.36019999999985</v>
      </c>
      <c r="E16" s="21">
        <f t="shared" si="2"/>
        <v>-703</v>
      </c>
      <c r="F16" s="21">
        <f t="shared" si="2"/>
        <v>-623.20000000000005</v>
      </c>
      <c r="G16" s="21">
        <f t="shared" si="2"/>
        <v>-716.65093505436494</v>
      </c>
      <c r="H16" s="21">
        <f t="shared" si="2"/>
        <v>-779.81161772055862</v>
      </c>
      <c r="I16" s="21">
        <f t="shared" si="2"/>
        <v>-823.28611540847965</v>
      </c>
      <c r="J16" s="21">
        <f t="shared" si="2"/>
        <v>-869.18431634250248</v>
      </c>
      <c r="K16" s="21">
        <f t="shared" si="2"/>
        <v>-917.64134197859698</v>
      </c>
      <c r="L16" s="21">
        <f t="shared" si="2"/>
        <v>-968.79984679390373</v>
      </c>
      <c r="M16" s="21">
        <f t="shared" si="2"/>
        <v>-1022.8104382526637</v>
      </c>
      <c r="N16" s="21">
        <f t="shared" si="2"/>
        <v>-1079.8321201852498</v>
      </c>
      <c r="O16" s="21">
        <f t="shared" si="2"/>
        <v>-1140.0327608855773</v>
      </c>
      <c r="P16" s="21">
        <f t="shared" si="2"/>
        <v>-1203.5895873049481</v>
      </c>
    </row>
    <row r="18" spans="1:16" x14ac:dyDescent="0.35">
      <c r="B18" s="5" t="s">
        <v>38</v>
      </c>
    </row>
    <row r="19" spans="1:16" x14ac:dyDescent="0.35">
      <c r="A19" t="s">
        <v>39</v>
      </c>
      <c r="B19" t="s">
        <v>40</v>
      </c>
      <c r="C19" t="s">
        <v>22</v>
      </c>
      <c r="D19" s="4">
        <f t="shared" ref="D19:F20" si="3">D7+D13</f>
        <v>186.04560000000004</v>
      </c>
      <c r="E19" s="4">
        <f t="shared" si="3"/>
        <v>143.69999999999999</v>
      </c>
      <c r="F19" s="4">
        <f t="shared" si="3"/>
        <v>119.19999999999999</v>
      </c>
      <c r="G19" s="4">
        <f>INDEX('HY &amp; Segments'!$A:$AG,MATCH($A19,'HY &amp; Segments'!$A:$A,0),MATCH("1H"&amp;RIGHT(G$1,2),'HY &amp; Segments'!$3:$3,0))+INDEX('HY &amp; Segments'!$A:$AG,MATCH($A19,'HY &amp; Segments'!$A:$A,0),MATCH("2H"&amp;RIGHT(G$1,2),'HY &amp; Segments'!$3:$3,0))</f>
        <v>158.31937351706344</v>
      </c>
      <c r="H19" s="4">
        <f>INDEX('HY &amp; Segments'!$A:$AG,MATCH($A19,'HY &amp; Segments'!$A:$A,0),MATCH("1H"&amp;RIGHT(H$1,2),'HY &amp; Segments'!$3:$3,0))+INDEX('HY &amp; Segments'!$A:$AG,MATCH($A19,'HY &amp; Segments'!$A:$A,0),MATCH("2H"&amp;RIGHT(H$1,2),'HY &amp; Segments'!$3:$3,0))</f>
        <v>177.04440971480079</v>
      </c>
      <c r="I19" s="4">
        <f>INDEX('HY &amp; Segments'!$A:$AG,MATCH($A19,'HY &amp; Segments'!$A:$A,0),MATCH("1H"&amp;RIGHT(I$1,2),'HY &amp; Segments'!$3:$3,0))+INDEX('HY &amp; Segments'!$A:$AG,MATCH($A19,'HY &amp; Segments'!$A:$A,0),MATCH("2H"&amp;RIGHT(I$1,2),'HY &amp; Segments'!$3:$3,0))</f>
        <v>186.91463555640095</v>
      </c>
      <c r="J19" s="4">
        <f>INDEX('HY &amp; Segments'!$A:$AG,MATCH($A19,'HY &amp; Segments'!$A:$A,0),MATCH("1H"&amp;RIGHT(J$1,2),'HY &amp; Segments'!$3:$3,0))+INDEX('HY &amp; Segments'!$A:$AG,MATCH($A19,'HY &amp; Segments'!$A:$A,0),MATCH("2H"&amp;RIGHT(J$1,2),'HY &amp; Segments'!$3:$3,0))</f>
        <v>197.33512648867028</v>
      </c>
      <c r="K19" s="4">
        <f>INDEX('HY &amp; Segments'!$A:$AG,MATCH($A19,'HY &amp; Segments'!$A:$A,0),MATCH("1H"&amp;RIGHT(K$1,2),'HY &amp; Segments'!$3:$3,0))+INDEX('HY &amp; Segments'!$A:$AG,MATCH($A19,'HY &amp; Segments'!$A:$A,0),MATCH("2H"&amp;RIGHT(K$1,2),'HY &amp; Segments'!$3:$3,0))</f>
        <v>208.33655979041365</v>
      </c>
      <c r="L19" s="4">
        <f>INDEX('HY &amp; Segments'!$A:$AG,MATCH($A19,'HY &amp; Segments'!$A:$A,0),MATCH("1H"&amp;RIGHT(L$1,2),'HY &amp; Segments'!$3:$3,0))+INDEX('HY &amp; Segments'!$A:$AG,MATCH($A19,'HY &amp; Segments'!$A:$A,0),MATCH("2H"&amp;RIGHT(L$1,2),'HY &amp; Segments'!$3:$3,0))</f>
        <v>219.95132299872921</v>
      </c>
      <c r="M19" s="4">
        <f>INDEX('HY &amp; Segments'!$A:$AG,MATCH($A19,'HY &amp; Segments'!$A:$A,0),MATCH("1H"&amp;RIGHT(M$1,2),'HY &amp; Segments'!$3:$3,0))+INDEX('HY &amp; Segments'!$A:$AG,MATCH($A19,'HY &amp; Segments'!$A:$A,0),MATCH("2H"&amp;RIGHT(M$1,2),'HY &amp; Segments'!$3:$3,0))</f>
        <v>232.21360925590835</v>
      </c>
      <c r="N19" s="4">
        <f>INDEX('HY &amp; Segments'!$A:$AG,MATCH($A19,'HY &amp; Segments'!$A:$A,0),MATCH("1H"&amp;RIGHT(N$1,2),'HY &amp; Segments'!$3:$3,0))+INDEX('HY &amp; Segments'!$A:$AG,MATCH($A19,'HY &amp; Segments'!$A:$A,0),MATCH("2H"&amp;RIGHT(N$1,2),'HY &amp; Segments'!$3:$3,0))</f>
        <v>245.15951797192525</v>
      </c>
      <c r="O19" s="4">
        <f>INDEX('HY &amp; Segments'!$A:$AG,MATCH($A19,'HY &amp; Segments'!$A:$A,0),MATCH("1H"&amp;RIGHT(O$1,2),'HY &amp; Segments'!$3:$3,0))+INDEX('HY &amp; Segments'!$A:$AG,MATCH($A19,'HY &amp; Segments'!$A:$A,0),MATCH("2H"&amp;RIGHT(O$1,2),'HY &amp; Segments'!$3:$3,0))</f>
        <v>258.82716109886007</v>
      </c>
      <c r="P19" s="4">
        <f>INDEX('HY &amp; Segments'!$A:$AG,MATCH($A19,'HY &amp; Segments'!$A:$A,0),MATCH("1H"&amp;RIGHT(P$1,2),'HY &amp; Segments'!$3:$3,0))+INDEX('HY &amp; Segments'!$A:$AG,MATCH($A19,'HY &amp; Segments'!$A:$A,0),MATCH("2H"&amp;RIGHT(P$1,2),'HY &amp; Segments'!$3:$3,0))</f>
        <v>273.25677533012146</v>
      </c>
    </row>
    <row r="20" spans="1:16" x14ac:dyDescent="0.35">
      <c r="A20" t="s">
        <v>41</v>
      </c>
      <c r="B20" t="s">
        <v>42</v>
      </c>
      <c r="C20" t="s">
        <v>22</v>
      </c>
      <c r="D20" s="4">
        <f t="shared" si="3"/>
        <v>257.49420000000003</v>
      </c>
      <c r="E20" s="4">
        <f t="shared" si="3"/>
        <v>217.60000000000002</v>
      </c>
      <c r="F20" s="4">
        <f t="shared" si="3"/>
        <v>205.7</v>
      </c>
      <c r="G20" s="4">
        <f>INDEX('HY &amp; Segments'!$A:$AG,MATCH($A20,'HY &amp; Segments'!$A:$A,0),MATCH("1H"&amp;RIGHT(G$1,2),'HY &amp; Segments'!$3:$3,0))+INDEX('HY &amp; Segments'!$A:$AG,MATCH($A20,'HY &amp; Segments'!$A:$A,0),MATCH("2H"&amp;RIGHT(G$1,2),'HY &amp; Segments'!$3:$3,0))</f>
        <v>200.49794499999996</v>
      </c>
      <c r="H20" s="4">
        <f>INDEX('HY &amp; Segments'!$A:$AG,MATCH($A20,'HY &amp; Segments'!$A:$A,0),MATCH("1H"&amp;RIGHT(H$1,2),'HY &amp; Segments'!$3:$3,0))+INDEX('HY &amp; Segments'!$A:$AG,MATCH($A20,'HY &amp; Segments'!$A:$A,0),MATCH("2H"&amp;RIGHT(H$1,2),'HY &amp; Segments'!$3:$3,0))</f>
        <v>211.67570543374993</v>
      </c>
      <c r="I20" s="4">
        <f>INDEX('HY &amp; Segments'!$A:$AG,MATCH($A20,'HY &amp; Segments'!$A:$A,0),MATCH("1H"&amp;RIGHT(I$1,2),'HY &amp; Segments'!$3:$3,0))+INDEX('HY &amp; Segments'!$A:$AG,MATCH($A20,'HY &amp; Segments'!$A:$A,0),MATCH("2H"&amp;RIGHT(I$1,2),'HY &amp; Segments'!$3:$3,0))</f>
        <v>223.4766260116815</v>
      </c>
      <c r="J20" s="4">
        <f>INDEX('HY &amp; Segments'!$A:$AG,MATCH($A20,'HY &amp; Segments'!$A:$A,0),MATCH("1H"&amp;RIGHT(J$1,2),'HY &amp; Segments'!$3:$3,0))+INDEX('HY &amp; Segments'!$A:$AG,MATCH($A20,'HY &amp; Segments'!$A:$A,0),MATCH("2H"&amp;RIGHT(J$1,2),'HY &amp; Segments'!$3:$3,0))</f>
        <v>235.93544791183274</v>
      </c>
      <c r="K20" s="4">
        <f>INDEX('HY &amp; Segments'!$A:$AG,MATCH($A20,'HY &amp; Segments'!$A:$A,0),MATCH("1H"&amp;RIGHT(K$1,2),'HY &amp; Segments'!$3:$3,0))+INDEX('HY &amp; Segments'!$A:$AG,MATCH($A20,'HY &amp; Segments'!$A:$A,0),MATCH("2H"&amp;RIGHT(K$1,2),'HY &amp; Segments'!$3:$3,0))</f>
        <v>249.0888491329174</v>
      </c>
      <c r="L20" s="4">
        <f>INDEX('HY &amp; Segments'!$A:$AG,MATCH($A20,'HY &amp; Segments'!$A:$A,0),MATCH("1H"&amp;RIGHT(L$1,2),'HY &amp; Segments'!$3:$3,0))+INDEX('HY &amp; Segments'!$A:$AG,MATCH($A20,'HY &amp; Segments'!$A:$A,0),MATCH("2H"&amp;RIGHT(L$1,2),'HY &amp; Segments'!$3:$3,0))</f>
        <v>262.97555247207754</v>
      </c>
      <c r="M20" s="4">
        <f>INDEX('HY &amp; Segments'!$A:$AG,MATCH($A20,'HY &amp; Segments'!$A:$A,0),MATCH("1H"&amp;RIGHT(M$1,2),'HY &amp; Segments'!$3:$3,0))+INDEX('HY &amp; Segments'!$A:$AG,MATCH($A20,'HY &amp; Segments'!$A:$A,0),MATCH("2H"&amp;RIGHT(M$1,2),'HY &amp; Segments'!$3:$3,0))</f>
        <v>277.63643952239579</v>
      </c>
      <c r="N20" s="4">
        <f>INDEX('HY &amp; Segments'!$A:$AG,MATCH($A20,'HY &amp; Segments'!$A:$A,0),MATCH("1H"&amp;RIGHT(N$1,2),'HY &amp; Segments'!$3:$3,0))+INDEX('HY &amp; Segments'!$A:$AG,MATCH($A20,'HY &amp; Segments'!$A:$A,0),MATCH("2H"&amp;RIGHT(N$1,2),'HY &amp; Segments'!$3:$3,0))</f>
        <v>293.11467102576938</v>
      </c>
      <c r="O20" s="4">
        <f>INDEX('HY &amp; Segments'!$A:$AG,MATCH($A20,'HY &amp; Segments'!$A:$A,0),MATCH("1H"&amp;RIGHT(O$1,2),'HY &amp; Segments'!$3:$3,0))+INDEX('HY &amp; Segments'!$A:$AG,MATCH($A20,'HY &amp; Segments'!$A:$A,0),MATCH("2H"&amp;RIGHT(O$1,2),'HY &amp; Segments'!$3:$3,0))</f>
        <v>309.45581393545598</v>
      </c>
      <c r="P20" s="4">
        <f>INDEX('HY &amp; Segments'!$A:$AG,MATCH($A20,'HY &amp; Segments'!$A:$A,0),MATCH("1H"&amp;RIGHT(P$1,2),'HY &amp; Segments'!$3:$3,0))+INDEX('HY &amp; Segments'!$A:$AG,MATCH($A20,'HY &amp; Segments'!$A:$A,0),MATCH("2H"&amp;RIGHT(P$1,2),'HY &amp; Segments'!$3:$3,0))</f>
        <v>326.70797556235772</v>
      </c>
    </row>
    <row r="21" spans="1:16" x14ac:dyDescent="0.35">
      <c r="A21" t="s">
        <v>43</v>
      </c>
      <c r="B21" t="s">
        <v>44</v>
      </c>
      <c r="C21" t="s">
        <v>22</v>
      </c>
      <c r="D21" s="4">
        <f>D22-D19-D20</f>
        <v>0</v>
      </c>
      <c r="E21" s="4">
        <f>E22-E19-E20</f>
        <v>0</v>
      </c>
      <c r="F21" s="4">
        <f>F22-F19-F20</f>
        <v>0</v>
      </c>
      <c r="G21" s="4">
        <f>INDEX('HY &amp; Segments'!$A:$AG,MATCH($A21,'HY &amp; Segments'!$A:$A,0),MATCH("1H"&amp;RIGHT(G$1,2),'HY &amp; Segments'!$3:$3,0))+INDEX('HY &amp; Segments'!$A:$AG,MATCH($A21,'HY &amp; Segments'!$A:$A,0),MATCH("2H"&amp;RIGHT(G$1,2),'HY &amp; Segments'!$3:$3,0))</f>
        <v>0</v>
      </c>
      <c r="H21" s="4">
        <f>INDEX('HY &amp; Segments'!$A:$AG,MATCH($A21,'HY &amp; Segments'!$A:$A,0),MATCH("1H"&amp;RIGHT(H$1,2),'HY &amp; Segments'!$3:$3,0))+INDEX('HY &amp; Segments'!$A:$AG,MATCH($A21,'HY &amp; Segments'!$A:$A,0),MATCH("2H"&amp;RIGHT(H$1,2),'HY &amp; Segments'!$3:$3,0))</f>
        <v>0</v>
      </c>
      <c r="I21" s="4">
        <f>INDEX('HY &amp; Segments'!$A:$AG,MATCH($A21,'HY &amp; Segments'!$A:$A,0),MATCH("1H"&amp;RIGHT(I$1,2),'HY &amp; Segments'!$3:$3,0))+INDEX('HY &amp; Segments'!$A:$AG,MATCH($A21,'HY &amp; Segments'!$A:$A,0),MATCH("2H"&amp;RIGHT(I$1,2),'HY &amp; Segments'!$3:$3,0))</f>
        <v>0</v>
      </c>
      <c r="J21" s="4">
        <f>INDEX('HY &amp; Segments'!$A:$AG,MATCH($A21,'HY &amp; Segments'!$A:$A,0),MATCH("1H"&amp;RIGHT(J$1,2),'HY &amp; Segments'!$3:$3,0))+INDEX('HY &amp; Segments'!$A:$AG,MATCH($A21,'HY &amp; Segments'!$A:$A,0),MATCH("2H"&amp;RIGHT(J$1,2),'HY &amp; Segments'!$3:$3,0))</f>
        <v>0</v>
      </c>
      <c r="K21" s="4">
        <f>INDEX('HY &amp; Segments'!$A:$AG,MATCH($A21,'HY &amp; Segments'!$A:$A,0),MATCH("1H"&amp;RIGHT(K$1,2),'HY &amp; Segments'!$3:$3,0))+INDEX('HY &amp; Segments'!$A:$AG,MATCH($A21,'HY &amp; Segments'!$A:$A,0),MATCH("2H"&amp;RIGHT(K$1,2),'HY &amp; Segments'!$3:$3,0))</f>
        <v>0</v>
      </c>
      <c r="L21" s="4">
        <f>INDEX('HY &amp; Segments'!$A:$AG,MATCH($A21,'HY &amp; Segments'!$A:$A,0),MATCH("1H"&amp;RIGHT(L$1,2),'HY &amp; Segments'!$3:$3,0))+INDEX('HY &amp; Segments'!$A:$AG,MATCH($A21,'HY &amp; Segments'!$A:$A,0),MATCH("2H"&amp;RIGHT(L$1,2),'HY &amp; Segments'!$3:$3,0))</f>
        <v>0</v>
      </c>
      <c r="M21" s="4">
        <f>INDEX('HY &amp; Segments'!$A:$AG,MATCH($A21,'HY &amp; Segments'!$A:$A,0),MATCH("1H"&amp;RIGHT(M$1,2),'HY &amp; Segments'!$3:$3,0))+INDEX('HY &amp; Segments'!$A:$AG,MATCH($A21,'HY &amp; Segments'!$A:$A,0),MATCH("2H"&amp;RIGHT(M$1,2),'HY &amp; Segments'!$3:$3,0))</f>
        <v>0</v>
      </c>
      <c r="N21" s="4">
        <f>INDEX('HY &amp; Segments'!$A:$AG,MATCH($A21,'HY &amp; Segments'!$A:$A,0),MATCH("1H"&amp;RIGHT(N$1,2),'HY &amp; Segments'!$3:$3,0))+INDEX('HY &amp; Segments'!$A:$AG,MATCH($A21,'HY &amp; Segments'!$A:$A,0),MATCH("2H"&amp;RIGHT(N$1,2),'HY &amp; Segments'!$3:$3,0))</f>
        <v>0</v>
      </c>
      <c r="O21" s="4">
        <f>INDEX('HY &amp; Segments'!$A:$AG,MATCH($A21,'HY &amp; Segments'!$A:$A,0),MATCH("1H"&amp;RIGHT(O$1,2),'HY &amp; Segments'!$3:$3,0))+INDEX('HY &amp; Segments'!$A:$AG,MATCH($A21,'HY &amp; Segments'!$A:$A,0),MATCH("2H"&amp;RIGHT(O$1,2),'HY &amp; Segments'!$3:$3,0))</f>
        <v>0</v>
      </c>
      <c r="P21" s="4">
        <f>INDEX('HY &amp; Segments'!$A:$AG,MATCH($A21,'HY &amp; Segments'!$A:$A,0),MATCH("1H"&amp;RIGHT(P$1,2),'HY &amp; Segments'!$3:$3,0))+INDEX('HY &amp; Segments'!$A:$AG,MATCH($A21,'HY &amp; Segments'!$A:$A,0),MATCH("2H"&amp;RIGHT(P$1,2),'HY &amp; Segments'!$3:$3,0))</f>
        <v>0</v>
      </c>
    </row>
    <row r="22" spans="1:16" x14ac:dyDescent="0.35">
      <c r="A22" t="s">
        <v>45</v>
      </c>
      <c r="B22" s="20" t="s">
        <v>38</v>
      </c>
      <c r="C22" s="20" t="s">
        <v>22</v>
      </c>
      <c r="D22" s="21">
        <f t="shared" ref="D22:P22" si="4">D9+D16</f>
        <v>443.53980000000024</v>
      </c>
      <c r="E22" s="21">
        <f t="shared" si="4"/>
        <v>361.29999999999995</v>
      </c>
      <c r="F22" s="21">
        <f t="shared" si="4"/>
        <v>324.89999999999986</v>
      </c>
      <c r="G22" s="21">
        <f t="shared" si="4"/>
        <v>358.81731851706354</v>
      </c>
      <c r="H22" s="21">
        <f t="shared" si="4"/>
        <v>388.7201151485508</v>
      </c>
      <c r="I22" s="21">
        <f t="shared" si="4"/>
        <v>410.39126156808265</v>
      </c>
      <c r="J22" s="21">
        <f t="shared" si="4"/>
        <v>433.27057440050305</v>
      </c>
      <c r="K22" s="21">
        <f t="shared" si="4"/>
        <v>457.42540892333091</v>
      </c>
      <c r="L22" s="21">
        <f t="shared" si="4"/>
        <v>482.92687547080686</v>
      </c>
      <c r="M22" s="21">
        <f t="shared" si="4"/>
        <v>509.8500487783042</v>
      </c>
      <c r="N22" s="21">
        <f t="shared" si="4"/>
        <v>538.27418899769441</v>
      </c>
      <c r="O22" s="21">
        <f t="shared" si="4"/>
        <v>568.282975034316</v>
      </c>
      <c r="P22" s="21">
        <f t="shared" si="4"/>
        <v>599.96475089247929</v>
      </c>
    </row>
    <row r="23" spans="1:16" x14ac:dyDescent="0.35">
      <c r="B23" t="s">
        <v>46</v>
      </c>
      <c r="C23" t="s">
        <v>28</v>
      </c>
      <c r="D23" s="6"/>
      <c r="E23" s="6">
        <f t="shared" ref="E23:P23" si="5">IF(D22=0,"",E22/D22-1)</f>
        <v>-0.18541695694501426</v>
      </c>
      <c r="F23" s="6">
        <f t="shared" si="5"/>
        <v>-0.10074730141156962</v>
      </c>
      <c r="G23" s="6">
        <f t="shared" si="5"/>
        <v>0.10439310100665966</v>
      </c>
      <c r="H23" s="6">
        <f t="shared" si="5"/>
        <v>8.3337105229677633E-2</v>
      </c>
      <c r="I23" s="6">
        <f t="shared" si="5"/>
        <v>5.575000000000041E-2</v>
      </c>
      <c r="J23" s="6">
        <f t="shared" si="5"/>
        <v>5.5749999999999522E-2</v>
      </c>
      <c r="K23" s="6">
        <f t="shared" si="5"/>
        <v>5.5749999999999522E-2</v>
      </c>
      <c r="L23" s="6">
        <f t="shared" si="5"/>
        <v>5.5750000000000632E-2</v>
      </c>
      <c r="M23" s="6">
        <f t="shared" si="5"/>
        <v>5.5749999999999744E-2</v>
      </c>
      <c r="N23" s="6">
        <f t="shared" si="5"/>
        <v>5.5749999999999522E-2</v>
      </c>
      <c r="O23" s="6">
        <f t="shared" si="5"/>
        <v>5.5750000000000188E-2</v>
      </c>
      <c r="P23" s="6">
        <f t="shared" si="5"/>
        <v>5.575000000000041E-2</v>
      </c>
    </row>
    <row r="24" spans="1:16" x14ac:dyDescent="0.35">
      <c r="B24" t="s">
        <v>47</v>
      </c>
      <c r="C24" t="s">
        <v>48</v>
      </c>
      <c r="D24" s="6">
        <f t="shared" ref="D24:P24" si="6">IF(D9=0,"",D22/D9)</f>
        <v>0.35628548477789396</v>
      </c>
      <c r="E24" s="6">
        <f t="shared" si="6"/>
        <v>0.33947195339659869</v>
      </c>
      <c r="F24" s="6">
        <f t="shared" si="6"/>
        <v>0.34268537074148286</v>
      </c>
      <c r="G24" s="6">
        <f t="shared" si="6"/>
        <v>0.33363822439713908</v>
      </c>
      <c r="H24" s="6">
        <f t="shared" si="6"/>
        <v>0.33265687547408046</v>
      </c>
      <c r="I24" s="6">
        <f t="shared" si="6"/>
        <v>0.33265687547408057</v>
      </c>
      <c r="J24" s="6">
        <f t="shared" si="6"/>
        <v>0.33265687547408046</v>
      </c>
      <c r="K24" s="6">
        <f t="shared" si="6"/>
        <v>0.33265687547408035</v>
      </c>
      <c r="L24" s="6">
        <f t="shared" si="6"/>
        <v>0.33265687547408052</v>
      </c>
      <c r="M24" s="6">
        <f t="shared" si="6"/>
        <v>0.33265687547408046</v>
      </c>
      <c r="N24" s="6">
        <f t="shared" si="6"/>
        <v>0.33265687547408035</v>
      </c>
      <c r="O24" s="6">
        <f t="shared" si="6"/>
        <v>0.3326568754740804</v>
      </c>
      <c r="P24" s="6">
        <f t="shared" si="6"/>
        <v>0.33265687547408052</v>
      </c>
    </row>
    <row r="25" spans="1:16" x14ac:dyDescent="0.35">
      <c r="F25" s="4"/>
    </row>
    <row r="26" spans="1:16" x14ac:dyDescent="0.35">
      <c r="B26" s="5" t="s">
        <v>49</v>
      </c>
    </row>
    <row r="27" spans="1:16" x14ac:dyDescent="0.35">
      <c r="A27" t="s">
        <v>50</v>
      </c>
      <c r="B27" t="s">
        <v>51</v>
      </c>
      <c r="C27" t="s">
        <v>22</v>
      </c>
      <c r="D27" s="19">
        <v>-142.19999999999999</v>
      </c>
      <c r="E27" s="19">
        <v>-139.30000000000001</v>
      </c>
      <c r="F27" s="19">
        <v>-146.4</v>
      </c>
      <c r="G27" s="4">
        <f>INDEX('HY &amp; Segments'!$A:$AG,MATCH($A27,'HY &amp; Segments'!$A:$A,0),MATCH("1H"&amp;RIGHT(G$1,2),'HY &amp; Segments'!$3:$3,0))+INDEX('HY &amp; Segments'!$A:$AG,MATCH($A27,'HY &amp; Segments'!$A:$A,0),MATCH("2H"&amp;RIGHT(G$1,2),'HY &amp; Segments'!$3:$3,0))</f>
        <v>-164.17509441034221</v>
      </c>
      <c r="H27" s="4">
        <f>INDEX('HY &amp; Segments'!$A:$AG,MATCH($A27,'HY &amp; Segments'!$A:$A,0),MATCH("1H"&amp;RIGHT(H$1,2),'HY &amp; Segments'!$3:$3,0))+INDEX('HY &amp; Segments'!$A:$AG,MATCH($A27,'HY &amp; Segments'!$A:$A,0),MATCH("2H"&amp;RIGHT(H$1,2),'HY &amp; Segments'!$3:$3,0))</f>
        <v>-169.40565337959993</v>
      </c>
      <c r="I27" s="4">
        <f>INDEX('HY &amp; Segments'!$A:$AG,MATCH($A27,'HY &amp; Segments'!$A:$A,0),MATCH("1H"&amp;RIGHT(I$1,2),'HY &amp; Segments'!$3:$3,0))+INDEX('HY &amp; Segments'!$A:$AG,MATCH($A27,'HY &amp; Segments'!$A:$A,0),MATCH("2H"&amp;RIGHT(I$1,2),'HY &amp; Segments'!$3:$3,0))</f>
        <v>-174.18103715807268</v>
      </c>
      <c r="J27" s="4">
        <f>INDEX('HY &amp; Segments'!$A:$AG,MATCH($A27,'HY &amp; Segments'!$A:$A,0),MATCH("1H"&amp;RIGHT(J$1,2),'HY &amp; Segments'!$3:$3,0))+INDEX('HY &amp; Segments'!$A:$AG,MATCH($A27,'HY &amp; Segments'!$A:$A,0),MATCH("2H"&amp;RIGHT(J$1,2),'HY &amp; Segments'!$3:$3,0))</f>
        <v>-179.10592404725895</v>
      </c>
      <c r="K27" s="4">
        <f>INDEX('HY &amp; Segments'!$A:$AG,MATCH($A27,'HY &amp; Segments'!$A:$A,0),MATCH("1H"&amp;RIGHT(K$1,2),'HY &amp; Segments'!$3:$3,0))+INDEX('HY &amp; Segments'!$A:$AG,MATCH($A27,'HY &amp; Segments'!$A:$A,0),MATCH("2H"&amp;RIGHT(K$1,2),'HY &amp; Segments'!$3:$3,0))</f>
        <v>-184.18573073220813</v>
      </c>
      <c r="L27" s="4">
        <f>INDEX('HY &amp; Segments'!$A:$AG,MATCH($A27,'HY &amp; Segments'!$A:$A,0),MATCH("1H"&amp;RIGHT(L$1,2),'HY &amp; Segments'!$3:$3,0))+INDEX('HY &amp; Segments'!$A:$AG,MATCH($A27,'HY &amp; Segments'!$A:$A,0),MATCH("2H"&amp;RIGHT(L$1,2),'HY &amp; Segments'!$3:$3,0))</f>
        <v>-189.42610292532601</v>
      </c>
      <c r="M27" s="4">
        <f>INDEX('HY &amp; Segments'!$A:$AG,MATCH($A27,'HY &amp; Segments'!$A:$A,0),MATCH("1H"&amp;RIGHT(M$1,2),'HY &amp; Segments'!$3:$3,0))+INDEX('HY &amp; Segments'!$A:$AG,MATCH($A27,'HY &amp; Segments'!$A:$A,0),MATCH("2H"&amp;RIGHT(M$1,2),'HY &amp; Segments'!$3:$3,0))</f>
        <v>-194.83292631083015</v>
      </c>
      <c r="N27" s="4">
        <f>INDEX('HY &amp; Segments'!$A:$AG,MATCH($A27,'HY &amp; Segments'!$A:$A,0),MATCH("1H"&amp;RIGHT(N$1,2),'HY &amp; Segments'!$3:$3,0))+INDEX('HY &amp; Segments'!$A:$AG,MATCH($A27,'HY &amp; Segments'!$A:$A,0),MATCH("2H"&amp;RIGHT(N$1,2),'HY &amp; Segments'!$3:$3,0))</f>
        <v>-200.41233805376163</v>
      </c>
      <c r="O27" s="4">
        <f>INDEX('HY &amp; Segments'!$A:$AG,MATCH($A27,'HY &amp; Segments'!$A:$A,0),MATCH("1H"&amp;RIGHT(O$1,2),'HY &amp; Segments'!$3:$3,0))+INDEX('HY &amp; Segments'!$A:$AG,MATCH($A27,'HY &amp; Segments'!$A:$A,0),MATCH("2H"&amp;RIGHT(O$1,2),'HY &amp; Segments'!$3:$3,0))</f>
        <v>-206.17073890388923</v>
      </c>
      <c r="P27" s="4">
        <f>INDEX('HY &amp; Segments'!$A:$AG,MATCH($A27,'HY &amp; Segments'!$A:$A,0),MATCH("1H"&amp;RIGHT(P$1,2),'HY &amp; Segments'!$3:$3,0))+INDEX('HY &amp; Segments'!$A:$AG,MATCH($A27,'HY &amp; Segments'!$A:$A,0),MATCH("2H"&amp;RIGHT(P$1,2),'HY &amp; Segments'!$3:$3,0))</f>
        <v>-212.11480592650213</v>
      </c>
    </row>
    <row r="28" spans="1:16" x14ac:dyDescent="0.35">
      <c r="A28" t="s">
        <v>52</v>
      </c>
      <c r="B28" t="s">
        <v>53</v>
      </c>
      <c r="C28" t="s">
        <v>22</v>
      </c>
      <c r="D28" s="19">
        <v>-26.7</v>
      </c>
      <c r="E28" s="19">
        <v>-27.5</v>
      </c>
      <c r="F28" s="19">
        <v>-22.5</v>
      </c>
      <c r="G28" s="4">
        <f>INDEX('HY &amp; Segments'!$A:$AG,MATCH($A28,'HY &amp; Segments'!$A:$A,0),MATCH("1H"&amp;RIGHT(G$1,2),'HY &amp; Segments'!$3:$3,0))+INDEX('HY &amp; Segments'!$A:$AG,MATCH($A28,'HY &amp; Segments'!$A:$A,0),MATCH("2H"&amp;RIGHT(G$1,2),'HY &amp; Segments'!$3:$3,0))</f>
        <v>-23.647290056175589</v>
      </c>
      <c r="H28" s="4">
        <f>INDEX('HY &amp; Segments'!$A:$AG,MATCH($A28,'HY &amp; Segments'!$A:$A,0),MATCH("1H"&amp;RIGHT(H$1,2),'HY &amp; Segments'!$3:$3,0))+INDEX('HY &amp; Segments'!$A:$AG,MATCH($A28,'HY &amp; Segments'!$A:$A,0),MATCH("2H"&amp;RIGHT(H$1,2),'HY &amp; Segments'!$3:$3,0))</f>
        <v>-24.397052655817326</v>
      </c>
      <c r="I28" s="4">
        <f>INDEX('HY &amp; Segments'!$A:$AG,MATCH($A28,'HY &amp; Segments'!$A:$A,0),MATCH("1H"&amp;RIGHT(I$1,2),'HY &amp; Segments'!$3:$3,0))+INDEX('HY &amp; Segments'!$A:$AG,MATCH($A28,'HY &amp; Segments'!$A:$A,0),MATCH("2H"&amp;RIGHT(I$1,2),'HY &amp; Segments'!$3:$3,0))</f>
        <v>-25.084441859040972</v>
      </c>
      <c r="J28" s="4">
        <f>INDEX('HY &amp; Segments'!$A:$AG,MATCH($A28,'HY &amp; Segments'!$A:$A,0),MATCH("1H"&amp;RIGHT(J$1,2),'HY &amp; Segments'!$3:$3,0))+INDEX('HY &amp; Segments'!$A:$AG,MATCH($A28,'HY &amp; Segments'!$A:$A,0),MATCH("2H"&amp;RIGHT(J$1,2),'HY &amp; Segments'!$3:$3,0))</f>
        <v>-25.793334348285839</v>
      </c>
      <c r="K28" s="4">
        <f>INDEX('HY &amp; Segments'!$A:$AG,MATCH($A28,'HY &amp; Segments'!$A:$A,0),MATCH("1H"&amp;RIGHT(K$1,2),'HY &amp; Segments'!$3:$3,0))+INDEX('HY &amp; Segments'!$A:$AG,MATCH($A28,'HY &amp; Segments'!$A:$A,0),MATCH("2H"&amp;RIGHT(K$1,2),'HY &amp; Segments'!$3:$3,0))</f>
        <v>-26.52450846519621</v>
      </c>
      <c r="L28" s="4">
        <f>INDEX('HY &amp; Segments'!$A:$AG,MATCH($A28,'HY &amp; Segments'!$A:$A,0),MATCH("1H"&amp;RIGHT(L$1,2),'HY &amp; Segments'!$3:$3,0))+INDEX('HY &amp; Segments'!$A:$AG,MATCH($A28,'HY &amp; Segments'!$A:$A,0),MATCH("2H"&amp;RIGHT(L$1,2),'HY &amp; Segments'!$3:$3,0))</f>
        <v>-27.278775432299163</v>
      </c>
      <c r="M28" s="4">
        <f>INDEX('HY &amp; Segments'!$A:$AG,MATCH($A28,'HY &amp; Segments'!$A:$A,0),MATCH("1H"&amp;RIGHT(M$1,2),'HY &amp; Segments'!$3:$3,0))+INDEX('HY &amp; Segments'!$A:$AG,MATCH($A28,'HY &amp; Segments'!$A:$A,0),MATCH("2H"&amp;RIGHT(M$1,2),'HY &amp; Segments'!$3:$3,0))</f>
        <v>-28.056980923322307</v>
      </c>
      <c r="N28" s="4">
        <f>INDEX('HY &amp; Segments'!$A:$AG,MATCH($A28,'HY &amp; Segments'!$A:$A,0),MATCH("1H"&amp;RIGHT(N$1,2),'HY &amp; Segments'!$3:$3,0))+INDEX('HY &amp; Segments'!$A:$AG,MATCH($A28,'HY &amp; Segments'!$A:$A,0),MATCH("2H"&amp;RIGHT(N$1,2),'HY &amp; Segments'!$3:$3,0))</f>
        <v>-28.860006714486815</v>
      </c>
      <c r="O28" s="4">
        <f>INDEX('HY &amp; Segments'!$A:$AG,MATCH($A28,'HY &amp; Segments'!$A:$A,0),MATCH("1H"&amp;RIGHT(O$1,2),'HY &amp; Segments'!$3:$3,0))+INDEX('HY &amp; Segments'!$A:$AG,MATCH($A28,'HY &amp; Segments'!$A:$A,0),MATCH("2H"&amp;RIGHT(O$1,2),'HY &amp; Segments'!$3:$3,0))</f>
        <v>-29.688772421125996</v>
      </c>
      <c r="P28" s="4">
        <f>INDEX('HY &amp; Segments'!$A:$AG,MATCH($A28,'HY &amp; Segments'!$A:$A,0),MATCH("1H"&amp;RIGHT(P$1,2),'HY &amp; Segments'!$3:$3,0))+INDEX('HY &amp; Segments'!$A:$AG,MATCH($A28,'HY &amp; Segments'!$A:$A,0),MATCH("2H"&amp;RIGHT(P$1,2),'HY &amp; Segments'!$3:$3,0))</f>
        <v>-30.54423732421796</v>
      </c>
    </row>
    <row r="29" spans="1:16" x14ac:dyDescent="0.35">
      <c r="A29" t="s">
        <v>54</v>
      </c>
      <c r="B29" t="s">
        <v>55</v>
      </c>
      <c r="C29" t="s">
        <v>22</v>
      </c>
      <c r="D29" s="19">
        <v>-11</v>
      </c>
      <c r="E29" s="19">
        <v>-12.8</v>
      </c>
      <c r="F29" s="19">
        <v>-14.2</v>
      </c>
      <c r="G29" s="4">
        <f>INDEX('HY &amp; Segments'!$A:$AG,MATCH($A29,'HY &amp; Segments'!$A:$A,0),MATCH("1H"&amp;RIGHT(G$1,2),'HY &amp; Segments'!$3:$3,0))+INDEX('HY &amp; Segments'!$A:$AG,MATCH($A29,'HY &amp; Segments'!$A:$A,0),MATCH("2H"&amp;RIGHT(G$1,2),'HY &amp; Segments'!$3:$3,0))</f>
        <v>-15.587250494791661</v>
      </c>
      <c r="H29" s="4">
        <f>INDEX('HY &amp; Segments'!$A:$AG,MATCH($A29,'HY &amp; Segments'!$A:$A,0),MATCH("1H"&amp;RIGHT(H$1,2),'HY &amp; Segments'!$3:$3,0))+INDEX('HY &amp; Segments'!$A:$AG,MATCH($A29,'HY &amp; Segments'!$A:$A,0),MATCH("2H"&amp;RIGHT(H$1,2),'HY &amp; Segments'!$3:$3,0))</f>
        <v>-16.082928391419198</v>
      </c>
      <c r="I29" s="4">
        <f>INDEX('HY &amp; Segments'!$A:$AG,MATCH($A29,'HY &amp; Segments'!$A:$A,0),MATCH("1H"&amp;RIGHT(I$1,2),'HY &amp; Segments'!$3:$3,0))+INDEX('HY &amp; Segments'!$A:$AG,MATCH($A29,'HY &amp; Segments'!$A:$A,0),MATCH("2H"&amp;RIGHT(I$1,2),'HY &amp; Segments'!$3:$3,0))</f>
        <v>-16.536203968852053</v>
      </c>
      <c r="J29" s="4">
        <f>INDEX('HY &amp; Segments'!$A:$AG,MATCH($A29,'HY &amp; Segments'!$A:$A,0),MATCH("1H"&amp;RIGHT(J$1,2),'HY &amp; Segments'!$3:$3,0))+INDEX('HY &amp; Segments'!$A:$AG,MATCH($A29,'HY &amp; Segments'!$A:$A,0),MATCH("2H"&amp;RIGHT(J$1,2),'HY &amp; Segments'!$3:$3,0))</f>
        <v>-17.003665967717041</v>
      </c>
      <c r="K29" s="4">
        <f>INDEX('HY &amp; Segments'!$A:$AG,MATCH($A29,'HY &amp; Segments'!$A:$A,0),MATCH("1H"&amp;RIGHT(K$1,2),'HY &amp; Segments'!$3:$3,0))+INDEX('HY &amp; Segments'!$A:$AG,MATCH($A29,'HY &amp; Segments'!$A:$A,0),MATCH("2H"&amp;RIGHT(K$1,2),'HY &amp; Segments'!$3:$3,0))</f>
        <v>-17.485828188708801</v>
      </c>
      <c r="L29" s="4">
        <f>INDEX('HY &amp; Segments'!$A:$AG,MATCH($A29,'HY &amp; Segments'!$A:$A,0),MATCH("1H"&amp;RIGHT(L$1,2),'HY &amp; Segments'!$3:$3,0))+INDEX('HY &amp; Segments'!$A:$AG,MATCH($A29,'HY &amp; Segments'!$A:$A,0),MATCH("2H"&amp;RIGHT(L$1,2),'HY &amp; Segments'!$3:$3,0))</f>
        <v>-17.983226149603141</v>
      </c>
      <c r="M29" s="4">
        <f>INDEX('HY &amp; Segments'!$A:$AG,MATCH($A29,'HY &amp; Segments'!$A:$A,0),MATCH("1H"&amp;RIGHT(M$1,2),'HY &amp; Segments'!$3:$3,0))+INDEX('HY &amp; Segments'!$A:$AG,MATCH($A29,'HY &amp; Segments'!$A:$A,0),MATCH("2H"&amp;RIGHT(M$1,2),'HY &amp; Segments'!$3:$3,0))</f>
        <v>-18.496418122801675</v>
      </c>
      <c r="N29" s="4">
        <f>INDEX('HY &amp; Segments'!$A:$AG,MATCH($A29,'HY &amp; Segments'!$A:$A,0),MATCH("1H"&amp;RIGHT(N$1,2),'HY &amp; Segments'!$3:$3,0))+INDEX('HY &amp; Segments'!$A:$AG,MATCH($A29,'HY &amp; Segments'!$A:$A,0),MATCH("2H"&amp;RIGHT(N$1,2),'HY &amp; Segments'!$3:$3,0))</f>
        <v>-19.025986226389993</v>
      </c>
      <c r="O29" s="4">
        <f>INDEX('HY &amp; Segments'!$A:$AG,MATCH($A29,'HY &amp; Segments'!$A:$A,0),MATCH("1H"&amp;RIGHT(O$1,2),'HY &amp; Segments'!$3:$3,0))+INDEX('HY &amp; Segments'!$A:$AG,MATCH($A29,'HY &amp; Segments'!$A:$A,0),MATCH("2H"&amp;RIGHT(O$1,2),'HY &amp; Segments'!$3:$3,0))</f>
        <v>-19.572537571584427</v>
      </c>
      <c r="P29" s="4">
        <f>INDEX('HY &amp; Segments'!$A:$AG,MATCH($A29,'HY &amp; Segments'!$A:$A,0),MATCH("1H"&amp;RIGHT(P$1,2),'HY &amp; Segments'!$3:$3,0))+INDEX('HY &amp; Segments'!$A:$AG,MATCH($A29,'HY &amp; Segments'!$A:$A,0),MATCH("2H"&amp;RIGHT(P$1,2),'HY &amp; Segments'!$3:$3,0))</f>
        <v>-20.136705469600265</v>
      </c>
    </row>
    <row r="30" spans="1:16" x14ac:dyDescent="0.35">
      <c r="A30" t="s">
        <v>56</v>
      </c>
      <c r="B30" t="s">
        <v>57</v>
      </c>
      <c r="C30" t="s">
        <v>22</v>
      </c>
      <c r="D30" s="19">
        <v>-45.5</v>
      </c>
      <c r="E30" s="19">
        <v>-34.200000000000003</v>
      </c>
      <c r="F30" s="19">
        <v>-29.4</v>
      </c>
      <c r="G30" s="4">
        <f>INDEX('HY &amp; Segments'!$A:$AG,MATCH($A30,'HY &amp; Segments'!$A:$A,0),MATCH("1H"&amp;RIGHT(G$1,2),'HY &amp; Segments'!$3:$3,0))+INDEX('HY &amp; Segments'!$A:$AG,MATCH($A30,'HY &amp; Segments'!$A:$A,0),MATCH("2H"&amp;RIGHT(G$1,2),'HY &amp; Segments'!$3:$3,0))</f>
        <v>-20.529800395833327</v>
      </c>
      <c r="H30" s="4">
        <f>INDEX('HY &amp; Segments'!$A:$AG,MATCH($A30,'HY &amp; Segments'!$A:$A,0),MATCH("1H"&amp;RIGHT(H$1,2),'HY &amp; Segments'!$3:$3,0))+INDEX('HY &amp; Segments'!$A:$AG,MATCH($A30,'HY &amp; Segments'!$A:$A,0),MATCH("2H"&amp;RIGHT(H$1,2),'HY &amp; Segments'!$3:$3,0))</f>
        <v>-21.211395358107627</v>
      </c>
      <c r="I30" s="4">
        <f>INDEX('HY &amp; Segments'!$A:$AG,MATCH($A30,'HY &amp; Segments'!$A:$A,0),MATCH("1H"&amp;RIGHT(I$1,2),'HY &amp; Segments'!$3:$3,0))+INDEX('HY &amp; Segments'!$A:$AG,MATCH($A30,'HY &amp; Segments'!$A:$A,0),MATCH("2H"&amp;RIGHT(I$1,2),'HY &amp; Segments'!$3:$3,0))</f>
        <v>-21.811904546348618</v>
      </c>
      <c r="J30" s="4">
        <f>INDEX('HY &amp; Segments'!$A:$AG,MATCH($A30,'HY &amp; Segments'!$A:$A,0),MATCH("1H"&amp;RIGHT(J$1,2),'HY &amp; Segments'!$3:$3,0))+INDEX('HY &amp; Segments'!$A:$AG,MATCH($A30,'HY &amp; Segments'!$A:$A,0),MATCH("2H"&amp;RIGHT(J$1,2),'HY &amp; Segments'!$3:$3,0))</f>
        <v>-22.431341469259671</v>
      </c>
      <c r="K30" s="4">
        <f>INDEX('HY &amp; Segments'!$A:$AG,MATCH($A30,'HY &amp; Segments'!$A:$A,0),MATCH("1H"&amp;RIGHT(K$1,2),'HY &amp; Segments'!$3:$3,0))+INDEX('HY &amp; Segments'!$A:$AG,MATCH($A30,'HY &amp; Segments'!$A:$A,0),MATCH("2H"&amp;RIGHT(K$1,2),'HY &amp; Segments'!$3:$3,0))</f>
        <v>-23.070397581734344</v>
      </c>
      <c r="L30" s="4">
        <f>INDEX('HY &amp; Segments'!$A:$AG,MATCH($A30,'HY &amp; Segments'!$A:$A,0),MATCH("1H"&amp;RIGHT(L$1,2),'HY &amp; Segments'!$3:$3,0))+INDEX('HY &amp; Segments'!$A:$AG,MATCH($A30,'HY &amp; Segments'!$A:$A,0),MATCH("2H"&amp;RIGHT(L$1,2),'HY &amp; Segments'!$3:$3,0))</f>
        <v>-23.729793793118553</v>
      </c>
      <c r="M30" s="4">
        <f>INDEX('HY &amp; Segments'!$A:$AG,MATCH($A30,'HY &amp; Segments'!$A:$A,0),MATCH("1H"&amp;RIGHT(M$1,2),'HY &amp; Segments'!$3:$3,0))+INDEX('HY &amp; Segments'!$A:$AG,MATCH($A30,'HY &amp; Segments'!$A:$A,0),MATCH("2H"&amp;RIGHT(M$1,2),'HY &amp; Segments'!$3:$3,0))</f>
        <v>-24.410281881942492</v>
      </c>
      <c r="N30" s="4">
        <f>INDEX('HY &amp; Segments'!$A:$AG,MATCH($A30,'HY &amp; Segments'!$A:$A,0),MATCH("1H"&amp;RIGHT(N$1,2),'HY &amp; Segments'!$3:$3,0))+INDEX('HY &amp; Segments'!$A:$AG,MATCH($A30,'HY &amp; Segments'!$A:$A,0),MATCH("2H"&amp;RIGHT(N$1,2),'HY &amp; Segments'!$3:$3,0))</f>
        <v>-25.112645983839819</v>
      </c>
      <c r="O30" s="4">
        <f>INDEX('HY &amp; Segments'!$A:$AG,MATCH($A30,'HY &amp; Segments'!$A:$A,0),MATCH("1H"&amp;RIGHT(O$1,2),'HY &amp; Segments'!$3:$3,0))+INDEX('HY &amp; Segments'!$A:$AG,MATCH($A30,'HY &amp; Segments'!$A:$A,0),MATCH("2H"&amp;RIGHT(O$1,2),'HY &amp; Segments'!$3:$3,0))</f>
        <v>-25.837704156592405</v>
      </c>
      <c r="P30" s="4">
        <f>INDEX('HY &amp; Segments'!$A:$AG,MATCH($A30,'HY &amp; Segments'!$A:$A,0),MATCH("1H"&amp;RIGHT(P$1,2),'HY &amp; Segments'!$3:$3,0))+INDEX('HY &amp; Segments'!$A:$AG,MATCH($A30,'HY &amp; Segments'!$A:$A,0),MATCH("2H"&amp;RIGHT(P$1,2),'HY &amp; Segments'!$3:$3,0))</f>
        <v>-26.586310026454782</v>
      </c>
    </row>
    <row r="31" spans="1:16" x14ac:dyDescent="0.35">
      <c r="A31" t="s">
        <v>58</v>
      </c>
      <c r="B31" s="20" t="s">
        <v>59</v>
      </c>
      <c r="C31" s="20" t="s">
        <v>22</v>
      </c>
      <c r="D31" s="21">
        <f t="shared" ref="D31:P31" si="7">SUM(D27:D30)</f>
        <v>-225.39999999999998</v>
      </c>
      <c r="E31" s="21">
        <f t="shared" si="7"/>
        <v>-213.8</v>
      </c>
      <c r="F31" s="21">
        <f t="shared" si="7"/>
        <v>-212.5</v>
      </c>
      <c r="G31" s="21">
        <f t="shared" si="7"/>
        <v>-223.93943535714277</v>
      </c>
      <c r="H31" s="21">
        <f t="shared" si="7"/>
        <v>-231.09702978494408</v>
      </c>
      <c r="I31" s="21">
        <f t="shared" si="7"/>
        <v>-237.61358753231431</v>
      </c>
      <c r="J31" s="21">
        <f t="shared" si="7"/>
        <v>-244.33426583252151</v>
      </c>
      <c r="K31" s="21">
        <f t="shared" si="7"/>
        <v>-251.2664649678475</v>
      </c>
      <c r="L31" s="21">
        <f t="shared" si="7"/>
        <v>-258.41789830034691</v>
      </c>
      <c r="M31" s="21">
        <f t="shared" si="7"/>
        <v>-265.79660723889663</v>
      </c>
      <c r="N31" s="21">
        <f t="shared" si="7"/>
        <v>-273.41097697847823</v>
      </c>
      <c r="O31" s="21">
        <f t="shared" si="7"/>
        <v>-281.26975305319206</v>
      </c>
      <c r="P31" s="21">
        <f t="shared" si="7"/>
        <v>-289.38205874677516</v>
      </c>
    </row>
    <row r="32" spans="1:16" x14ac:dyDescent="0.35">
      <c r="B32" t="s">
        <v>60</v>
      </c>
      <c r="C32" t="s">
        <v>28</v>
      </c>
      <c r="D32" s="6"/>
      <c r="E32" s="6">
        <f t="shared" ref="E32:P32" si="8">IF(D31=0,"",E31/D31-1)</f>
        <v>-5.1464063886423994E-2</v>
      </c>
      <c r="F32" s="6">
        <f t="shared" si="8"/>
        <v>-6.0804490177737147E-3</v>
      </c>
      <c r="G32" s="6">
        <f t="shared" si="8"/>
        <v>5.3832636974789461E-2</v>
      </c>
      <c r="H32" s="6">
        <f t="shared" si="8"/>
        <v>3.1962188421106985E-2</v>
      </c>
      <c r="I32" s="6">
        <f t="shared" si="8"/>
        <v>2.8198362191995452E-2</v>
      </c>
      <c r="J32" s="6">
        <f t="shared" si="8"/>
        <v>2.8284065612591336E-2</v>
      </c>
      <c r="K32" s="6">
        <f t="shared" si="8"/>
        <v>2.837178449656208E-2</v>
      </c>
      <c r="L32" s="6">
        <f t="shared" si="8"/>
        <v>2.8461551100400495E-2</v>
      </c>
      <c r="M32" s="6">
        <f t="shared" si="8"/>
        <v>2.8553397373326739E-2</v>
      </c>
      <c r="N32" s="6">
        <f t="shared" si="8"/>
        <v>2.8647354902983535E-2</v>
      </c>
      <c r="O32" s="6">
        <f t="shared" si="8"/>
        <v>2.8743454858918938E-2</v>
      </c>
      <c r="P32" s="6">
        <f t="shared" si="8"/>
        <v>2.8841727933856198E-2</v>
      </c>
    </row>
    <row r="33" spans="1:16" x14ac:dyDescent="0.35">
      <c r="E33" s="4"/>
      <c r="F33" s="4"/>
    </row>
    <row r="34" spans="1:16" x14ac:dyDescent="0.35">
      <c r="B34" s="5" t="s">
        <v>61</v>
      </c>
    </row>
    <row r="35" spans="1:16" x14ac:dyDescent="0.35">
      <c r="A35" t="s">
        <v>62</v>
      </c>
      <c r="B35" t="s">
        <v>63</v>
      </c>
      <c r="C35" t="s">
        <v>22</v>
      </c>
      <c r="D35" s="19">
        <v>113.2</v>
      </c>
      <c r="E35" s="19">
        <v>68.8</v>
      </c>
      <c r="F35" s="19">
        <v>44.1</v>
      </c>
      <c r="G35" s="4">
        <f>INDEX('HY &amp; Segments'!$A:$AG,MATCH($A35,'HY &amp; Segments'!$A:$A,0),MATCH("1H"&amp;RIGHT(G$1,2),'HY &amp; Segments'!$3:$3,0))+INDEX('HY &amp; Segments'!$A:$AG,MATCH($A35,'HY &amp; Segments'!$A:$A,0),MATCH("2H"&amp;RIGHT(G$1,2),'HY &amp; Segments'!$3:$3,0))</f>
        <v>75.951706017063486</v>
      </c>
      <c r="H35" s="4">
        <f>INDEX('HY &amp; Segments'!$A:$AG,MATCH($A35,'HY &amp; Segments'!$A:$A,0),MATCH("1H"&amp;RIGHT(H$1,2),'HY &amp; Segments'!$3:$3,0))+INDEX('HY &amp; Segments'!$A:$AG,MATCH($A35,'HY &amp; Segments'!$A:$A,0),MATCH("2H"&amp;RIGHT(H$1,2),'HY &amp; Segments'!$3:$3,0))</f>
        <v>92.617550527300864</v>
      </c>
      <c r="I35" s="4">
        <f>INDEX('HY &amp; Segments'!$A:$AG,MATCH($A35,'HY &amp; Segments'!$A:$A,0),MATCH("1H"&amp;RIGHT(I$1,2),'HY &amp; Segments'!$3:$3,0))+INDEX('HY &amp; Segments'!$A:$AG,MATCH($A35,'HY &amp; Segments'!$A:$A,0),MATCH("2H"&amp;RIGHT(I$1,2),'HY &amp; Segments'!$3:$3,0))</f>
        <v>100.37710488921351</v>
      </c>
      <c r="J35" s="4">
        <f>INDEX('HY &amp; Segments'!$A:$AG,MATCH($A35,'HY &amp; Segments'!$A:$A,0),MATCH("1H"&amp;RIGHT(J$1,2),'HY &amp; Segments'!$3:$3,0))+INDEX('HY &amp; Segments'!$A:$AG,MATCH($A35,'HY &amp; Segments'!$A:$A,0),MATCH("2H"&amp;RIGHT(J$1,2),'HY &amp; Segments'!$3:$3,0))</f>
        <v>108.63415755480318</v>
      </c>
      <c r="K35" s="4">
        <f>INDEX('HY &amp; Segments'!$A:$AG,MATCH($A35,'HY &amp; Segments'!$A:$A,0),MATCH("1H"&amp;RIGHT(K$1,2),'HY &amp; Segments'!$3:$3,0))+INDEX('HY &amp; Segments'!$A:$AG,MATCH($A35,'HY &amp; Segments'!$A:$A,0),MATCH("2H"&amp;RIGHT(K$1,2),'HY &amp; Segments'!$3:$3,0))</f>
        <v>117.41806663319987</v>
      </c>
      <c r="L35" s="4">
        <f>INDEX('HY &amp; Segments'!$A:$AG,MATCH($A35,'HY &amp; Segments'!$A:$A,0),MATCH("1H"&amp;RIGHT(L$1,2),'HY &amp; Segments'!$3:$3,0))+INDEX('HY &amp; Segments'!$A:$AG,MATCH($A35,'HY &amp; Segments'!$A:$A,0),MATCH("2H"&amp;RIGHT(L$1,2),'HY &amp; Segments'!$3:$3,0))</f>
        <v>126.75986751258509</v>
      </c>
      <c r="M35" s="4">
        <f>INDEX('HY &amp; Segments'!$A:$AG,MATCH($A35,'HY &amp; Segments'!$A:$A,0),MATCH("1H"&amp;RIGHT(M$1,2),'HY &amp; Segments'!$3:$3,0))+INDEX('HY &amp; Segments'!$A:$AG,MATCH($A35,'HY &amp; Segments'!$A:$A,0),MATCH("2H"&amp;RIGHT(M$1,2),'HY &amp; Segments'!$3:$3,0))</f>
        <v>136.69236738261063</v>
      </c>
      <c r="N35" s="4">
        <f>INDEX('HY &amp; Segments'!$A:$AG,MATCH($A35,'HY &amp; Segments'!$A:$A,0),MATCH("1H"&amp;RIGHT(N$1,2),'HY &amp; Segments'!$3:$3,0))+INDEX('HY &amp; Segments'!$A:$AG,MATCH($A35,'HY &amp; Segments'!$A:$A,0),MATCH("2H"&amp;RIGHT(N$1,2),'HY &amp; Segments'!$3:$3,0))</f>
        <v>147.2502450517951</v>
      </c>
      <c r="O35" s="4">
        <f>INDEX('HY &amp; Segments'!$A:$AG,MATCH($A35,'HY &amp; Segments'!$A:$A,0),MATCH("1H"&amp;RIGHT(O$1,2),'HY &amp; Segments'!$3:$3,0))+INDEX('HY &amp; Segments'!$A:$AG,MATCH($A35,'HY &amp; Segments'!$A:$A,0),MATCH("2H"&amp;RIGHT(O$1,2),'HY &amp; Segments'!$3:$3,0))</f>
        <v>158.47015635572663</v>
      </c>
      <c r="P35" s="4">
        <f>INDEX('HY &amp; Segments'!$A:$AG,MATCH($A35,'HY &amp; Segments'!$A:$A,0),MATCH("1H"&amp;RIGHT(P$1,2),'HY &amp; Segments'!$3:$3,0))+INDEX('HY &amp; Segments'!$A:$AG,MATCH($A35,'HY &amp; Segments'!$A:$A,0),MATCH("2H"&amp;RIGHT(P$1,2),'HY &amp; Segments'!$3:$3,0))</f>
        <v>170.39084546840974</v>
      </c>
    </row>
    <row r="36" spans="1:16" x14ac:dyDescent="0.35">
      <c r="A36" t="s">
        <v>64</v>
      </c>
      <c r="B36" t="s">
        <v>65</v>
      </c>
      <c r="C36" t="s">
        <v>22</v>
      </c>
      <c r="D36" s="19">
        <v>131</v>
      </c>
      <c r="E36" s="19">
        <v>99.5</v>
      </c>
      <c r="F36" s="19">
        <v>84.9</v>
      </c>
      <c r="G36" s="4">
        <f>INDEX('HY &amp; Segments'!$A:$AG,MATCH($A36,'HY &amp; Segments'!$A:$A,0),MATCH("1H"&amp;RIGHT(G$1,2),'HY &amp; Segments'!$3:$3,0))+INDEX('HY &amp; Segments'!$A:$AG,MATCH($A36,'HY &amp; Segments'!$A:$A,0),MATCH("2H"&amp;RIGHT(G$1,2),'HY &amp; Segments'!$3:$3,0))</f>
        <v>80.855644999999981</v>
      </c>
      <c r="H36" s="4">
        <f>INDEX('HY &amp; Segments'!$A:$AG,MATCH($A36,'HY &amp; Segments'!$A:$A,0),MATCH("1H"&amp;RIGHT(H$1,2),'HY &amp; Segments'!$3:$3,0))+INDEX('HY &amp; Segments'!$A:$AG,MATCH($A36,'HY &amp; Segments'!$A:$A,0),MATCH("2H"&amp;RIGHT(H$1,2),'HY &amp; Segments'!$3:$3,0))</f>
        <v>89.042347933749994</v>
      </c>
      <c r="I36" s="4">
        <f>INDEX('HY &amp; Segments'!$A:$AG,MATCH($A36,'HY &amp; Segments'!$A:$A,0),MATCH("1H"&amp;RIGHT(I$1,2),'HY &amp; Segments'!$3:$3,0))+INDEX('HY &amp; Segments'!$A:$AG,MATCH($A36,'HY &amp; Segments'!$A:$A,0),MATCH("2H"&amp;RIGHT(I$1,2),'HY &amp; Segments'!$3:$3,0))</f>
        <v>97.777434574181555</v>
      </c>
      <c r="J36" s="4">
        <f>INDEX('HY &amp; Segments'!$A:$AG,MATCH($A36,'HY &amp; Segments'!$A:$A,0),MATCH("1H"&amp;RIGHT(J$1,2),'HY &amp; Segments'!$3:$3,0))+INDEX('HY &amp; Segments'!$A:$AG,MATCH($A36,'HY &amp; Segments'!$A:$A,0),MATCH("2H"&amp;RIGHT(J$1,2),'HY &amp; Segments'!$3:$3,0))</f>
        <v>107.09377668839534</v>
      </c>
      <c r="K36" s="4">
        <f>INDEX('HY &amp; Segments'!$A:$AG,MATCH($A36,'HY &amp; Segments'!$A:$A,0),MATCH("1H"&amp;RIGHT(K$1,2),'HY &amp; Segments'!$3:$3,0))+INDEX('HY &amp; Segments'!$A:$AG,MATCH($A36,'HY &amp; Segments'!$A:$A,0),MATCH("2H"&amp;RIGHT(K$1,2),'HY &amp; Segments'!$3:$3,0))</f>
        <v>117.02613612889408</v>
      </c>
      <c r="L36" s="4">
        <f>INDEX('HY &amp; Segments'!$A:$AG,MATCH($A36,'HY &amp; Segments'!$A:$A,0),MATCH("1H"&amp;RIGHT(L$1,2),'HY &amp; Segments'!$3:$3,0))+INDEX('HY &amp; Segments'!$A:$AG,MATCH($A36,'HY &amp; Segments'!$A:$A,0),MATCH("2H"&amp;RIGHT(L$1,2),'HY &amp; Segments'!$3:$3,0))</f>
        <v>127.61127164295362</v>
      </c>
      <c r="M36" s="4">
        <f>INDEX('HY &amp; Segments'!$A:$AG,MATCH($A36,'HY &amp; Segments'!$A:$A,0),MATCH("1H"&amp;RIGHT(M$1,2),'HY &amp; Segments'!$3:$3,0))+INDEX('HY &amp; Segments'!$A:$AG,MATCH($A36,'HY &amp; Segments'!$A:$A,0),MATCH("2H"&amp;RIGHT(M$1,2),'HY &amp; Segments'!$3:$3,0))</f>
        <v>138.88805167254384</v>
      </c>
      <c r="N36" s="4">
        <f>INDEX('HY &amp; Segments'!$A:$AG,MATCH($A36,'HY &amp; Segments'!$A:$A,0),MATCH("1H"&amp;RIGHT(N$1,2),'HY &amp; Segments'!$3:$3,0))+INDEX('HY &amp; Segments'!$A:$AG,MATCH($A36,'HY &amp; Segments'!$A:$A,0),MATCH("2H"&amp;RIGHT(N$1,2),'HY &amp; Segments'!$3:$3,0))</f>
        <v>150.89757347967111</v>
      </c>
      <c r="O36" s="4">
        <f>INDEX('HY &amp; Segments'!$A:$AG,MATCH($A36,'HY &amp; Segments'!$A:$A,0),MATCH("1H"&amp;RIGHT(O$1,2),'HY &amp; Segments'!$3:$3,0))+INDEX('HY &amp; Segments'!$A:$AG,MATCH($A36,'HY &amp; Segments'!$A:$A,0),MATCH("2H"&amp;RIGHT(O$1,2),'HY &amp; Segments'!$3:$3,0))</f>
        <v>163.68328895070528</v>
      </c>
      <c r="P36" s="4">
        <f>INDEX('HY &amp; Segments'!$A:$AG,MATCH($A36,'HY &amp; Segments'!$A:$A,0),MATCH("1H"&amp;RIGHT(P$1,2),'HY &amp; Segments'!$3:$3,0))+INDEX('HY &amp; Segments'!$A:$AG,MATCH($A36,'HY &amp; Segments'!$A:$A,0),MATCH("2H"&amp;RIGHT(P$1,2),'HY &amp; Segments'!$3:$3,0))</f>
        <v>177.29113745298818</v>
      </c>
    </row>
    <row r="37" spans="1:16" x14ac:dyDescent="0.35">
      <c r="A37" t="s">
        <v>66</v>
      </c>
      <c r="B37" t="s">
        <v>67</v>
      </c>
      <c r="C37" t="s">
        <v>22</v>
      </c>
      <c r="D37" s="19">
        <v>-25.3</v>
      </c>
      <c r="E37" s="19">
        <v>-20.7</v>
      </c>
      <c r="F37" s="19">
        <v>-17</v>
      </c>
      <c r="G37" s="4">
        <f>INDEX('HY &amp; Segments'!$A:$AG,MATCH($A37,'HY &amp; Segments'!$A:$A,0),MATCH("1H"&amp;RIGHT(G$1,2),'HY &amp; Segments'!$3:$3,0))+INDEX('HY &amp; Segments'!$A:$AG,MATCH($A37,'HY &amp; Segments'!$A:$A,0),MATCH("2H"&amp;RIGHT(G$1,2),'HY &amp; Segments'!$3:$3,0))</f>
        <v>-22.000267857142855</v>
      </c>
      <c r="H37" s="4">
        <f>INDEX('HY &amp; Segments'!$A:$AG,MATCH($A37,'HY &amp; Segments'!$A:$A,0),MATCH("1H"&amp;RIGHT(H$1,2),'HY &amp; Segments'!$3:$3,0))+INDEX('HY &amp; Segments'!$A:$AG,MATCH($A37,'HY &amp; Segments'!$A:$A,0),MATCH("2H"&amp;RIGHT(H$1,2),'HY &amp; Segments'!$3:$3,0))</f>
        <v>-24.036813097444288</v>
      </c>
      <c r="I37" s="4">
        <f>INDEX('HY &amp; Segments'!$A:$AG,MATCH($A37,'HY &amp; Segments'!$A:$A,0),MATCH("1H"&amp;RIGHT(I$1,2),'HY &amp; Segments'!$3:$3,0))+INDEX('HY &amp; Segments'!$A:$AG,MATCH($A37,'HY &amp; Segments'!$A:$A,0),MATCH("2H"&amp;RIGHT(I$1,2),'HY &amp; Segments'!$3:$3,0))</f>
        <v>-25.376865427626811</v>
      </c>
      <c r="J37" s="4">
        <f>INDEX('HY &amp; Segments'!$A:$AG,MATCH($A37,'HY &amp; Segments'!$A:$A,0),MATCH("1H"&amp;RIGHT(J$1,2),'HY &amp; Segments'!$3:$3,0))+INDEX('HY &amp; Segments'!$A:$AG,MATCH($A37,'HY &amp; Segments'!$A:$A,0),MATCH("2H"&amp;RIGHT(J$1,2),'HY &amp; Segments'!$3:$3,0))</f>
        <v>-26.791625675217002</v>
      </c>
      <c r="K37" s="4">
        <f>INDEX('HY &amp; Segments'!$A:$AG,MATCH($A37,'HY &amp; Segments'!$A:$A,0),MATCH("1H"&amp;RIGHT(K$1,2),'HY &amp; Segments'!$3:$3,0))+INDEX('HY &amp; Segments'!$A:$AG,MATCH($A37,'HY &amp; Segments'!$A:$A,0),MATCH("2H"&amp;RIGHT(K$1,2),'HY &amp; Segments'!$3:$3,0))</f>
        <v>-28.285258806610351</v>
      </c>
      <c r="L37" s="4">
        <f>INDEX('HY &amp; Segments'!$A:$AG,MATCH($A37,'HY &amp; Segments'!$A:$A,0),MATCH("1H"&amp;RIGHT(L$1,2),'HY &amp; Segments'!$3:$3,0))+INDEX('HY &amp; Segments'!$A:$AG,MATCH($A37,'HY &amp; Segments'!$A:$A,0),MATCH("2H"&amp;RIGHT(L$1,2),'HY &amp; Segments'!$3:$3,0))</f>
        <v>-29.862161985078878</v>
      </c>
      <c r="M37" s="4">
        <f>INDEX('HY &amp; Segments'!$A:$AG,MATCH($A37,'HY &amp; Segments'!$A:$A,0),MATCH("1H"&amp;RIGHT(M$1,2),'HY &amp; Segments'!$3:$3,0))+INDEX('HY &amp; Segments'!$A:$AG,MATCH($A37,'HY &amp; Segments'!$A:$A,0),MATCH("2H"&amp;RIGHT(M$1,2),'HY &amp; Segments'!$3:$3,0))</f>
        <v>-31.526977515747017</v>
      </c>
      <c r="N37" s="4">
        <f>INDEX('HY &amp; Segments'!$A:$AG,MATCH($A37,'HY &amp; Segments'!$A:$A,0),MATCH("1H"&amp;RIGHT(N$1,2),'HY &amp; Segments'!$3:$3,0))+INDEX('HY &amp; Segments'!$A:$AG,MATCH($A37,'HY &amp; Segments'!$A:$A,0),MATCH("2H"&amp;RIGHT(N$1,2),'HY &amp; Segments'!$3:$3,0))</f>
        <v>-33.284606512249908</v>
      </c>
      <c r="O37" s="4">
        <f>INDEX('HY &amp; Segments'!$A:$AG,MATCH($A37,'HY &amp; Segments'!$A:$A,0),MATCH("1H"&amp;RIGHT(O$1,2),'HY &amp; Segments'!$3:$3,0))+INDEX('HY &amp; Segments'!$A:$AG,MATCH($A37,'HY &amp; Segments'!$A:$A,0),MATCH("2H"&amp;RIGHT(O$1,2),'HY &amp; Segments'!$3:$3,0))</f>
        <v>-35.140223325307844</v>
      </c>
      <c r="P37" s="4">
        <f>INDEX('HY &amp; Segments'!$A:$AG,MATCH($A37,'HY &amp; Segments'!$A:$A,0),MATCH("1H"&amp;RIGHT(P$1,2),'HY &amp; Segments'!$3:$3,0))+INDEX('HY &amp; Segments'!$A:$AG,MATCH($A37,'HY &amp; Segments'!$A:$A,0),MATCH("2H"&amp;RIGHT(P$1,2),'HY &amp; Segments'!$3:$3,0))</f>
        <v>-37.09929077569376</v>
      </c>
    </row>
    <row r="38" spans="1:16" x14ac:dyDescent="0.35">
      <c r="A38" t="s">
        <v>68</v>
      </c>
      <c r="B38" s="20" t="s">
        <v>69</v>
      </c>
      <c r="C38" s="20" t="s">
        <v>22</v>
      </c>
      <c r="D38" s="21">
        <f t="shared" ref="D38:P38" si="9">SUM(D35:D37)</f>
        <v>218.89999999999998</v>
      </c>
      <c r="E38" s="21">
        <f t="shared" si="9"/>
        <v>147.60000000000002</v>
      </c>
      <c r="F38" s="21">
        <f t="shared" si="9"/>
        <v>112</v>
      </c>
      <c r="G38" s="21">
        <f t="shared" si="9"/>
        <v>134.80708315992061</v>
      </c>
      <c r="H38" s="21">
        <f t="shared" si="9"/>
        <v>157.62308536360658</v>
      </c>
      <c r="I38" s="21">
        <f t="shared" si="9"/>
        <v>172.77767403576826</v>
      </c>
      <c r="J38" s="21">
        <f t="shared" si="9"/>
        <v>188.93630856798151</v>
      </c>
      <c r="K38" s="21">
        <f t="shared" si="9"/>
        <v>206.15894395548358</v>
      </c>
      <c r="L38" s="21">
        <f t="shared" si="9"/>
        <v>224.50897717045984</v>
      </c>
      <c r="M38" s="21">
        <f t="shared" si="9"/>
        <v>244.05344153940749</v>
      </c>
      <c r="N38" s="21">
        <f t="shared" si="9"/>
        <v>264.86321201921629</v>
      </c>
      <c r="O38" s="21">
        <f t="shared" si="9"/>
        <v>287.01322198112405</v>
      </c>
      <c r="P38" s="21">
        <f t="shared" si="9"/>
        <v>310.58269214570413</v>
      </c>
    </row>
    <row r="39" spans="1:16" x14ac:dyDescent="0.35">
      <c r="B39" t="s">
        <v>70</v>
      </c>
      <c r="C39" t="s">
        <v>28</v>
      </c>
      <c r="D39" s="6"/>
      <c r="E39" s="6">
        <f t="shared" ref="E39:P39" si="10">IF(D38=0,"",E38/D38-1)</f>
        <v>-0.32571950662402904</v>
      </c>
      <c r="F39" s="6">
        <f t="shared" si="10"/>
        <v>-0.24119241192411933</v>
      </c>
      <c r="G39" s="6">
        <f t="shared" si="10"/>
        <v>0.20363467107071975</v>
      </c>
      <c r="H39" s="6">
        <f t="shared" si="10"/>
        <v>0.16924928326369559</v>
      </c>
      <c r="I39" s="6">
        <f t="shared" si="10"/>
        <v>9.6144474251363077E-2</v>
      </c>
      <c r="J39" s="6">
        <f t="shared" si="10"/>
        <v>9.3522699749205573E-2</v>
      </c>
      <c r="K39" s="6">
        <f t="shared" si="10"/>
        <v>9.1155773699818754E-2</v>
      </c>
      <c r="L39" s="6">
        <f t="shared" si="10"/>
        <v>8.9009154116246547E-2</v>
      </c>
      <c r="M39" s="6">
        <f t="shared" si="10"/>
        <v>8.7054266672411895E-2</v>
      </c>
      <c r="N39" s="6">
        <f t="shared" si="10"/>
        <v>8.526726912166338E-2</v>
      </c>
      <c r="O39" s="6">
        <f t="shared" si="10"/>
        <v>8.362811049916874E-2</v>
      </c>
      <c r="P39" s="6">
        <f t="shared" si="10"/>
        <v>8.2119806195305456E-2</v>
      </c>
    </row>
    <row r="40" spans="1:16" x14ac:dyDescent="0.35">
      <c r="B40" t="s">
        <v>71</v>
      </c>
      <c r="C40" t="s">
        <v>48</v>
      </c>
      <c r="D40" s="6">
        <f t="shared" ref="D40:P40" si="11">IF(D9=0,"",D38/D9)</f>
        <v>0.17583741665997266</v>
      </c>
      <c r="E40" s="6">
        <f t="shared" si="11"/>
        <v>0.13868270224560747</v>
      </c>
      <c r="F40" s="6">
        <f t="shared" si="11"/>
        <v>0.11813099883978484</v>
      </c>
      <c r="G40" s="6">
        <f t="shared" si="11"/>
        <v>0.12534733843816548</v>
      </c>
      <c r="H40" s="6">
        <f t="shared" si="11"/>
        <v>0.13488986300491199</v>
      </c>
      <c r="I40" s="6">
        <f t="shared" si="11"/>
        <v>0.14005093816278252</v>
      </c>
      <c r="J40" s="6">
        <f t="shared" si="11"/>
        <v>0.14506169074323938</v>
      </c>
      <c r="K40" s="6">
        <f t="shared" si="11"/>
        <v>0.14992649907378</v>
      </c>
      <c r="L40" s="6">
        <f t="shared" si="11"/>
        <v>0.1546496139578</v>
      </c>
      <c r="M40" s="6">
        <f t="shared" si="11"/>
        <v>0.15923516238888744</v>
      </c>
      <c r="N40" s="6">
        <f t="shared" si="11"/>
        <v>0.16368715115693347</v>
      </c>
      <c r="O40" s="6">
        <f t="shared" si="11"/>
        <v>0.1680094703492111</v>
      </c>
      <c r="P40" s="6">
        <f t="shared" si="11"/>
        <v>0.17220589674948067</v>
      </c>
    </row>
    <row r="42" spans="1:16" x14ac:dyDescent="0.35">
      <c r="B42" s="5" t="s">
        <v>72</v>
      </c>
    </row>
    <row r="43" spans="1:16" x14ac:dyDescent="0.35">
      <c r="A43" t="s">
        <v>73</v>
      </c>
      <c r="B43" t="s">
        <v>74</v>
      </c>
      <c r="C43" t="s">
        <v>22</v>
      </c>
      <c r="D43" s="19">
        <v>0</v>
      </c>
      <c r="E43" s="19">
        <v>0</v>
      </c>
      <c r="F43" s="19">
        <v>0</v>
      </c>
      <c r="G43" s="40">
        <f>0</f>
        <v>0</v>
      </c>
      <c r="H43" s="40">
        <f>0</f>
        <v>0</v>
      </c>
      <c r="I43" s="40">
        <f>0</f>
        <v>0</v>
      </c>
      <c r="J43" s="40">
        <f>0</f>
        <v>0</v>
      </c>
      <c r="K43" s="40">
        <f>0</f>
        <v>0</v>
      </c>
      <c r="L43" s="40">
        <f>0</f>
        <v>0</v>
      </c>
      <c r="M43" s="40">
        <f>0</f>
        <v>0</v>
      </c>
      <c r="N43" s="40">
        <f>0</f>
        <v>0</v>
      </c>
      <c r="O43" s="40">
        <f>0</f>
        <v>0</v>
      </c>
      <c r="P43" s="40">
        <f>0</f>
        <v>0</v>
      </c>
    </row>
    <row r="44" spans="1:16" x14ac:dyDescent="0.35">
      <c r="A44" t="s">
        <v>75</v>
      </c>
      <c r="B44" t="s">
        <v>76</v>
      </c>
      <c r="C44" t="s">
        <v>22</v>
      </c>
      <c r="D44" s="19">
        <v>-10.199999999999999</v>
      </c>
      <c r="E44" s="19">
        <v>0</v>
      </c>
      <c r="F44" s="19">
        <v>-3.1</v>
      </c>
      <c r="G44" s="4">
        <f>INDEX('HY &amp; Segments'!$A:$AG,MATCH($A44,'HY &amp; Segments'!$A:$A,0),MATCH("1H"&amp;RIGHT(G$1,2),'HY &amp; Segments'!$3:$3,0))+INDEX('HY &amp; Segments'!$A:$AG,MATCH($A44,'HY &amp; Segments'!$A:$A,0),MATCH("2H"&amp;RIGHT(G$1,2),'HY &amp; Segments'!$3:$3,0))</f>
        <v>-1</v>
      </c>
      <c r="H44" s="4">
        <f>INDEX('HY &amp; Segments'!$A:$AG,MATCH($A44,'HY &amp; Segments'!$A:$A,0),MATCH("1H"&amp;RIGHT(H$1,2),'HY &amp; Segments'!$3:$3,0))+INDEX('HY &amp; Segments'!$A:$AG,MATCH($A44,'HY &amp; Segments'!$A:$A,0),MATCH("2H"&amp;RIGHT(H$1,2),'HY &amp; Segments'!$3:$3,0))</f>
        <v>0</v>
      </c>
      <c r="I44" s="4">
        <f>INDEX('HY &amp; Segments'!$A:$AG,MATCH($A44,'HY &amp; Segments'!$A:$A,0),MATCH("1H"&amp;RIGHT(I$1,2),'HY &amp; Segments'!$3:$3,0))+INDEX('HY &amp; Segments'!$A:$AG,MATCH($A44,'HY &amp; Segments'!$A:$A,0),MATCH("2H"&amp;RIGHT(I$1,2),'HY &amp; Segments'!$3:$3,0))</f>
        <v>0</v>
      </c>
      <c r="J44" s="4">
        <f>INDEX('HY &amp; Segments'!$A:$AG,MATCH($A44,'HY &amp; Segments'!$A:$A,0),MATCH("1H"&amp;RIGHT(J$1,2),'HY &amp; Segments'!$3:$3,0))+INDEX('HY &amp; Segments'!$A:$AG,MATCH($A44,'HY &amp; Segments'!$A:$A,0),MATCH("2H"&amp;RIGHT(J$1,2),'HY &amp; Segments'!$3:$3,0))</f>
        <v>0</v>
      </c>
      <c r="K44" s="4">
        <f>INDEX('HY &amp; Segments'!$A:$AG,MATCH($A44,'HY &amp; Segments'!$A:$A,0),MATCH("1H"&amp;RIGHT(K$1,2),'HY &amp; Segments'!$3:$3,0))+INDEX('HY &amp; Segments'!$A:$AG,MATCH($A44,'HY &amp; Segments'!$A:$A,0),MATCH("2H"&amp;RIGHT(K$1,2),'HY &amp; Segments'!$3:$3,0))</f>
        <v>0</v>
      </c>
      <c r="L44" s="4">
        <f>INDEX('HY &amp; Segments'!$A:$AG,MATCH($A44,'HY &amp; Segments'!$A:$A,0),MATCH("1H"&amp;RIGHT(L$1,2),'HY &amp; Segments'!$3:$3,0))+INDEX('HY &amp; Segments'!$A:$AG,MATCH($A44,'HY &amp; Segments'!$A:$A,0),MATCH("2H"&amp;RIGHT(L$1,2),'HY &amp; Segments'!$3:$3,0))</f>
        <v>0</v>
      </c>
      <c r="M44" s="4">
        <f>INDEX('HY &amp; Segments'!$A:$AG,MATCH($A44,'HY &amp; Segments'!$A:$A,0),MATCH("1H"&amp;RIGHT(M$1,2),'HY &amp; Segments'!$3:$3,0))+INDEX('HY &amp; Segments'!$A:$AG,MATCH($A44,'HY &amp; Segments'!$A:$A,0),MATCH("2H"&amp;RIGHT(M$1,2),'HY &amp; Segments'!$3:$3,0))</f>
        <v>0</v>
      </c>
      <c r="N44" s="4">
        <f>INDEX('HY &amp; Segments'!$A:$AG,MATCH($A44,'HY &amp; Segments'!$A:$A,0),MATCH("1H"&amp;RIGHT(N$1,2),'HY &amp; Segments'!$3:$3,0))+INDEX('HY &amp; Segments'!$A:$AG,MATCH($A44,'HY &amp; Segments'!$A:$A,0),MATCH("2H"&amp;RIGHT(N$1,2),'HY &amp; Segments'!$3:$3,0))</f>
        <v>0</v>
      </c>
      <c r="O44" s="4">
        <f>INDEX('HY &amp; Segments'!$A:$AG,MATCH($A44,'HY &amp; Segments'!$A:$A,0),MATCH("1H"&amp;RIGHT(O$1,2),'HY &amp; Segments'!$3:$3,0))+INDEX('HY &amp; Segments'!$A:$AG,MATCH($A44,'HY &amp; Segments'!$A:$A,0),MATCH("2H"&amp;RIGHT(O$1,2),'HY &amp; Segments'!$3:$3,0))</f>
        <v>0</v>
      </c>
      <c r="P44" s="4">
        <f>INDEX('HY &amp; Segments'!$A:$AG,MATCH($A44,'HY &amp; Segments'!$A:$A,0),MATCH("1H"&amp;RIGHT(P$1,2),'HY &amp; Segments'!$3:$3,0))+INDEX('HY &amp; Segments'!$A:$AG,MATCH($A44,'HY &amp; Segments'!$A:$A,0),MATCH("2H"&amp;RIGHT(P$1,2),'HY &amp; Segments'!$3:$3,0))</f>
        <v>0</v>
      </c>
    </row>
    <row r="45" spans="1:16" x14ac:dyDescent="0.35">
      <c r="A45" t="s">
        <v>77</v>
      </c>
      <c r="B45" s="20" t="s">
        <v>78</v>
      </c>
      <c r="C45" s="20" t="s">
        <v>22</v>
      </c>
      <c r="D45" s="21">
        <f t="shared" ref="D45:P45" si="12">D38+D43+D44</f>
        <v>208.7</v>
      </c>
      <c r="E45" s="21">
        <f t="shared" si="12"/>
        <v>147.60000000000002</v>
      </c>
      <c r="F45" s="21">
        <f t="shared" si="12"/>
        <v>108.9</v>
      </c>
      <c r="G45" s="21">
        <f t="shared" si="12"/>
        <v>133.80708315992061</v>
      </c>
      <c r="H45" s="21">
        <f t="shared" si="12"/>
        <v>157.62308536360658</v>
      </c>
      <c r="I45" s="21">
        <f t="shared" si="12"/>
        <v>172.77767403576826</v>
      </c>
      <c r="J45" s="21">
        <f t="shared" si="12"/>
        <v>188.93630856798151</v>
      </c>
      <c r="K45" s="21">
        <f t="shared" si="12"/>
        <v>206.15894395548358</v>
      </c>
      <c r="L45" s="21">
        <f t="shared" si="12"/>
        <v>224.50897717045984</v>
      </c>
      <c r="M45" s="21">
        <f t="shared" si="12"/>
        <v>244.05344153940749</v>
      </c>
      <c r="N45" s="21">
        <f t="shared" si="12"/>
        <v>264.86321201921629</v>
      </c>
      <c r="O45" s="21">
        <f t="shared" si="12"/>
        <v>287.01322198112405</v>
      </c>
      <c r="P45" s="21">
        <f t="shared" si="12"/>
        <v>310.58269214570413</v>
      </c>
    </row>
    <row r="47" spans="1:16" x14ac:dyDescent="0.35">
      <c r="B47" s="5" t="s">
        <v>79</v>
      </c>
    </row>
    <row r="48" spans="1:16" x14ac:dyDescent="0.35">
      <c r="A48" t="s">
        <v>80</v>
      </c>
      <c r="B48" t="s">
        <v>81</v>
      </c>
      <c r="C48" t="s">
        <v>22</v>
      </c>
      <c r="D48" s="19">
        <v>-15.1</v>
      </c>
      <c r="E48" s="19">
        <v>-18.2</v>
      </c>
      <c r="F48" s="19">
        <v>-18.2</v>
      </c>
      <c r="G48" s="4">
        <f>INDEX('HY &amp; Segments'!$A:$AG,MATCH($A48,'HY &amp; Segments'!$A:$A,0),MATCH("1H"&amp;RIGHT(G$1,2),'HY &amp; Segments'!$3:$3,0))+INDEX('HY &amp; Segments'!$A:$AG,MATCH($A48,'HY &amp; Segments'!$A:$A,0),MATCH("2H"&amp;RIGHT(G$1,2),'HY &amp; Segments'!$3:$3,0))</f>
        <v>-20.498991666666662</v>
      </c>
      <c r="H48" s="4">
        <f>INDEX('HY &amp; Segments'!$A:$AG,MATCH($A48,'HY &amp; Segments'!$A:$A,0),MATCH("1H"&amp;RIGHT(H$1,2),'HY &amp; Segments'!$3:$3,0))+INDEX('HY &amp; Segments'!$A:$AG,MATCH($A48,'HY &amp; Segments'!$A:$A,0),MATCH("2H"&amp;RIGHT(H$1,2),'HY &amp; Segments'!$3:$3,0))</f>
        <v>-22.241603885707569</v>
      </c>
      <c r="I48" s="4">
        <f>INDEX('HY &amp; Segments'!$A:$AG,MATCH($A48,'HY &amp; Segments'!$A:$A,0),MATCH("1H"&amp;RIGHT(I$1,2),'HY &amp; Segments'!$3:$3,0))+INDEX('HY &amp; Segments'!$A:$AG,MATCH($A48,'HY &amp; Segments'!$A:$A,0),MATCH("2H"&amp;RIGHT(I$1,2),'HY &amp; Segments'!$3:$3,0))</f>
        <v>-23.481573302335768</v>
      </c>
      <c r="J48" s="4">
        <f>INDEX('HY &amp; Segments'!$A:$AG,MATCH($A48,'HY &amp; Segments'!$A:$A,0),MATCH("1H"&amp;RIGHT(J$1,2),'HY &amp; Segments'!$3:$3,0))+INDEX('HY &amp; Segments'!$A:$AG,MATCH($A48,'HY &amp; Segments'!$A:$A,0),MATCH("2H"&amp;RIGHT(J$1,2),'HY &amp; Segments'!$3:$3,0))</f>
        <v>-24.790671013940983</v>
      </c>
      <c r="K48" s="4">
        <f>INDEX('HY &amp; Segments'!$A:$AG,MATCH($A48,'HY &amp; Segments'!$A:$A,0),MATCH("1H"&amp;RIGHT(K$1,2),'HY &amp; Segments'!$3:$3,0))+INDEX('HY &amp; Segments'!$A:$AG,MATCH($A48,'HY &amp; Segments'!$A:$A,0),MATCH("2H"&amp;RIGHT(K$1,2),'HY &amp; Segments'!$3:$3,0))</f>
        <v>-26.172750922968191</v>
      </c>
      <c r="L48" s="4">
        <f>INDEX('HY &amp; Segments'!$A:$AG,MATCH($A48,'HY &amp; Segments'!$A:$A,0),MATCH("1H"&amp;RIGHT(L$1,2),'HY &amp; Segments'!$3:$3,0))+INDEX('HY &amp; Segments'!$A:$AG,MATCH($A48,'HY &amp; Segments'!$A:$A,0),MATCH("2H"&amp;RIGHT(L$1,2),'HY &amp; Segments'!$3:$3,0))</f>
        <v>-27.631881786923667</v>
      </c>
      <c r="M48" s="4">
        <f>INDEX('HY &amp; Segments'!$A:$AG,MATCH($A48,'HY &amp; Segments'!$A:$A,0),MATCH("1H"&amp;RIGHT(M$1,2),'HY &amp; Segments'!$3:$3,0))+INDEX('HY &amp; Segments'!$A:$AG,MATCH($A48,'HY &amp; Segments'!$A:$A,0),MATCH("2H"&amp;RIGHT(M$1,2),'HY &amp; Segments'!$3:$3,0))</f>
        <v>-29.172359196544654</v>
      </c>
      <c r="N48" s="4">
        <f>INDEX('HY &amp; Segments'!$A:$AG,MATCH($A48,'HY &amp; Segments'!$A:$A,0),MATCH("1H"&amp;RIGHT(N$1,2),'HY &amp; Segments'!$3:$3,0))+INDEX('HY &amp; Segments'!$A:$AG,MATCH($A48,'HY &amp; Segments'!$A:$A,0),MATCH("2H"&amp;RIGHT(N$1,2),'HY &amp; Segments'!$3:$3,0))</f>
        <v>-30.798718221752019</v>
      </c>
      <c r="O48" s="4">
        <f>INDEX('HY &amp; Segments'!$A:$AG,MATCH($A48,'HY &amp; Segments'!$A:$A,0),MATCH("1H"&amp;RIGHT(O$1,2),'HY &amp; Segments'!$3:$3,0))+INDEX('HY &amp; Segments'!$A:$AG,MATCH($A48,'HY &amp; Segments'!$A:$A,0),MATCH("2H"&amp;RIGHT(O$1,2),'HY &amp; Segments'!$3:$3,0))</f>
        <v>-32.515746762614697</v>
      </c>
      <c r="P48" s="4">
        <f>INDEX('HY &amp; Segments'!$A:$AG,MATCH($A48,'HY &amp; Segments'!$A:$A,0),MATCH("1H"&amp;RIGHT(P$1,2),'HY &amp; Segments'!$3:$3,0))+INDEX('HY &amp; Segments'!$A:$AG,MATCH($A48,'HY &amp; Segments'!$A:$A,0),MATCH("2H"&amp;RIGHT(P$1,2),'HY &amp; Segments'!$3:$3,0))</f>
        <v>-34.328499644630469</v>
      </c>
    </row>
    <row r="49" spans="1:16" x14ac:dyDescent="0.35">
      <c r="A49" t="s">
        <v>82</v>
      </c>
      <c r="B49" t="s">
        <v>83</v>
      </c>
      <c r="C49" t="s">
        <v>22</v>
      </c>
      <c r="D49" s="19">
        <v>-29.4</v>
      </c>
      <c r="E49" s="19">
        <v>-30.4</v>
      </c>
      <c r="F49" s="19">
        <v>-32.299999999999997</v>
      </c>
      <c r="G49" s="4">
        <f t="shared" ref="G49:P49" si="13">-F115/G52</f>
        <v>-32.338044758539453</v>
      </c>
      <c r="H49" s="4">
        <f t="shared" si="13"/>
        <v>-32.371264838237828</v>
      </c>
      <c r="I49" s="4">
        <f t="shared" si="13"/>
        <v>-32.400272084900251</v>
      </c>
      <c r="J49" s="4">
        <f t="shared" si="13"/>
        <v>-32.425600752578788</v>
      </c>
      <c r="K49" s="4">
        <f t="shared" si="13"/>
        <v>-32.447717343437461</v>
      </c>
      <c r="L49" s="4">
        <f t="shared" si="13"/>
        <v>-32.467029199766358</v>
      </c>
      <c r="M49" s="4">
        <f t="shared" si="13"/>
        <v>-32.483892006391983</v>
      </c>
      <c r="N49" s="4">
        <f t="shared" si="13"/>
        <v>-32.498616341663045</v>
      </c>
      <c r="O49" s="4">
        <f t="shared" si="13"/>
        <v>-32.511473397667302</v>
      </c>
      <c r="P49" s="4">
        <f t="shared" si="13"/>
        <v>-32.522699975034193</v>
      </c>
    </row>
    <row r="50" spans="1:16" x14ac:dyDescent="0.35">
      <c r="A50" t="s">
        <v>84</v>
      </c>
      <c r="B50" s="20" t="s">
        <v>85</v>
      </c>
      <c r="C50" s="20" t="s">
        <v>22</v>
      </c>
      <c r="D50" s="21">
        <f t="shared" ref="D50:P50" si="14">D48+D49</f>
        <v>-44.5</v>
      </c>
      <c r="E50" s="21">
        <f t="shared" si="14"/>
        <v>-48.599999999999994</v>
      </c>
      <c r="F50" s="21">
        <f t="shared" si="14"/>
        <v>-50.5</v>
      </c>
      <c r="G50" s="21">
        <f t="shared" si="14"/>
        <v>-52.837036425206115</v>
      </c>
      <c r="H50" s="21">
        <f t="shared" si="14"/>
        <v>-54.612868723945397</v>
      </c>
      <c r="I50" s="21">
        <f t="shared" si="14"/>
        <v>-55.881845387236019</v>
      </c>
      <c r="J50" s="21">
        <f t="shared" si="14"/>
        <v>-57.216271766519768</v>
      </c>
      <c r="K50" s="21">
        <f t="shared" si="14"/>
        <v>-58.620468266405652</v>
      </c>
      <c r="L50" s="21">
        <f t="shared" si="14"/>
        <v>-60.098910986690029</v>
      </c>
      <c r="M50" s="21">
        <f t="shared" si="14"/>
        <v>-61.656251202936637</v>
      </c>
      <c r="N50" s="21">
        <f t="shared" si="14"/>
        <v>-63.297334563415063</v>
      </c>
      <c r="O50" s="21">
        <f t="shared" si="14"/>
        <v>-65.027220160281999</v>
      </c>
      <c r="P50" s="21">
        <f t="shared" si="14"/>
        <v>-66.851199619664669</v>
      </c>
    </row>
    <row r="51" spans="1:16" x14ac:dyDescent="0.35">
      <c r="B51" t="s">
        <v>86</v>
      </c>
      <c r="C51" t="s">
        <v>48</v>
      </c>
      <c r="D51" s="6">
        <f t="shared" ref="D51:P51" si="15">IF(D9=0,"",D50/D9)</f>
        <v>-3.5745843039601571E-2</v>
      </c>
      <c r="E51" s="6">
        <f t="shared" si="15"/>
        <v>-4.5663816593065863E-2</v>
      </c>
      <c r="F51" s="6">
        <f t="shared" si="15"/>
        <v>-5.326442358401013E-2</v>
      </c>
      <c r="G51" s="6">
        <f t="shared" si="15"/>
        <v>-4.9129331572312078E-2</v>
      </c>
      <c r="H51" s="6">
        <f t="shared" si="15"/>
        <v>-4.6736316342778118E-2</v>
      </c>
      <c r="I51" s="6">
        <f t="shared" si="15"/>
        <v>-4.5296968583624822E-2</v>
      </c>
      <c r="J51" s="6">
        <f t="shared" si="15"/>
        <v>-4.3929561148854733E-2</v>
      </c>
      <c r="K51" s="6">
        <f t="shared" si="15"/>
        <v>-4.26309982609612E-2</v>
      </c>
      <c r="L51" s="6">
        <f t="shared" si="15"/>
        <v>-4.1398226033157966E-2</v>
      </c>
      <c r="M51" s="6">
        <f t="shared" si="15"/>
        <v>-4.0228251282432161E-2</v>
      </c>
      <c r="N51" s="6">
        <f t="shared" si="15"/>
        <v>-3.9118155713376325E-2</v>
      </c>
      <c r="O51" s="6">
        <f t="shared" si="15"/>
        <v>-3.8065106345968394E-2</v>
      </c>
      <c r="P51" s="6">
        <f t="shared" si="15"/>
        <v>-3.7066362905638583E-2</v>
      </c>
    </row>
    <row r="52" spans="1:16" x14ac:dyDescent="0.35">
      <c r="B52" s="62" t="s">
        <v>87</v>
      </c>
      <c r="C52" s="62" t="s">
        <v>88</v>
      </c>
      <c r="D52" s="62"/>
      <c r="E52" s="63">
        <f>D115/(-E49)</f>
        <v>8.5657894736842106</v>
      </c>
      <c r="F52" s="63">
        <f>E115/(-F49)</f>
        <v>7.8854489164086692</v>
      </c>
      <c r="G52" s="63">
        <f t="shared" ref="G52:P52" si="16">F52</f>
        <v>7.8854489164086692</v>
      </c>
      <c r="H52" s="63">
        <f t="shared" si="16"/>
        <v>7.8854489164086692</v>
      </c>
      <c r="I52" s="63">
        <f t="shared" si="16"/>
        <v>7.8854489164086692</v>
      </c>
      <c r="J52" s="63">
        <f t="shared" si="16"/>
        <v>7.8854489164086692</v>
      </c>
      <c r="K52" s="63">
        <f t="shared" si="16"/>
        <v>7.8854489164086692</v>
      </c>
      <c r="L52" s="63">
        <f t="shared" si="16"/>
        <v>7.8854489164086692</v>
      </c>
      <c r="M52" s="63">
        <f t="shared" si="16"/>
        <v>7.8854489164086692</v>
      </c>
      <c r="N52" s="63">
        <f t="shared" si="16"/>
        <v>7.8854489164086692</v>
      </c>
      <c r="O52" s="63">
        <f t="shared" si="16"/>
        <v>7.8854489164086692</v>
      </c>
      <c r="P52" s="63">
        <f t="shared" si="16"/>
        <v>7.8854489164086692</v>
      </c>
    </row>
    <row r="53" spans="1:16" x14ac:dyDescent="0.35">
      <c r="B53" s="5" t="s">
        <v>89</v>
      </c>
    </row>
    <row r="54" spans="1:16" x14ac:dyDescent="0.35">
      <c r="A54" t="s">
        <v>90</v>
      </c>
      <c r="B54" s="20" t="s">
        <v>91</v>
      </c>
      <c r="C54" s="20" t="s">
        <v>22</v>
      </c>
      <c r="D54" s="21">
        <f t="shared" ref="D54:P54" si="17">D38+D50</f>
        <v>174.39999999999998</v>
      </c>
      <c r="E54" s="21">
        <f t="shared" si="17"/>
        <v>99.000000000000028</v>
      </c>
      <c r="F54" s="21">
        <f t="shared" si="17"/>
        <v>61.5</v>
      </c>
      <c r="G54" s="21">
        <f t="shared" si="17"/>
        <v>81.970046734714487</v>
      </c>
      <c r="H54" s="21">
        <f t="shared" si="17"/>
        <v>103.01021663966118</v>
      </c>
      <c r="I54" s="21">
        <f t="shared" si="17"/>
        <v>116.89582864853224</v>
      </c>
      <c r="J54" s="21">
        <f t="shared" si="17"/>
        <v>131.72003680146173</v>
      </c>
      <c r="K54" s="21">
        <f t="shared" si="17"/>
        <v>147.53847568907793</v>
      </c>
      <c r="L54" s="21">
        <f t="shared" si="17"/>
        <v>164.4100661837698</v>
      </c>
      <c r="M54" s="21">
        <f t="shared" si="17"/>
        <v>182.39719033647086</v>
      </c>
      <c r="N54" s="21">
        <f t="shared" si="17"/>
        <v>201.56587745580123</v>
      </c>
      <c r="O54" s="21">
        <f t="shared" si="17"/>
        <v>221.98600182084203</v>
      </c>
      <c r="P54" s="21">
        <f t="shared" si="17"/>
        <v>243.73149252603946</v>
      </c>
    </row>
    <row r="55" spans="1:16" x14ac:dyDescent="0.35">
      <c r="B55" t="s">
        <v>92</v>
      </c>
      <c r="C55" t="s">
        <v>28</v>
      </c>
      <c r="D55" s="6"/>
      <c r="E55" s="6">
        <f t="shared" ref="E55:P55" si="18">IF(D54=0,"",E54/D54-1)</f>
        <v>-0.43233944954128412</v>
      </c>
      <c r="F55" s="6">
        <f t="shared" si="18"/>
        <v>-0.37878787878787901</v>
      </c>
      <c r="G55" s="6">
        <f t="shared" si="18"/>
        <v>0.33284628836934127</v>
      </c>
      <c r="H55" s="6">
        <f t="shared" si="18"/>
        <v>0.25668119932931721</v>
      </c>
      <c r="I55" s="6">
        <f t="shared" si="18"/>
        <v>0.13479839633231872</v>
      </c>
      <c r="J55" s="6">
        <f t="shared" si="18"/>
        <v>0.1268155444408634</v>
      </c>
      <c r="K55" s="6">
        <f t="shared" si="18"/>
        <v>0.12009136401517195</v>
      </c>
      <c r="L55" s="6">
        <f t="shared" si="18"/>
        <v>0.11435383492945261</v>
      </c>
      <c r="M55" s="6">
        <f t="shared" si="18"/>
        <v>0.109404032065749</v>
      </c>
      <c r="N55" s="6">
        <f t="shared" si="18"/>
        <v>0.10509310523900939</v>
      </c>
      <c r="O55" s="6">
        <f t="shared" si="18"/>
        <v>0.1013074465915913</v>
      </c>
      <c r="P55" s="6">
        <f t="shared" si="18"/>
        <v>9.7958837615119254E-2</v>
      </c>
    </row>
    <row r="56" spans="1:16" x14ac:dyDescent="0.35">
      <c r="B56" t="s">
        <v>93</v>
      </c>
      <c r="C56" t="s">
        <v>48</v>
      </c>
      <c r="D56" s="6">
        <f t="shared" ref="D56:P56" si="19">IF(D9=0,"",D54/D9)</f>
        <v>0.14009157362037108</v>
      </c>
      <c r="E56" s="6">
        <f t="shared" si="19"/>
        <v>9.3018885652541614E-2</v>
      </c>
      <c r="F56" s="6">
        <f t="shared" si="19"/>
        <v>6.4866575255774717E-2</v>
      </c>
      <c r="G56" s="6">
        <f t="shared" si="19"/>
        <v>7.621800686585338E-2</v>
      </c>
      <c r="H56" s="6">
        <f t="shared" si="19"/>
        <v>8.8153546662133861E-2</v>
      </c>
      <c r="I56" s="6">
        <f t="shared" si="19"/>
        <v>9.4753969579157701E-2</v>
      </c>
      <c r="J56" s="6">
        <f t="shared" si="19"/>
        <v>0.10113212959438464</v>
      </c>
      <c r="K56" s="6">
        <f t="shared" si="19"/>
        <v>0.10729550081281881</v>
      </c>
      <c r="L56" s="6">
        <f t="shared" si="19"/>
        <v>0.11325138792464202</v>
      </c>
      <c r="M56" s="6">
        <f t="shared" si="19"/>
        <v>0.11900691110645528</v>
      </c>
      <c r="N56" s="6">
        <f t="shared" si="19"/>
        <v>0.12456899544355714</v>
      </c>
      <c r="O56" s="6">
        <f t="shared" si="19"/>
        <v>0.12994436400324269</v>
      </c>
      <c r="P56" s="6">
        <f t="shared" si="19"/>
        <v>0.13513953384384209</v>
      </c>
    </row>
    <row r="58" spans="1:16" x14ac:dyDescent="0.35">
      <c r="B58" s="5" t="s">
        <v>94</v>
      </c>
    </row>
    <row r="59" spans="1:16" x14ac:dyDescent="0.35">
      <c r="A59" t="s">
        <v>95</v>
      </c>
      <c r="B59" t="s">
        <v>96</v>
      </c>
      <c r="C59" t="s">
        <v>22</v>
      </c>
      <c r="D59" s="19">
        <v>0.1</v>
      </c>
      <c r="E59" s="19">
        <v>0.3</v>
      </c>
      <c r="F59" s="19">
        <v>0.2</v>
      </c>
      <c r="G59" s="4">
        <f>INDEX('HY &amp; Segments'!$A:$AG,MATCH($A59,'HY &amp; Segments'!$A:$A,0),MATCH("1H"&amp;RIGHT(G$1,2),'HY &amp; Segments'!$3:$3,0))+INDEX('HY &amp; Segments'!$A:$AG,MATCH($A59,'HY &amp; Segments'!$A:$A,0),MATCH("2H"&amp;RIGHT(G$1,2),'HY &amp; Segments'!$3:$3,0))</f>
        <v>0.14439834024896259</v>
      </c>
      <c r="H59" s="4">
        <f>INDEX('HY &amp; Segments'!$A:$AG,MATCH($A59,'HY &amp; Segments'!$A:$A,0),MATCH("1H"&amp;RIGHT(H$1,2),'HY &amp; Segments'!$3:$3,0))+INDEX('HY &amp; Segments'!$A:$AG,MATCH($A59,'HY &amp; Segments'!$A:$A,0),MATCH("2H"&amp;RIGHT(H$1,2),'HY &amp; Segments'!$3:$3,0))</f>
        <v>0.207606011777341</v>
      </c>
      <c r="I59" s="4">
        <f>INDEX('HY &amp; Segments'!$A:$AG,MATCH($A59,'HY &amp; Segments'!$A:$A,0),MATCH("1H"&amp;RIGHT(I$1,2),'HY &amp; Segments'!$3:$3,0))+INDEX('HY &amp; Segments'!$A:$AG,MATCH($A59,'HY &amp; Segments'!$A:$A,0),MATCH("2H"&amp;RIGHT(I$1,2),'HY &amp; Segments'!$3:$3,0))</f>
        <v>0.18006628902199137</v>
      </c>
      <c r="J59" s="4">
        <f>INDEX('HY &amp; Segments'!$A:$AG,MATCH($A59,'HY &amp; Segments'!$A:$A,0),MATCH("1H"&amp;RIGHT(J$1,2),'HY &amp; Segments'!$3:$3,0))+INDEX('HY &amp; Segments'!$A:$AG,MATCH($A59,'HY &amp; Segments'!$A:$A,0),MATCH("2H"&amp;RIGHT(J$1,2),'HY &amp; Segments'!$3:$3,0))</f>
        <v>0.2866557593998918</v>
      </c>
      <c r="K59" s="4">
        <f>INDEX('HY &amp; Segments'!$A:$AG,MATCH($A59,'HY &amp; Segments'!$A:$A,0),MATCH("1H"&amp;RIGHT(K$1,2),'HY &amp; Segments'!$3:$3,0))+INDEX('HY &amp; Segments'!$A:$AG,MATCH($A59,'HY &amp; Segments'!$A:$A,0),MATCH("2H"&amp;RIGHT(K$1,2),'HY &amp; Segments'!$3:$3,0))</f>
        <v>0.44172680617876281</v>
      </c>
      <c r="L59" s="4">
        <f>INDEX('HY &amp; Segments'!$A:$AG,MATCH($A59,'HY &amp; Segments'!$A:$A,0),MATCH("1H"&amp;RIGHT(L$1,2),'HY &amp; Segments'!$3:$3,0))+INDEX('HY &amp; Segments'!$A:$AG,MATCH($A59,'HY &amp; Segments'!$A:$A,0),MATCH("2H"&amp;RIGHT(L$1,2),'HY &amp; Segments'!$3:$3,0))</f>
        <v>0.64781544125312529</v>
      </c>
      <c r="M59" s="4">
        <f>INDEX('HY &amp; Segments'!$A:$AG,MATCH($A59,'HY &amp; Segments'!$A:$A,0),MATCH("1H"&amp;RIGHT(M$1,2),'HY &amp; Segments'!$3:$3,0))+INDEX('HY &amp; Segments'!$A:$AG,MATCH($A59,'HY &amp; Segments'!$A:$A,0),MATCH("2H"&amp;RIGHT(M$1,2),'HY &amp; Segments'!$3:$3,0))</f>
        <v>0.90772234571416832</v>
      </c>
      <c r="N59" s="4">
        <f>INDEX('HY &amp; Segments'!$A:$AG,MATCH($A59,'HY &amp; Segments'!$A:$A,0),MATCH("1H"&amp;RIGHT(N$1,2),'HY &amp; Segments'!$3:$3,0))+INDEX('HY &amp; Segments'!$A:$AG,MATCH($A59,'HY &amp; Segments'!$A:$A,0),MATCH("2H"&amp;RIGHT(N$1,2),'HY &amp; Segments'!$3:$3,0))</f>
        <v>1.2245144467570646</v>
      </c>
      <c r="O59" s="4">
        <f>INDEX('HY &amp; Segments'!$A:$AG,MATCH($A59,'HY &amp; Segments'!$A:$A,0),MATCH("1H"&amp;RIGHT(O$1,2),'HY &amp; Segments'!$3:$3,0))+INDEX('HY &amp; Segments'!$A:$AG,MATCH($A59,'HY &amp; Segments'!$A:$A,0),MATCH("2H"&amp;RIGHT(O$1,2),'HY &amp; Segments'!$3:$3,0))</f>
        <v>1.6015283148092789</v>
      </c>
      <c r="P59" s="4">
        <f>INDEX('HY &amp; Segments'!$A:$AG,MATCH($A59,'HY &amp; Segments'!$A:$A,0),MATCH("1H"&amp;RIGHT(P$1,2),'HY &amp; Segments'!$3:$3,0))+INDEX('HY &amp; Segments'!$A:$AG,MATCH($A59,'HY &amp; Segments'!$A:$A,0),MATCH("2H"&amp;RIGHT(P$1,2),'HY &amp; Segments'!$3:$3,0))</f>
        <v>2.0423752641988759</v>
      </c>
    </row>
    <row r="60" spans="1:16" x14ac:dyDescent="0.35">
      <c r="A60" t="s">
        <v>97</v>
      </c>
      <c r="B60" t="s">
        <v>98</v>
      </c>
      <c r="C60" t="s">
        <v>22</v>
      </c>
      <c r="D60" s="19">
        <v>-16.399999999999999</v>
      </c>
      <c r="E60" s="19">
        <v>-17</v>
      </c>
      <c r="F60" s="19">
        <v>-18</v>
      </c>
      <c r="G60" s="4">
        <f>INDEX('HY &amp; Segments'!$A:$AG,MATCH($A60,'HY &amp; Segments'!$A:$A,0),MATCH("1H"&amp;RIGHT(G$1,2),'HY &amp; Segments'!$3:$3,0))+INDEX('HY &amp; Segments'!$A:$AG,MATCH($A60,'HY &amp; Segments'!$A:$A,0),MATCH("2H"&amp;RIGHT(G$1,2),'HY &amp; Segments'!$3:$3,0))</f>
        <v>-18.013300000000001</v>
      </c>
      <c r="H60" s="4">
        <f>INDEX('HY &amp; Segments'!$A:$AG,MATCH($A60,'HY &amp; Segments'!$A:$A,0),MATCH("1H"&amp;RIGHT(H$1,2),'HY &amp; Segments'!$3:$3,0))+INDEX('HY &amp; Segments'!$A:$AG,MATCH($A60,'HY &amp; Segments'!$A:$A,0),MATCH("2H"&amp;RIGHT(H$1,2),'HY &amp; Segments'!$3:$3,0))</f>
        <v>-17.717527836670595</v>
      </c>
      <c r="I60" s="4">
        <f>INDEX('HY &amp; Segments'!$A:$AG,MATCH($A60,'HY &amp; Segments'!$A:$A,0),MATCH("1H"&amp;RIGHT(I$1,2),'HY &amp; Segments'!$3:$3,0))+INDEX('HY &amp; Segments'!$A:$AG,MATCH($A60,'HY &amp; Segments'!$A:$A,0),MATCH("2H"&amp;RIGHT(I$1,2),'HY &amp; Segments'!$3:$3,0))</f>
        <v>-17.459264275129723</v>
      </c>
      <c r="J60" s="4">
        <f>INDEX('HY &amp; Segments'!$A:$AG,MATCH($A60,'HY &amp; Segments'!$A:$A,0),MATCH("1H"&amp;RIGHT(J$1,2),'HY &amp; Segments'!$3:$3,0))+INDEX('HY &amp; Segments'!$A:$AG,MATCH($A60,'HY &amp; Segments'!$A:$A,0),MATCH("2H"&amp;RIGHT(J$1,2),'HY &amp; Segments'!$3:$3,0))</f>
        <v>-17.233752629716729</v>
      </c>
      <c r="K60" s="4">
        <f>INDEX('HY &amp; Segments'!$A:$AG,MATCH($A60,'HY &amp; Segments'!$A:$A,0),MATCH("1H"&amp;RIGHT(K$1,2),'HY &amp; Segments'!$3:$3,0))+INDEX('HY &amp; Segments'!$A:$AG,MATCH($A60,'HY &amp; Segments'!$A:$A,0),MATCH("2H"&amp;RIGHT(K$1,2),'HY &amp; Segments'!$3:$3,0))</f>
        <v>-17.03683943796231</v>
      </c>
      <c r="L60" s="4">
        <f>INDEX('HY &amp; Segments'!$A:$AG,MATCH($A60,'HY &amp; Segments'!$A:$A,0),MATCH("1H"&amp;RIGHT(L$1,2),'HY &amp; Segments'!$3:$3,0))+INDEX('HY &amp; Segments'!$A:$AG,MATCH($A60,'HY &amp; Segments'!$A:$A,0),MATCH("2H"&amp;RIGHT(L$1,2),'HY &amp; Segments'!$3:$3,0))</f>
        <v>-16.864897962319663</v>
      </c>
      <c r="M60" s="4">
        <f>INDEX('HY &amp; Segments'!$A:$AG,MATCH($A60,'HY &amp; Segments'!$A:$A,0),MATCH("1H"&amp;RIGHT(M$1,2),'HY &amp; Segments'!$3:$3,0))+INDEX('HY &amp; Segments'!$A:$AG,MATCH($A60,'HY &amp; Segments'!$A:$A,0),MATCH("2H"&amp;RIGHT(M$1,2),'HY &amp; Segments'!$3:$3,0))</f>
        <v>-16.714761393089493</v>
      </c>
      <c r="N60" s="4">
        <f>INDEX('HY &amp; Segments'!$A:$AG,MATCH($A60,'HY &amp; Segments'!$A:$A,0),MATCH("1H"&amp;RIGHT(N$1,2),'HY &amp; Segments'!$3:$3,0))+INDEX('HY &amp; Segments'!$A:$AG,MATCH($A60,'HY &amp; Segments'!$A:$A,0),MATCH("2H"&amp;RIGHT(N$1,2),'HY &amp; Segments'!$3:$3,0))</f>
        <v>-16.583664522273668</v>
      </c>
      <c r="O60" s="4">
        <f>INDEX('HY &amp; Segments'!$A:$AG,MATCH($A60,'HY &amp; Segments'!$A:$A,0),MATCH("1H"&amp;RIGHT(O$1,2),'HY &amp; Segments'!$3:$3,0))+INDEX('HY &amp; Segments'!$A:$AG,MATCH($A60,'HY &amp; Segments'!$A:$A,0),MATCH("2H"&amp;RIGHT(O$1,2),'HY &amp; Segments'!$3:$3,0))</f>
        <v>-16.469192814109398</v>
      </c>
      <c r="P60" s="4">
        <f>INDEX('HY &amp; Segments'!$A:$AG,MATCH($A60,'HY &amp; Segments'!$A:$A,0),MATCH("1H"&amp;RIGHT(P$1,2),'HY &amp; Segments'!$3:$3,0))+INDEX('HY &amp; Segments'!$A:$AG,MATCH($A60,'HY &amp; Segments'!$A:$A,0),MATCH("2H"&amp;RIGHT(P$1,2),'HY &amp; Segments'!$3:$3,0))</f>
        <v>-16.369237934267495</v>
      </c>
    </row>
    <row r="61" spans="1:16" x14ac:dyDescent="0.35">
      <c r="A61" t="s">
        <v>99</v>
      </c>
      <c r="B61" t="s">
        <v>100</v>
      </c>
      <c r="C61" t="s">
        <v>22</v>
      </c>
      <c r="D61" s="19">
        <v>-22.2</v>
      </c>
      <c r="E61" s="19">
        <v>-23.4</v>
      </c>
      <c r="F61" s="19">
        <v>-18.3</v>
      </c>
      <c r="G61" s="4">
        <f>INDEX('HY &amp; Segments'!$A:$AG,MATCH($A61,'HY &amp; Segments'!$A:$A,0),MATCH("1H"&amp;RIGHT(G$1,2),'HY &amp; Segments'!$3:$3,0))+INDEX('HY &amp; Segments'!$A:$AG,MATCH($A61,'HY &amp; Segments'!$A:$A,0),MATCH("2H"&amp;RIGHT(G$1,2),'HY &amp; Segments'!$3:$3,0))</f>
        <v>-17.738704636456095</v>
      </c>
      <c r="H61" s="4">
        <f>INDEX('HY &amp; Segments'!$A:$AG,MATCH($A61,'HY &amp; Segments'!$A:$A,0),MATCH("1H"&amp;RIGHT(H$1,2),'HY &amp; Segments'!$3:$3,0))+INDEX('HY &amp; Segments'!$A:$AG,MATCH($A61,'HY &amp; Segments'!$A:$A,0),MATCH("2H"&amp;RIGHT(H$1,2),'HY &amp; Segments'!$3:$3,0))</f>
        <v>-19.111151386048512</v>
      </c>
      <c r="I61" s="4">
        <f>INDEX('HY &amp; Segments'!$A:$AG,MATCH($A61,'HY &amp; Segments'!$A:$A,0),MATCH("1H"&amp;RIGHT(I$1,2),'HY &amp; Segments'!$3:$3,0))+INDEX('HY &amp; Segments'!$A:$AG,MATCH($A61,'HY &amp; Segments'!$A:$A,0),MATCH("2H"&amp;RIGHT(I$1,2),'HY &amp; Segments'!$3:$3,0))</f>
        <v>-19.650242144517154</v>
      </c>
      <c r="J61" s="4">
        <f>INDEX('HY &amp; Segments'!$A:$AG,MATCH($A61,'HY &amp; Segments'!$A:$A,0),MATCH("1H"&amp;RIGHT(J$1,2),'HY &amp; Segments'!$3:$3,0))+INDEX('HY &amp; Segments'!$A:$AG,MATCH($A61,'HY &amp; Segments'!$A:$A,0),MATCH("2H"&amp;RIGHT(J$1,2),'HY &amp; Segments'!$3:$3,0))</f>
        <v>-20.219387212770421</v>
      </c>
      <c r="K61" s="4">
        <f>INDEX('HY &amp; Segments'!$A:$AG,MATCH($A61,'HY &amp; Segments'!$A:$A,0),MATCH("1H"&amp;RIGHT(K$1,2),'HY &amp; Segments'!$3:$3,0))+INDEX('HY &amp; Segments'!$A:$AG,MATCH($A61,'HY &amp; Segments'!$A:$A,0),MATCH("2H"&amp;RIGHT(K$1,2),'HY &amp; Segments'!$3:$3,0))</f>
        <v>-20.82026211857881</v>
      </c>
      <c r="L61" s="4">
        <f>INDEX('HY &amp; Segments'!$A:$AG,MATCH($A61,'HY &amp; Segments'!$A:$A,0),MATCH("1H"&amp;RIGHT(L$1,2),'HY &amp; Segments'!$3:$3,0))+INDEX('HY &amp; Segments'!$A:$AG,MATCH($A61,'HY &amp; Segments'!$A:$A,0),MATCH("2H"&amp;RIGHT(L$1,2),'HY &amp; Segments'!$3:$3,0))</f>
        <v>-21.454635800386015</v>
      </c>
      <c r="M61" s="4">
        <f>INDEX('HY &amp; Segments'!$A:$AG,MATCH($A61,'HY &amp; Segments'!$A:$A,0),MATCH("1H"&amp;RIGHT(M$1,2),'HY &amp; Segments'!$3:$3,0))+INDEX('HY &amp; Segments'!$A:$AG,MATCH($A61,'HY &amp; Segments'!$A:$A,0),MATCH("2H"&amp;RIGHT(M$1,2),'HY &amp; Segments'!$3:$3,0))</f>
        <v>-22.124375814953968</v>
      </c>
      <c r="N61" s="4">
        <f>INDEX('HY &amp; Segments'!$A:$AG,MATCH($A61,'HY &amp; Segments'!$A:$A,0),MATCH("1H"&amp;RIGHT(N$1,2),'HY &amp; Segments'!$3:$3,0))+INDEX('HY &amp; Segments'!$A:$AG,MATCH($A61,'HY &amp; Segments'!$A:$A,0),MATCH("2H"&amp;RIGHT(N$1,2),'HY &amp; Segments'!$3:$3,0))</f>
        <v>-22.831453835334088</v>
      </c>
      <c r="O61" s="4">
        <f>INDEX('HY &amp; Segments'!$A:$AG,MATCH($A61,'HY &amp; Segments'!$A:$A,0),MATCH("1H"&amp;RIGHT(O$1,2),'HY &amp; Segments'!$3:$3,0))+INDEX('HY &amp; Segments'!$A:$AG,MATCH($A61,'HY &amp; Segments'!$A:$A,0),MATCH("2H"&amp;RIGHT(O$1,2),'HY &amp; Segments'!$3:$3,0))</f>
        <v>-23.577951455350401</v>
      </c>
      <c r="P61" s="4">
        <f>INDEX('HY &amp; Segments'!$A:$AG,MATCH($A61,'HY &amp; Segments'!$A:$A,0),MATCH("1H"&amp;RIGHT(P$1,2),'HY &amp; Segments'!$3:$3,0))+INDEX('HY &amp; Segments'!$A:$AG,MATCH($A61,'HY &amp; Segments'!$A:$A,0),MATCH("2H"&amp;RIGHT(P$1,2),'HY &amp; Segments'!$3:$3,0))</f>
        <v>-24.36606631768262</v>
      </c>
    </row>
    <row r="62" spans="1:16" x14ac:dyDescent="0.35">
      <c r="A62" t="s">
        <v>101</v>
      </c>
      <c r="B62" s="20" t="s">
        <v>102</v>
      </c>
      <c r="C62" s="20" t="s">
        <v>22</v>
      </c>
      <c r="D62" s="21">
        <f t="shared" ref="D62:P62" si="20">SUM(D59:D61)</f>
        <v>-38.5</v>
      </c>
      <c r="E62" s="21">
        <f t="shared" si="20"/>
        <v>-40.099999999999994</v>
      </c>
      <c r="F62" s="21">
        <f t="shared" si="20"/>
        <v>-36.1</v>
      </c>
      <c r="G62" s="21">
        <f t="shared" si="20"/>
        <v>-35.607606296207138</v>
      </c>
      <c r="H62" s="21">
        <f t="shared" si="20"/>
        <v>-36.621073210941766</v>
      </c>
      <c r="I62" s="21">
        <f t="shared" si="20"/>
        <v>-36.929440130624883</v>
      </c>
      <c r="J62" s="21">
        <f t="shared" si="20"/>
        <v>-37.166484083087255</v>
      </c>
      <c r="K62" s="21">
        <f t="shared" si="20"/>
        <v>-37.415374750362361</v>
      </c>
      <c r="L62" s="21">
        <f t="shared" si="20"/>
        <v>-37.671718321452552</v>
      </c>
      <c r="M62" s="21">
        <f t="shared" si="20"/>
        <v>-37.931414862329291</v>
      </c>
      <c r="N62" s="21">
        <f t="shared" si="20"/>
        <v>-38.19060391085069</v>
      </c>
      <c r="O62" s="21">
        <f t="shared" si="20"/>
        <v>-38.445615954650521</v>
      </c>
      <c r="P62" s="21">
        <f t="shared" si="20"/>
        <v>-38.692928987751237</v>
      </c>
    </row>
    <row r="63" spans="1:16" x14ac:dyDescent="0.35">
      <c r="B63" t="s">
        <v>103</v>
      </c>
      <c r="C63" t="s">
        <v>48</v>
      </c>
      <c r="D63" s="6"/>
      <c r="E63" s="6">
        <f t="shared" ref="E63:P63" si="21">IF(D110=0,"",E59/D110)</f>
        <v>1.4778325123152709E-2</v>
      </c>
      <c r="F63" s="6">
        <f t="shared" si="21"/>
        <v>8.2987551867219917E-3</v>
      </c>
      <c r="G63" s="6">
        <f t="shared" si="21"/>
        <v>8.2987551867219882E-3</v>
      </c>
      <c r="H63" s="6">
        <f t="shared" si="21"/>
        <v>8.2987551867219917E-3</v>
      </c>
      <c r="I63" s="6">
        <f t="shared" si="21"/>
        <v>8.2987551867219917E-3</v>
      </c>
      <c r="J63" s="6">
        <f t="shared" si="21"/>
        <v>8.2987551867219917E-3</v>
      </c>
      <c r="K63" s="6">
        <f t="shared" si="21"/>
        <v>8.2987551867219917E-3</v>
      </c>
      <c r="L63" s="6">
        <f t="shared" si="21"/>
        <v>8.2987551867219917E-3</v>
      </c>
      <c r="M63" s="6">
        <f t="shared" si="21"/>
        <v>8.2987551867219917E-3</v>
      </c>
      <c r="N63" s="6">
        <f t="shared" si="21"/>
        <v>8.2987551867219917E-3</v>
      </c>
      <c r="O63" s="6">
        <f t="shared" si="21"/>
        <v>8.2987551867219917E-3</v>
      </c>
      <c r="P63" s="6">
        <f t="shared" si="21"/>
        <v>8.2987551867219917E-3</v>
      </c>
    </row>
    <row r="64" spans="1:16" x14ac:dyDescent="0.35">
      <c r="B64" s="62" t="s">
        <v>104</v>
      </c>
      <c r="C64" s="62" t="s">
        <v>48</v>
      </c>
      <c r="D64" s="64"/>
      <c r="E64" s="64">
        <f>-E60/((D127+E127)/2)</f>
        <v>5.8620689655172413E-2</v>
      </c>
      <c r="F64" s="64">
        <f>-F60/((E127+F127)/2)</f>
        <v>6.1475409836065573E-2</v>
      </c>
      <c r="G64" s="64">
        <f t="shared" ref="G64:P64" si="22">F64</f>
        <v>6.1475409836065573E-2</v>
      </c>
      <c r="H64" s="64">
        <f t="shared" si="22"/>
        <v>6.1475409836065573E-2</v>
      </c>
      <c r="I64" s="64">
        <f t="shared" si="22"/>
        <v>6.1475409836065573E-2</v>
      </c>
      <c r="J64" s="64">
        <f t="shared" si="22"/>
        <v>6.1475409836065573E-2</v>
      </c>
      <c r="K64" s="64">
        <f t="shared" si="22"/>
        <v>6.1475409836065573E-2</v>
      </c>
      <c r="L64" s="64">
        <f t="shared" si="22"/>
        <v>6.1475409836065573E-2</v>
      </c>
      <c r="M64" s="64">
        <f t="shared" si="22"/>
        <v>6.1475409836065573E-2</v>
      </c>
      <c r="N64" s="64">
        <f t="shared" si="22"/>
        <v>6.1475409836065573E-2</v>
      </c>
      <c r="O64" s="64">
        <f t="shared" si="22"/>
        <v>6.1475409836065573E-2</v>
      </c>
      <c r="P64" s="64">
        <f t="shared" si="22"/>
        <v>6.1475409836065573E-2</v>
      </c>
    </row>
    <row r="65" spans="1:16" x14ac:dyDescent="0.35">
      <c r="B65" t="s">
        <v>105</v>
      </c>
      <c r="C65" t="s">
        <v>48</v>
      </c>
      <c r="D65" s="6"/>
      <c r="E65" s="6">
        <f t="shared" ref="E65:P65" si="23">IF((D128+E128)=0,"",-E61/((D128+E128)/2))</f>
        <v>7.0919836338839221E-2</v>
      </c>
      <c r="F65" s="6">
        <f t="shared" si="23"/>
        <v>6.6593886462882113E-2</v>
      </c>
      <c r="G65" s="6">
        <f t="shared" si="23"/>
        <v>6.6593886462882113E-2</v>
      </c>
      <c r="H65" s="6">
        <f t="shared" si="23"/>
        <v>6.6593886462882113E-2</v>
      </c>
      <c r="I65" s="6">
        <f t="shared" si="23"/>
        <v>6.6593886462882113E-2</v>
      </c>
      <c r="J65" s="6">
        <f t="shared" si="23"/>
        <v>6.6593886462882113E-2</v>
      </c>
      <c r="K65" s="6">
        <f t="shared" si="23"/>
        <v>6.6593886462882113E-2</v>
      </c>
      <c r="L65" s="6">
        <f t="shared" si="23"/>
        <v>6.6593886462882113E-2</v>
      </c>
      <c r="M65" s="6">
        <f t="shared" si="23"/>
        <v>6.6593886462882113E-2</v>
      </c>
      <c r="N65" s="6">
        <f t="shared" si="23"/>
        <v>6.6593886462882113E-2</v>
      </c>
      <c r="O65" s="6">
        <f t="shared" si="23"/>
        <v>6.6593886462882113E-2</v>
      </c>
      <c r="P65" s="6">
        <f t="shared" si="23"/>
        <v>6.6593886462882113E-2</v>
      </c>
    </row>
    <row r="66" spans="1:16" x14ac:dyDescent="0.35"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35">
      <c r="B67" s="5" t="s">
        <v>106</v>
      </c>
    </row>
    <row r="68" spans="1:16" x14ac:dyDescent="0.35">
      <c r="A68" t="s">
        <v>107</v>
      </c>
      <c r="B68" s="20" t="s">
        <v>108</v>
      </c>
      <c r="C68" s="20" t="s">
        <v>22</v>
      </c>
      <c r="D68" s="21">
        <f t="shared" ref="D68:P68" si="24">D54+D62</f>
        <v>135.89999999999998</v>
      </c>
      <c r="E68" s="21">
        <f t="shared" si="24"/>
        <v>58.900000000000034</v>
      </c>
      <c r="F68" s="21">
        <f t="shared" si="24"/>
        <v>25.4</v>
      </c>
      <c r="G68" s="21">
        <f t="shared" si="24"/>
        <v>46.362440438507349</v>
      </c>
      <c r="H68" s="21">
        <f t="shared" si="24"/>
        <v>66.389143428719422</v>
      </c>
      <c r="I68" s="21">
        <f t="shared" si="24"/>
        <v>79.966388517907362</v>
      </c>
      <c r="J68" s="21">
        <f t="shared" si="24"/>
        <v>94.553552718374476</v>
      </c>
      <c r="K68" s="21">
        <f t="shared" si="24"/>
        <v>110.12310093871557</v>
      </c>
      <c r="L68" s="21">
        <f t="shared" si="24"/>
        <v>126.73834786231726</v>
      </c>
      <c r="M68" s="21">
        <f t="shared" si="24"/>
        <v>144.46577547414157</v>
      </c>
      <c r="N68" s="21">
        <f t="shared" si="24"/>
        <v>163.37527354495055</v>
      </c>
      <c r="O68" s="21">
        <f t="shared" si="24"/>
        <v>183.54038586619151</v>
      </c>
      <c r="P68" s="21">
        <f t="shared" si="24"/>
        <v>205.03856353828823</v>
      </c>
    </row>
    <row r="69" spans="1:16" x14ac:dyDescent="0.35">
      <c r="A69" t="s">
        <v>109</v>
      </c>
      <c r="B69" t="s">
        <v>110</v>
      </c>
      <c r="C69" t="s">
        <v>22</v>
      </c>
      <c r="D69" s="19">
        <v>-37</v>
      </c>
      <c r="E69" s="19">
        <v>-18.899999999999999</v>
      </c>
      <c r="F69" s="19">
        <v>-7.6</v>
      </c>
      <c r="G69" s="4">
        <f>INDEX('HY &amp; Segments'!$A:$AG,MATCH($A69,'HY &amp; Segments'!$A:$A,0),MATCH("1H"&amp;RIGHT(G$1,2),'HY &amp; Segments'!$3:$3,0))+INDEX('HY &amp; Segments'!$A:$AG,MATCH($A69,'HY &amp; Segments'!$A:$A,0),MATCH("2H"&amp;RIGHT(G$1,2),'HY &amp; Segments'!$3:$3,0))</f>
        <v>-10.846524804654956</v>
      </c>
      <c r="H69" s="4">
        <f>INDEX('HY &amp; Segments'!$A:$AG,MATCH($A69,'HY &amp; Segments'!$A:$A,0),MATCH("1H"&amp;RIGHT(H$1,2),'HY &amp; Segments'!$3:$3,0))+INDEX('HY &amp; Segments'!$A:$AG,MATCH($A69,'HY &amp; Segments'!$A:$A,0),MATCH("2H"&amp;RIGHT(H$1,2),'HY &amp; Segments'!$3:$3,0))</f>
        <v>-15.339240948790717</v>
      </c>
      <c r="I69" s="4">
        <f>INDEX('HY &amp; Segments'!$A:$AG,MATCH($A69,'HY &amp; Segments'!$A:$A,0),MATCH("1H"&amp;RIGHT(I$1,2),'HY &amp; Segments'!$3:$3,0))+INDEX('HY &amp; Segments'!$A:$AG,MATCH($A69,'HY &amp; Segments'!$A:$A,0),MATCH("2H"&amp;RIGHT(I$1,2),'HY &amp; Segments'!$3:$3,0))</f>
        <v>-18.341940099004002</v>
      </c>
      <c r="J69" s="4">
        <f>INDEX('HY &amp; Segments'!$A:$AG,MATCH($A69,'HY &amp; Segments'!$A:$A,0),MATCH("1H"&amp;RIGHT(J$1,2),'HY &amp; Segments'!$3:$3,0))+INDEX('HY &amp; Segments'!$A:$AG,MATCH($A69,'HY &amp; Segments'!$A:$A,0),MATCH("2H"&amp;RIGHT(J$1,2),'HY &amp; Segments'!$3:$3,0))</f>
        <v>-21.57768575375222</v>
      </c>
      <c r="K69" s="4">
        <f>INDEX('HY &amp; Segments'!$A:$AG,MATCH($A69,'HY &amp; Segments'!$A:$A,0),MATCH("1H"&amp;RIGHT(K$1,2),'HY &amp; Segments'!$3:$3,0))+INDEX('HY &amp; Segments'!$A:$AG,MATCH($A69,'HY &amp; Segments'!$A:$A,0),MATCH("2H"&amp;RIGHT(K$1,2),'HY &amp; Segments'!$3:$3,0))</f>
        <v>-25.037462717435233</v>
      </c>
      <c r="L69" s="4">
        <f>INDEX('HY &amp; Segments'!$A:$AG,MATCH($A69,'HY &amp; Segments'!$A:$A,0),MATCH("1H"&amp;RIGHT(L$1,2),'HY &amp; Segments'!$3:$3,0))+INDEX('HY &amp; Segments'!$A:$AG,MATCH($A69,'HY &amp; Segments'!$A:$A,0),MATCH("2H"&amp;RIGHT(L$1,2),'HY &amp; Segments'!$3:$3,0))</f>
        <v>-28.73618024825246</v>
      </c>
      <c r="M69" s="4">
        <f>INDEX('HY &amp; Segments'!$A:$AG,MATCH($A69,'HY &amp; Segments'!$A:$A,0),MATCH("1H"&amp;RIGHT(M$1,2),'HY &amp; Segments'!$3:$3,0))+INDEX('HY &amp; Segments'!$A:$AG,MATCH($A69,'HY &amp; Segments'!$A:$A,0),MATCH("2H"&amp;RIGHT(M$1,2),'HY &amp; Segments'!$3:$3,0))</f>
        <v>-32.689463242083072</v>
      </c>
      <c r="N69" s="4">
        <f>INDEX('HY &amp; Segments'!$A:$AG,MATCH($A69,'HY &amp; Segments'!$A:$A,0),MATCH("1H"&amp;RIGHT(N$1,2),'HY &amp; Segments'!$3:$3,0))+INDEX('HY &amp; Segments'!$A:$AG,MATCH($A69,'HY &amp; Segments'!$A:$A,0),MATCH("2H"&amp;RIGHT(N$1,2),'HY &amp; Segments'!$3:$3,0))</f>
        <v>-36.913711539622106</v>
      </c>
      <c r="O69" s="4">
        <f>INDEX('HY &amp; Segments'!$A:$AG,MATCH($A69,'HY &amp; Segments'!$A:$A,0),MATCH("1H"&amp;RIGHT(O$1,2),'HY &amp; Segments'!$3:$3,0))+INDEX('HY &amp; Segments'!$A:$AG,MATCH($A69,'HY &amp; Segments'!$A:$A,0),MATCH("2H"&amp;RIGHT(O$1,2),'HY &amp; Segments'!$3:$3,0))</f>
        <v>-41.42616019717201</v>
      </c>
      <c r="P69" s="4">
        <f>INDEX('HY &amp; Segments'!$A:$AG,MATCH($A69,'HY &amp; Segments'!$A:$A,0),MATCH("1H"&amp;RIGHT(P$1,2),'HY &amp; Segments'!$3:$3,0))+INDEX('HY &amp; Segments'!$A:$AG,MATCH($A69,'HY &amp; Segments'!$A:$A,0),MATCH("2H"&amp;RIGHT(P$1,2),'HY &amp; Segments'!$3:$3,0))</f>
        <v>-46.244941074877524</v>
      </c>
    </row>
    <row r="70" spans="1:16" x14ac:dyDescent="0.35">
      <c r="B70" t="s">
        <v>111</v>
      </c>
      <c r="C70" t="s">
        <v>48</v>
      </c>
      <c r="D70" s="6">
        <f t="shared" ref="D70:P70" si="25">IF(D68=0,"",-D69/D68)</f>
        <v>0.27225901398086833</v>
      </c>
      <c r="E70" s="6">
        <f t="shared" si="25"/>
        <v>0.32088285229202018</v>
      </c>
      <c r="F70" s="6">
        <f t="shared" si="25"/>
        <v>0.29921259842519687</v>
      </c>
      <c r="G70" s="6">
        <f t="shared" si="25"/>
        <v>0.23395068728190019</v>
      </c>
      <c r="H70" s="6">
        <f t="shared" si="25"/>
        <v>0.23105044223473264</v>
      </c>
      <c r="I70" s="6">
        <f t="shared" si="25"/>
        <v>0.22937061981855764</v>
      </c>
      <c r="J70" s="6">
        <f t="shared" si="25"/>
        <v>0.22820597569740025</v>
      </c>
      <c r="K70" s="6">
        <f t="shared" si="25"/>
        <v>0.22735886025738405</v>
      </c>
      <c r="L70" s="6">
        <f t="shared" si="25"/>
        <v>0.22673626990522341</v>
      </c>
      <c r="M70" s="6">
        <f t="shared" si="25"/>
        <v>0.22627825265046442</v>
      </c>
      <c r="N70" s="6">
        <f t="shared" si="25"/>
        <v>0.2259442982934978</v>
      </c>
      <c r="O70" s="6">
        <f t="shared" si="25"/>
        <v>0.22570596657333708</v>
      </c>
      <c r="P70" s="6">
        <f t="shared" si="25"/>
        <v>0.22554265049872871</v>
      </c>
    </row>
    <row r="71" spans="1:16" x14ac:dyDescent="0.35">
      <c r="A71" t="s">
        <v>112</v>
      </c>
      <c r="B71" t="s">
        <v>113</v>
      </c>
      <c r="C71" t="s">
        <v>22</v>
      </c>
      <c r="D71" s="19">
        <v>0</v>
      </c>
      <c r="E71" s="19">
        <v>0</v>
      </c>
      <c r="F71" s="19">
        <v>0</v>
      </c>
      <c r="G71" s="4">
        <f>INDEX('HY &amp; Segments'!$A:$AG,MATCH($A71,'HY &amp; Segments'!$A:$A,0),MATCH("1H"&amp;RIGHT(G$1,2),'HY &amp; Segments'!$3:$3,0))+INDEX('HY &amp; Segments'!$A:$AG,MATCH($A71,'HY &amp; Segments'!$A:$A,0),MATCH("2H"&amp;RIGHT(G$1,2),'HY &amp; Segments'!$3:$3,0))</f>
        <v>-0.8</v>
      </c>
      <c r="H71" s="4">
        <f>INDEX('HY &amp; Segments'!$A:$AG,MATCH($A71,'HY &amp; Segments'!$A:$A,0),MATCH("1H"&amp;RIGHT(H$1,2),'HY &amp; Segments'!$3:$3,0))+INDEX('HY &amp; Segments'!$A:$AG,MATCH($A71,'HY &amp; Segments'!$A:$A,0),MATCH("2H"&amp;RIGHT(H$1,2),'HY &amp; Segments'!$3:$3,0))</f>
        <v>-0.98862754037293765</v>
      </c>
      <c r="I71" s="4">
        <f>INDEX('HY &amp; Segments'!$A:$AG,MATCH($A71,'HY &amp; Segments'!$A:$A,0),MATCH("1H"&amp;RIGHT(I$1,2),'HY &amp; Segments'!$3:$3,0))+INDEX('HY &amp; Segments'!$A:$AG,MATCH($A71,'HY &amp; Segments'!$A:$A,0),MATCH("2H"&amp;RIGHT(I$1,2),'HY &amp; Segments'!$3:$3,0))</f>
        <v>-1.0716525876426108</v>
      </c>
      <c r="J71" s="4">
        <f>INDEX('HY &amp; Segments'!$A:$AG,MATCH($A71,'HY &amp; Segments'!$A:$A,0),MATCH("1H"&amp;RIGHT(J$1,2),'HY &amp; Segments'!$3:$3,0))+INDEX('HY &amp; Segments'!$A:$AG,MATCH($A71,'HY &amp; Segments'!$A:$A,0),MATCH("2H"&amp;RIGHT(J$1,2),'HY &amp; Segments'!$3:$3,0))</f>
        <v>-1.1600040078449152</v>
      </c>
      <c r="K71" s="4">
        <f>INDEX('HY &amp; Segments'!$A:$AG,MATCH($A71,'HY &amp; Segments'!$A:$A,0),MATCH("1H"&amp;RIGHT(K$1,2),'HY &amp; Segments'!$3:$3,0))+INDEX('HY &amp; Segments'!$A:$AG,MATCH($A71,'HY &amp; Segments'!$A:$A,0),MATCH("2H"&amp;RIGHT(K$1,2),'HY &amp; Segments'!$3:$3,0))</f>
        <v>-1.2539961894345288</v>
      </c>
      <c r="L71" s="4">
        <f>INDEX('HY &amp; Segments'!$A:$AG,MATCH($A71,'HY &amp; Segments'!$A:$A,0),MATCH("1H"&amp;RIGHT(L$1,2),'HY &amp; Segments'!$3:$3,0))+INDEX('HY &amp; Segments'!$A:$AG,MATCH($A71,'HY &amp; Segments'!$A:$A,0),MATCH("2H"&amp;RIGHT(L$1,2),'HY &amp; Segments'!$3:$3,0))</f>
        <v>-1.3539614841015704</v>
      </c>
      <c r="M71" s="4">
        <f>INDEX('HY &amp; Segments'!$A:$AG,MATCH($A71,'HY &amp; Segments'!$A:$A,0),MATCH("1H"&amp;RIGHT(M$1,2),'HY &amp; Segments'!$3:$3,0))+INDEX('HY &amp; Segments'!$A:$AG,MATCH($A71,'HY &amp; Segments'!$A:$A,0),MATCH("2H"&amp;RIGHT(M$1,2),'HY &amp; Segments'!$3:$3,0))</f>
        <v>-1.4602512191239505</v>
      </c>
      <c r="N71" s="4">
        <f>INDEX('HY &amp; Segments'!$A:$AG,MATCH($A71,'HY &amp; Segments'!$A:$A,0),MATCH("1H"&amp;RIGHT(N$1,2),'HY &amp; Segments'!$3:$3,0))+INDEX('HY &amp; Segments'!$A:$AG,MATCH($A71,'HY &amp; Segments'!$A:$A,0),MATCH("2H"&amp;RIGHT(N$1,2),'HY &amp; Segments'!$3:$3,0))</f>
        <v>-1.5732367664309217</v>
      </c>
      <c r="O71" s="4">
        <f>INDEX('HY &amp; Segments'!$A:$AG,MATCH($A71,'HY &amp; Segments'!$A:$A,0),MATCH("1H"&amp;RIGHT(O$1,2),'HY &amp; Segments'!$3:$3,0))+INDEX('HY &amp; Segments'!$A:$AG,MATCH($A71,'HY &amp; Segments'!$A:$A,0),MATCH("2H"&amp;RIGHT(O$1,2),'HY &amp; Segments'!$3:$3,0))</f>
        <v>-1.6933106715462762</v>
      </c>
      <c r="P71" s="4">
        <f>INDEX('HY &amp; Segments'!$A:$AG,MATCH($A71,'HY &amp; Segments'!$A:$A,0),MATCH("1H"&amp;RIGHT(P$1,2),'HY &amp; Segments'!$3:$3,0))+INDEX('HY &amp; Segments'!$A:$AG,MATCH($A71,'HY &amp; Segments'!$A:$A,0),MATCH("2H"&amp;RIGHT(P$1,2),'HY &amp; Segments'!$3:$3,0))</f>
        <v>-1.8208878457564828</v>
      </c>
    </row>
    <row r="72" spans="1:16" x14ac:dyDescent="0.35">
      <c r="A72" t="s">
        <v>114</v>
      </c>
      <c r="B72" s="20" t="s">
        <v>115</v>
      </c>
      <c r="C72" s="20" t="s">
        <v>22</v>
      </c>
      <c r="D72" s="21">
        <f t="shared" ref="D72:P72" si="26">D68+D69+D71</f>
        <v>98.899999999999977</v>
      </c>
      <c r="E72" s="21">
        <f t="shared" si="26"/>
        <v>40.000000000000036</v>
      </c>
      <c r="F72" s="21">
        <f t="shared" si="26"/>
        <v>17.799999999999997</v>
      </c>
      <c r="G72" s="21">
        <f t="shared" si="26"/>
        <v>34.715915633852397</v>
      </c>
      <c r="H72" s="21">
        <f t="shared" si="26"/>
        <v>50.061274939555766</v>
      </c>
      <c r="I72" s="21">
        <f t="shared" si="26"/>
        <v>60.552795831260745</v>
      </c>
      <c r="J72" s="21">
        <f t="shared" si="26"/>
        <v>71.815862956777337</v>
      </c>
      <c r="K72" s="21">
        <f t="shared" si="26"/>
        <v>83.831642031845803</v>
      </c>
      <c r="L72" s="21">
        <f t="shared" si="26"/>
        <v>96.648206129963228</v>
      </c>
      <c r="M72" s="21">
        <f t="shared" si="26"/>
        <v>110.31606101293455</v>
      </c>
      <c r="N72" s="21">
        <f t="shared" si="26"/>
        <v>124.88832523889751</v>
      </c>
      <c r="O72" s="21">
        <f t="shared" si="26"/>
        <v>140.42091499747323</v>
      </c>
      <c r="P72" s="21">
        <f t="shared" si="26"/>
        <v>156.97273461765423</v>
      </c>
    </row>
    <row r="73" spans="1:16" x14ac:dyDescent="0.35">
      <c r="A73" t="s">
        <v>116</v>
      </c>
      <c r="B73" t="s">
        <v>117</v>
      </c>
      <c r="C73" t="s">
        <v>22</v>
      </c>
      <c r="D73" s="19">
        <v>-7.2</v>
      </c>
      <c r="E73" s="19">
        <v>0</v>
      </c>
      <c r="F73" s="19">
        <v>-2.2000000000000002</v>
      </c>
      <c r="G73" s="4">
        <f>INDEX('HY &amp; Segments'!$A:$AG,MATCH($A73,'HY &amp; Segments'!$A:$A,0),MATCH("1H"&amp;RIGHT(G$1,2),'HY &amp; Segments'!$3:$3,0))+INDEX('HY &amp; Segments'!$A:$AG,MATCH($A73,'HY &amp; Segments'!$A:$A,0),MATCH("2H"&amp;RIGHT(G$1,2),'HY &amp; Segments'!$3:$3,0))</f>
        <v>-0.7</v>
      </c>
      <c r="H73" s="4">
        <f>INDEX('HY &amp; Segments'!$A:$AG,MATCH($A73,'HY &amp; Segments'!$A:$A,0),MATCH("1H"&amp;RIGHT(H$1,2),'HY &amp; Segments'!$3:$3,0))+INDEX('HY &amp; Segments'!$A:$AG,MATCH($A73,'HY &amp; Segments'!$A:$A,0),MATCH("2H"&amp;RIGHT(H$1,2),'HY &amp; Segments'!$3:$3,0))</f>
        <v>0</v>
      </c>
      <c r="I73" s="4">
        <f>INDEX('HY &amp; Segments'!$A:$AG,MATCH($A73,'HY &amp; Segments'!$A:$A,0),MATCH("1H"&amp;RIGHT(I$1,2),'HY &amp; Segments'!$3:$3,0))+INDEX('HY &amp; Segments'!$A:$AG,MATCH($A73,'HY &amp; Segments'!$A:$A,0),MATCH("2H"&amp;RIGHT(I$1,2),'HY &amp; Segments'!$3:$3,0))</f>
        <v>0</v>
      </c>
      <c r="J73" s="4">
        <f>INDEX('HY &amp; Segments'!$A:$AG,MATCH($A73,'HY &amp; Segments'!$A:$A,0),MATCH("1H"&amp;RIGHT(J$1,2),'HY &amp; Segments'!$3:$3,0))+INDEX('HY &amp; Segments'!$A:$AG,MATCH($A73,'HY &amp; Segments'!$A:$A,0),MATCH("2H"&amp;RIGHT(J$1,2),'HY &amp; Segments'!$3:$3,0))</f>
        <v>0</v>
      </c>
      <c r="K73" s="4">
        <f>INDEX('HY &amp; Segments'!$A:$AG,MATCH($A73,'HY &amp; Segments'!$A:$A,0),MATCH("1H"&amp;RIGHT(K$1,2),'HY &amp; Segments'!$3:$3,0))+INDEX('HY &amp; Segments'!$A:$AG,MATCH($A73,'HY &amp; Segments'!$A:$A,0),MATCH("2H"&amp;RIGHT(K$1,2),'HY &amp; Segments'!$3:$3,0))</f>
        <v>0</v>
      </c>
      <c r="L73" s="4">
        <f>INDEX('HY &amp; Segments'!$A:$AG,MATCH($A73,'HY &amp; Segments'!$A:$A,0),MATCH("1H"&amp;RIGHT(L$1,2),'HY &amp; Segments'!$3:$3,0))+INDEX('HY &amp; Segments'!$A:$AG,MATCH($A73,'HY &amp; Segments'!$A:$A,0),MATCH("2H"&amp;RIGHT(L$1,2),'HY &amp; Segments'!$3:$3,0))</f>
        <v>0</v>
      </c>
      <c r="M73" s="4">
        <f>INDEX('HY &amp; Segments'!$A:$AG,MATCH($A73,'HY &amp; Segments'!$A:$A,0),MATCH("1H"&amp;RIGHT(M$1,2),'HY &amp; Segments'!$3:$3,0))+INDEX('HY &amp; Segments'!$A:$AG,MATCH($A73,'HY &amp; Segments'!$A:$A,0),MATCH("2H"&amp;RIGHT(M$1,2),'HY &amp; Segments'!$3:$3,0))</f>
        <v>0</v>
      </c>
      <c r="N73" s="4">
        <f>INDEX('HY &amp; Segments'!$A:$AG,MATCH($A73,'HY &amp; Segments'!$A:$A,0),MATCH("1H"&amp;RIGHT(N$1,2),'HY &amp; Segments'!$3:$3,0))+INDEX('HY &amp; Segments'!$A:$AG,MATCH($A73,'HY &amp; Segments'!$A:$A,0),MATCH("2H"&amp;RIGHT(N$1,2),'HY &amp; Segments'!$3:$3,0))</f>
        <v>0</v>
      </c>
      <c r="O73" s="4">
        <f>INDEX('HY &amp; Segments'!$A:$AG,MATCH($A73,'HY &amp; Segments'!$A:$A,0),MATCH("1H"&amp;RIGHT(O$1,2),'HY &amp; Segments'!$3:$3,0))+INDEX('HY &amp; Segments'!$A:$AG,MATCH($A73,'HY &amp; Segments'!$A:$A,0),MATCH("2H"&amp;RIGHT(O$1,2),'HY &amp; Segments'!$3:$3,0))</f>
        <v>0</v>
      </c>
      <c r="P73" s="4">
        <f>INDEX('HY &amp; Segments'!$A:$AG,MATCH($A73,'HY &amp; Segments'!$A:$A,0),MATCH("1H"&amp;RIGHT(P$1,2),'HY &amp; Segments'!$3:$3,0))+INDEX('HY &amp; Segments'!$A:$AG,MATCH($A73,'HY &amp; Segments'!$A:$A,0),MATCH("2H"&amp;RIGHT(P$1,2),'HY &amp; Segments'!$3:$3,0))</f>
        <v>0</v>
      </c>
    </row>
    <row r="74" spans="1:16" x14ac:dyDescent="0.35">
      <c r="A74" t="s">
        <v>118</v>
      </c>
      <c r="B74" s="20" t="s">
        <v>119</v>
      </c>
      <c r="C74" s="20" t="s">
        <v>22</v>
      </c>
      <c r="D74" s="21">
        <f t="shared" ref="D74:P74" si="27">D72+D73</f>
        <v>91.699999999999974</v>
      </c>
      <c r="E74" s="21">
        <f t="shared" si="27"/>
        <v>40.000000000000036</v>
      </c>
      <c r="F74" s="21">
        <f t="shared" si="27"/>
        <v>15.599999999999998</v>
      </c>
      <c r="G74" s="21">
        <f t="shared" si="27"/>
        <v>34.015915633852394</v>
      </c>
      <c r="H74" s="21">
        <f t="shared" si="27"/>
        <v>50.061274939555766</v>
      </c>
      <c r="I74" s="21">
        <f t="shared" si="27"/>
        <v>60.552795831260745</v>
      </c>
      <c r="J74" s="21">
        <f t="shared" si="27"/>
        <v>71.815862956777337</v>
      </c>
      <c r="K74" s="21">
        <f t="shared" si="27"/>
        <v>83.831642031845803</v>
      </c>
      <c r="L74" s="21">
        <f t="shared" si="27"/>
        <v>96.648206129963228</v>
      </c>
      <c r="M74" s="21">
        <f t="shared" si="27"/>
        <v>110.31606101293455</v>
      </c>
      <c r="N74" s="21">
        <f t="shared" si="27"/>
        <v>124.88832523889751</v>
      </c>
      <c r="O74" s="21">
        <f t="shared" si="27"/>
        <v>140.42091499747323</v>
      </c>
      <c r="P74" s="21">
        <f t="shared" si="27"/>
        <v>156.97273461765423</v>
      </c>
    </row>
    <row r="75" spans="1:16" x14ac:dyDescent="0.35">
      <c r="B75" t="s">
        <v>120</v>
      </c>
      <c r="C75" t="s">
        <v>28</v>
      </c>
      <c r="D75" s="6"/>
      <c r="E75" s="6">
        <f t="shared" ref="E75:P75" si="28">IF(D72=0,"",E72/D72-1)</f>
        <v>-0.59555106167846272</v>
      </c>
      <c r="F75" s="6">
        <f t="shared" si="28"/>
        <v>-0.55500000000000049</v>
      </c>
      <c r="G75" s="6">
        <f t="shared" si="28"/>
        <v>0.95033233898047209</v>
      </c>
      <c r="H75" s="6">
        <f t="shared" si="28"/>
        <v>0.44202663318894886</v>
      </c>
      <c r="I75" s="6">
        <f t="shared" si="28"/>
        <v>0.2095735856582257</v>
      </c>
      <c r="J75" s="6">
        <f t="shared" si="28"/>
        <v>0.18600408075132946</v>
      </c>
      <c r="K75" s="6">
        <f t="shared" si="28"/>
        <v>0.16731371845103649</v>
      </c>
      <c r="L75" s="6">
        <f t="shared" si="28"/>
        <v>0.1528845646760526</v>
      </c>
      <c r="M75" s="6">
        <f t="shared" si="28"/>
        <v>0.14141860910063975</v>
      </c>
      <c r="N75" s="6">
        <f t="shared" si="28"/>
        <v>0.13209558147887779</v>
      </c>
      <c r="O75" s="6">
        <f t="shared" si="28"/>
        <v>0.12437183162528287</v>
      </c>
      <c r="P75" s="6">
        <f t="shared" si="28"/>
        <v>0.11787289393804934</v>
      </c>
    </row>
    <row r="76" spans="1:16" x14ac:dyDescent="0.35">
      <c r="B76" t="s">
        <v>121</v>
      </c>
      <c r="C76" t="s">
        <v>48</v>
      </c>
      <c r="D76" s="6">
        <f t="shared" ref="D76:P76" si="29">IF(D9=0,"",D72/D9)</f>
        <v>7.9444132058799882E-2</v>
      </c>
      <c r="E76" s="6">
        <f t="shared" si="29"/>
        <v>3.7583388142441075E-2</v>
      </c>
      <c r="F76" s="6">
        <f t="shared" si="29"/>
        <v>1.877439088703723E-2</v>
      </c>
      <c r="G76" s="6">
        <f t="shared" si="29"/>
        <v>3.2279814414388659E-2</v>
      </c>
      <c r="H76" s="6">
        <f t="shared" si="29"/>
        <v>4.2841177121172178E-2</v>
      </c>
      <c r="I76" s="6">
        <f t="shared" si="29"/>
        <v>4.908316952334868E-2</v>
      </c>
      <c r="J76" s="6">
        <f t="shared" si="29"/>
        <v>5.5138848544542582E-2</v>
      </c>
      <c r="K76" s="6">
        <f t="shared" si="29"/>
        <v>6.0965507293998134E-2</v>
      </c>
      <c r="L76" s="6">
        <f t="shared" si="29"/>
        <v>6.6574655303713703E-2</v>
      </c>
      <c r="M76" s="6">
        <f t="shared" si="29"/>
        <v>7.197684154214487E-2</v>
      </c>
      <c r="N76" s="6">
        <f t="shared" si="29"/>
        <v>7.7181780041361642E-2</v>
      </c>
      <c r="O76" s="6">
        <f t="shared" si="29"/>
        <v>8.2198455499129047E-2</v>
      </c>
      <c r="P76" s="6">
        <f t="shared" si="29"/>
        <v>8.7035212243475574E-2</v>
      </c>
    </row>
    <row r="78" spans="1:16" x14ac:dyDescent="0.35">
      <c r="B78" s="5" t="s">
        <v>122</v>
      </c>
    </row>
    <row r="79" spans="1:16" x14ac:dyDescent="0.35">
      <c r="A79" t="s">
        <v>123</v>
      </c>
      <c r="B79" t="s">
        <v>124</v>
      </c>
      <c r="C79" t="s">
        <v>125</v>
      </c>
      <c r="D79" s="22">
        <v>131.40899999999999</v>
      </c>
      <c r="E79" s="22">
        <v>131.40899999999999</v>
      </c>
      <c r="F79" s="22">
        <v>131.785</v>
      </c>
      <c r="G79" s="3">
        <v>146.53</v>
      </c>
      <c r="H79" s="3">
        <f>G79+IF(Value!$C$4=0,0,H170/Value!$C$4)</f>
        <v>146.53</v>
      </c>
      <c r="I79" s="3">
        <f>H79+IF(Value!$C$4=0,0,I170/Value!$C$4)</f>
        <v>146.53</v>
      </c>
      <c r="J79" s="3">
        <f>I79+IF(Value!$C$4=0,0,J170/Value!$C$4)</f>
        <v>146.53</v>
      </c>
      <c r="K79" s="3">
        <f>J79+IF(Value!$C$4=0,0,K170/Value!$C$4)</f>
        <v>146.53</v>
      </c>
      <c r="L79" s="3">
        <f>K79+IF(Value!$C$4=0,0,L170/Value!$C$4)</f>
        <v>146.53</v>
      </c>
      <c r="M79" s="3">
        <f>L79+IF(Value!$C$4=0,0,M170/Value!$C$4)</f>
        <v>146.53</v>
      </c>
      <c r="N79" s="3">
        <f>M79+IF(Value!$C$4=0,0,N170/Value!$C$4)</f>
        <v>146.53</v>
      </c>
      <c r="O79" s="3">
        <f>N79+IF(Value!$C$4=0,0,O170/Value!$C$4)</f>
        <v>146.53</v>
      </c>
      <c r="P79" s="3">
        <f>O79+IF(Value!$C$4=0,0,P170/Value!$C$4)</f>
        <v>146.53</v>
      </c>
    </row>
    <row r="80" spans="1:16" x14ac:dyDescent="0.35">
      <c r="A80" t="s">
        <v>126</v>
      </c>
      <c r="B80" t="s">
        <v>127</v>
      </c>
      <c r="C80" t="s">
        <v>125</v>
      </c>
      <c r="D80" s="22">
        <v>131.40899999999999</v>
      </c>
      <c r="E80" s="22">
        <v>131.40899999999999</v>
      </c>
      <c r="F80" s="22">
        <v>131.69499999999999</v>
      </c>
      <c r="G80" s="3">
        <f t="shared" ref="G80:P80" si="30">IF(G79=0,"",AVERAGE(F79,G79))</f>
        <v>139.1575</v>
      </c>
      <c r="H80" s="3">
        <f t="shared" si="30"/>
        <v>146.53</v>
      </c>
      <c r="I80" s="3">
        <f t="shared" si="30"/>
        <v>146.53</v>
      </c>
      <c r="J80" s="3">
        <f t="shared" si="30"/>
        <v>146.53</v>
      </c>
      <c r="K80" s="3">
        <f t="shared" si="30"/>
        <v>146.53</v>
      </c>
      <c r="L80" s="3">
        <f t="shared" si="30"/>
        <v>146.53</v>
      </c>
      <c r="M80" s="3">
        <f t="shared" si="30"/>
        <v>146.53</v>
      </c>
      <c r="N80" s="3">
        <f t="shared" si="30"/>
        <v>146.53</v>
      </c>
      <c r="O80" s="3">
        <f t="shared" si="30"/>
        <v>146.53</v>
      </c>
      <c r="P80" s="3">
        <f t="shared" si="30"/>
        <v>146.53</v>
      </c>
    </row>
    <row r="81" spans="1:16" x14ac:dyDescent="0.35">
      <c r="A81" t="s">
        <v>128</v>
      </c>
      <c r="B81" s="8" t="s">
        <v>129</v>
      </c>
      <c r="C81" t="s">
        <v>125</v>
      </c>
      <c r="D81" s="3">
        <f>D82-D80</f>
        <v>0</v>
      </c>
      <c r="E81" s="3">
        <f>E82-E80</f>
        <v>0</v>
      </c>
      <c r="F81" s="3">
        <f>F82-F80</f>
        <v>0</v>
      </c>
      <c r="G81" s="3">
        <f t="shared" ref="G81:P81" si="31">F81</f>
        <v>0</v>
      </c>
      <c r="H81" s="3">
        <f t="shared" si="31"/>
        <v>0</v>
      </c>
      <c r="I81" s="3">
        <f t="shared" si="31"/>
        <v>0</v>
      </c>
      <c r="J81" s="3">
        <f t="shared" si="31"/>
        <v>0</v>
      </c>
      <c r="K81" s="3">
        <f t="shared" si="31"/>
        <v>0</v>
      </c>
      <c r="L81" s="3">
        <f t="shared" si="31"/>
        <v>0</v>
      </c>
      <c r="M81" s="3">
        <f t="shared" si="31"/>
        <v>0</v>
      </c>
      <c r="N81" s="3">
        <f t="shared" si="31"/>
        <v>0</v>
      </c>
      <c r="O81" s="3">
        <f t="shared" si="31"/>
        <v>0</v>
      </c>
      <c r="P81" s="3">
        <f t="shared" si="31"/>
        <v>0</v>
      </c>
    </row>
    <row r="82" spans="1:16" x14ac:dyDescent="0.35">
      <c r="A82" t="s">
        <v>130</v>
      </c>
      <c r="B82" t="s">
        <v>131</v>
      </c>
      <c r="C82" t="s">
        <v>125</v>
      </c>
      <c r="D82" s="22">
        <v>131.40899999999999</v>
      </c>
      <c r="E82" s="22">
        <v>131.40899999999999</v>
      </c>
      <c r="F82" s="22">
        <v>131.69499999999999</v>
      </c>
      <c r="G82" s="3">
        <f t="shared" ref="G82:P82" si="32">G80+G81</f>
        <v>139.1575</v>
      </c>
      <c r="H82" s="3">
        <f t="shared" si="32"/>
        <v>146.53</v>
      </c>
      <c r="I82" s="3">
        <f t="shared" si="32"/>
        <v>146.53</v>
      </c>
      <c r="J82" s="3">
        <f t="shared" si="32"/>
        <v>146.53</v>
      </c>
      <c r="K82" s="3">
        <f t="shared" si="32"/>
        <v>146.53</v>
      </c>
      <c r="L82" s="3">
        <f t="shared" si="32"/>
        <v>146.53</v>
      </c>
      <c r="M82" s="3">
        <f t="shared" si="32"/>
        <v>146.53</v>
      </c>
      <c r="N82" s="3">
        <f t="shared" si="32"/>
        <v>146.53</v>
      </c>
      <c r="O82" s="3">
        <f t="shared" si="32"/>
        <v>146.53</v>
      </c>
      <c r="P82" s="3">
        <f t="shared" si="32"/>
        <v>146.53</v>
      </c>
    </row>
    <row r="84" spans="1:16" x14ac:dyDescent="0.35">
      <c r="A84" t="s">
        <v>132</v>
      </c>
      <c r="B84" s="20" t="s">
        <v>133</v>
      </c>
      <c r="C84" s="20" t="s">
        <v>134</v>
      </c>
      <c r="D84" s="23">
        <f t="shared" ref="D84:P84" si="33">IF(D82=0,"",D72/D82)</f>
        <v>0.75261207375446115</v>
      </c>
      <c r="E84" s="23">
        <f t="shared" si="33"/>
        <v>0.30439315419796237</v>
      </c>
      <c r="F84" s="23">
        <f t="shared" si="33"/>
        <v>0.13516078818482097</v>
      </c>
      <c r="G84" s="23">
        <f t="shared" si="33"/>
        <v>0.24947211349623555</v>
      </c>
      <c r="H84" s="23">
        <f t="shared" si="33"/>
        <v>0.34164522582103163</v>
      </c>
      <c r="I84" s="23">
        <f t="shared" si="33"/>
        <v>0.41324504081935948</v>
      </c>
      <c r="J84" s="23">
        <f t="shared" si="33"/>
        <v>0.49011030476201006</v>
      </c>
      <c r="K84" s="23">
        <f t="shared" si="33"/>
        <v>0.57211248230291278</v>
      </c>
      <c r="L84" s="23">
        <f t="shared" si="33"/>
        <v>0.65957965010552944</v>
      </c>
      <c r="M84" s="23">
        <f t="shared" si="33"/>
        <v>0.75285648681454009</v>
      </c>
      <c r="N84" s="23">
        <f t="shared" si="33"/>
        <v>0.85230550221045187</v>
      </c>
      <c r="O84" s="23">
        <f t="shared" si="33"/>
        <v>0.95830829862467226</v>
      </c>
      <c r="P84" s="23">
        <f t="shared" si="33"/>
        <v>1.0712668710684108</v>
      </c>
    </row>
    <row r="85" spans="1:16" x14ac:dyDescent="0.35">
      <c r="A85" t="s">
        <v>135</v>
      </c>
      <c r="B85" s="8" t="s">
        <v>136</v>
      </c>
      <c r="C85" t="s">
        <v>134</v>
      </c>
      <c r="D85" s="9">
        <f t="shared" ref="D85:P85" si="34">IF(D82=0,"",D74/D82)</f>
        <v>0.69782130599882797</v>
      </c>
      <c r="E85" s="9">
        <f t="shared" si="34"/>
        <v>0.30439315419796237</v>
      </c>
      <c r="F85" s="9">
        <f t="shared" si="34"/>
        <v>0.11845552222939366</v>
      </c>
      <c r="G85" s="9">
        <f t="shared" si="34"/>
        <v>0.24444184204122951</v>
      </c>
      <c r="H85" s="9">
        <f t="shared" si="34"/>
        <v>0.34164522582103163</v>
      </c>
      <c r="I85" s="9">
        <f t="shared" si="34"/>
        <v>0.41324504081935948</v>
      </c>
      <c r="J85" s="9">
        <f t="shared" si="34"/>
        <v>0.49011030476201006</v>
      </c>
      <c r="K85" s="9">
        <f t="shared" si="34"/>
        <v>0.57211248230291278</v>
      </c>
      <c r="L85" s="9">
        <f t="shared" si="34"/>
        <v>0.65957965010552944</v>
      </c>
      <c r="M85" s="9">
        <f t="shared" si="34"/>
        <v>0.75285648681454009</v>
      </c>
      <c r="N85" s="9">
        <f t="shared" si="34"/>
        <v>0.85230550221045187</v>
      </c>
      <c r="O85" s="9">
        <f t="shared" si="34"/>
        <v>0.95830829862467226</v>
      </c>
      <c r="P85" s="9">
        <f t="shared" si="34"/>
        <v>1.0712668710684108</v>
      </c>
    </row>
    <row r="86" spans="1:16" x14ac:dyDescent="0.35">
      <c r="B86" t="s">
        <v>137</v>
      </c>
      <c r="C86" t="s">
        <v>28</v>
      </c>
      <c r="D86" s="6"/>
      <c r="E86" s="6">
        <f t="shared" ref="E86:P86" si="35">IF(D84=0,"",E84/D84-1)</f>
        <v>-0.59555106167846272</v>
      </c>
      <c r="F86" s="6">
        <f t="shared" si="35"/>
        <v>-0.55596639963552197</v>
      </c>
      <c r="G86" s="6">
        <f t="shared" si="35"/>
        <v>0.84574325769026659</v>
      </c>
      <c r="H86" s="6">
        <f t="shared" si="35"/>
        <v>0.36947260771167101</v>
      </c>
      <c r="I86" s="6">
        <f t="shared" si="35"/>
        <v>0.2095735856582257</v>
      </c>
      <c r="J86" s="6">
        <f t="shared" si="35"/>
        <v>0.18600408075132946</v>
      </c>
      <c r="K86" s="6">
        <f t="shared" si="35"/>
        <v>0.16731371845103671</v>
      </c>
      <c r="L86" s="6">
        <f t="shared" si="35"/>
        <v>0.1528845646760526</v>
      </c>
      <c r="M86" s="6">
        <f t="shared" si="35"/>
        <v>0.14141860910063975</v>
      </c>
      <c r="N86" s="6">
        <f t="shared" si="35"/>
        <v>0.13209558147887779</v>
      </c>
      <c r="O86" s="6">
        <f t="shared" si="35"/>
        <v>0.12437183162528287</v>
      </c>
      <c r="P86" s="6">
        <f t="shared" si="35"/>
        <v>0.11787289393804934</v>
      </c>
    </row>
    <row r="88" spans="1:16" x14ac:dyDescent="0.35">
      <c r="A88" t="s">
        <v>138</v>
      </c>
      <c r="B88" t="s">
        <v>139</v>
      </c>
      <c r="C88" t="s">
        <v>134</v>
      </c>
      <c r="D88" s="24">
        <v>0.55000000000000004</v>
      </c>
      <c r="E88" s="24">
        <v>0.24</v>
      </c>
      <c r="F88" s="24">
        <v>0.06</v>
      </c>
      <c r="G88" s="9">
        <f t="shared" ref="G88:P88" si="36">G90*G84</f>
        <v>0.11074459546141599</v>
      </c>
      <c r="H88" s="9">
        <f t="shared" si="36"/>
        <v>0.15166168993651943</v>
      </c>
      <c r="I88" s="9">
        <f t="shared" si="36"/>
        <v>0.18344597410350186</v>
      </c>
      <c r="J88" s="9">
        <f t="shared" si="36"/>
        <v>0.21756767388415593</v>
      </c>
      <c r="K88" s="9">
        <f t="shared" si="36"/>
        <v>0.25396973041645654</v>
      </c>
      <c r="L88" s="9">
        <f t="shared" si="36"/>
        <v>0.29279778209207091</v>
      </c>
      <c r="M88" s="9">
        <f t="shared" si="36"/>
        <v>0.33420483718328381</v>
      </c>
      <c r="N88" s="9">
        <f t="shared" si="36"/>
        <v>0.37835181948406338</v>
      </c>
      <c r="O88" s="9">
        <f t="shared" si="36"/>
        <v>0.42540812827205471</v>
      </c>
      <c r="P88" s="9">
        <f t="shared" si="36"/>
        <v>0.4755522154562507</v>
      </c>
    </row>
    <row r="89" spans="1:16" x14ac:dyDescent="0.35">
      <c r="A89" t="s">
        <v>140</v>
      </c>
      <c r="B89" s="8" t="s">
        <v>141</v>
      </c>
      <c r="C89" t="s">
        <v>22</v>
      </c>
      <c r="D89" s="4">
        <f t="shared" ref="D89:P89" si="37">D88*D80</f>
        <v>72.274950000000004</v>
      </c>
      <c r="E89" s="4">
        <f t="shared" si="37"/>
        <v>31.538159999999998</v>
      </c>
      <c r="F89" s="4">
        <f t="shared" si="37"/>
        <v>7.9016999999999991</v>
      </c>
      <c r="G89" s="4">
        <f t="shared" si="37"/>
        <v>15.410941042921996</v>
      </c>
      <c r="H89" s="4">
        <f t="shared" si="37"/>
        <v>22.222987426398191</v>
      </c>
      <c r="I89" s="4">
        <f t="shared" si="37"/>
        <v>26.880338585386127</v>
      </c>
      <c r="J89" s="4">
        <f t="shared" si="37"/>
        <v>31.880191254245368</v>
      </c>
      <c r="K89" s="4">
        <f t="shared" si="37"/>
        <v>37.214184597923378</v>
      </c>
      <c r="L89" s="4">
        <f t="shared" si="37"/>
        <v>42.903659009951149</v>
      </c>
      <c r="M89" s="4">
        <f t="shared" si="37"/>
        <v>48.971034792466575</v>
      </c>
      <c r="N89" s="4">
        <f t="shared" si="37"/>
        <v>55.439892108999807</v>
      </c>
      <c r="O89" s="4">
        <f t="shared" si="37"/>
        <v>62.335053035704178</v>
      </c>
      <c r="P89" s="4">
        <f t="shared" si="37"/>
        <v>69.682666130804421</v>
      </c>
    </row>
    <row r="90" spans="1:16" x14ac:dyDescent="0.35">
      <c r="B90" s="25" t="s">
        <v>142</v>
      </c>
      <c r="C90" t="s">
        <v>48</v>
      </c>
      <c r="D90" s="6">
        <f>IF(D84=0,"",D88/D84)</f>
        <v>0.73078816986855422</v>
      </c>
      <c r="E90" s="6">
        <f>IF(E84=0,"",E88/E84)</f>
        <v>0.78845399999999921</v>
      </c>
      <c r="F90" s="6">
        <f>IF(F84=0,"",F88/F84)</f>
        <v>0.44391573033707871</v>
      </c>
      <c r="G90" s="26">
        <f t="shared" ref="G90:P90" si="38">F90</f>
        <v>0.44391573033707871</v>
      </c>
      <c r="H90" s="26">
        <f t="shared" si="38"/>
        <v>0.44391573033707871</v>
      </c>
      <c r="I90" s="26">
        <f t="shared" si="38"/>
        <v>0.44391573033707871</v>
      </c>
      <c r="J90" s="26">
        <f t="shared" si="38"/>
        <v>0.44391573033707871</v>
      </c>
      <c r="K90" s="26">
        <f t="shared" si="38"/>
        <v>0.44391573033707871</v>
      </c>
      <c r="L90" s="26">
        <f t="shared" si="38"/>
        <v>0.44391573033707871</v>
      </c>
      <c r="M90" s="26">
        <f t="shared" si="38"/>
        <v>0.44391573033707871</v>
      </c>
      <c r="N90" s="26">
        <f t="shared" si="38"/>
        <v>0.44391573033707871</v>
      </c>
      <c r="O90" s="26">
        <f t="shared" si="38"/>
        <v>0.44391573033707871</v>
      </c>
      <c r="P90" s="26">
        <f t="shared" si="38"/>
        <v>0.44391573033707871</v>
      </c>
    </row>
    <row r="91" spans="1:16" x14ac:dyDescent="0.35">
      <c r="B91" t="s">
        <v>143</v>
      </c>
      <c r="C91" t="s">
        <v>48</v>
      </c>
      <c r="D91" s="6">
        <f>IF(Value!$C$4=0,"",D88/Value!$C$4)</f>
        <v>6.9532237673830599E-2</v>
      </c>
      <c r="E91" s="6">
        <f>IF(Value!$C$4=0,"",E88/Value!$C$4)</f>
        <v>3.0341340075853349E-2</v>
      </c>
      <c r="F91" s="6">
        <f>IF(Value!$C$4=0,"",F88/Value!$C$4)</f>
        <v>7.5853350189633373E-3</v>
      </c>
      <c r="G91" s="6">
        <f>IF(Value!$C$4=0,"",G88/Value!$C$4)</f>
        <v>1.4000580968573449E-2</v>
      </c>
      <c r="H91" s="6">
        <f>IF(Value!$C$4=0,"",H88/Value!$C$4)</f>
        <v>1.9173412128510675E-2</v>
      </c>
      <c r="I91" s="6">
        <f>IF(Value!$C$4=0,"",I88/Value!$C$4)</f>
        <v>2.3191652857585569E-2</v>
      </c>
      <c r="J91" s="6">
        <f>IF(Value!$C$4=0,"",J88/Value!$C$4)</f>
        <v>2.7505394928464721E-2</v>
      </c>
      <c r="K91" s="6">
        <f>IF(Value!$C$4=0,"",K88/Value!$C$4)</f>
        <v>3.2107424831410436E-2</v>
      </c>
      <c r="L91" s="6">
        <f>IF(Value!$C$4=0,"",L88/Value!$C$4)</f>
        <v>3.7016154499629694E-2</v>
      </c>
      <c r="M91" s="6">
        <f>IF(Value!$C$4=0,"",M88/Value!$C$4)</f>
        <v>4.2250927583221722E-2</v>
      </c>
      <c r="N91" s="6">
        <f>IF(Value!$C$4=0,"",N88/Value!$C$4)</f>
        <v>4.7832088430349355E-2</v>
      </c>
      <c r="O91" s="6">
        <f>IF(Value!$C$4=0,"",O88/Value!$C$4)</f>
        <v>5.3781052878894398E-2</v>
      </c>
      <c r="P91" s="6">
        <f>IF(Value!$C$4=0,"",P88/Value!$C$4)</f>
        <v>6.0120381220764942E-2</v>
      </c>
    </row>
    <row r="92" spans="1:16" x14ac:dyDescent="0.35">
      <c r="B92" t="s">
        <v>144</v>
      </c>
      <c r="C92" t="s">
        <v>28</v>
      </c>
      <c r="D92" s="6"/>
      <c r="E92" s="6">
        <f t="shared" ref="E92:P92" si="39">IF(D88=0,"",E88/D88-1)</f>
        <v>-0.56363636363636371</v>
      </c>
      <c r="F92" s="6">
        <f t="shared" si="39"/>
        <v>-0.75</v>
      </c>
      <c r="G92" s="6">
        <f t="shared" si="39"/>
        <v>0.84574325769026659</v>
      </c>
      <c r="H92" s="6">
        <f t="shared" si="39"/>
        <v>0.36947260771167101</v>
      </c>
      <c r="I92" s="6">
        <f t="shared" si="39"/>
        <v>0.2095735856582257</v>
      </c>
      <c r="J92" s="6">
        <f t="shared" si="39"/>
        <v>0.18600408075132968</v>
      </c>
      <c r="K92" s="6">
        <f t="shared" si="39"/>
        <v>0.16731371845103649</v>
      </c>
      <c r="L92" s="6">
        <f t="shared" si="39"/>
        <v>0.1528845646760526</v>
      </c>
      <c r="M92" s="6">
        <f t="shared" si="39"/>
        <v>0.14141860910063975</v>
      </c>
      <c r="N92" s="6">
        <f t="shared" si="39"/>
        <v>0.13209558147887779</v>
      </c>
      <c r="O92" s="6">
        <f t="shared" si="39"/>
        <v>0.12437183162528287</v>
      </c>
      <c r="P92" s="6">
        <f t="shared" si="39"/>
        <v>0.11787289393804934</v>
      </c>
    </row>
    <row r="94" spans="1:16" x14ac:dyDescent="0.35">
      <c r="A94" s="27"/>
      <c r="B94" s="28" t="s">
        <v>145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</row>
    <row r="95" spans="1:16" x14ac:dyDescent="0.35">
      <c r="A95" t="s">
        <v>146</v>
      </c>
      <c r="B95" t="s">
        <v>147</v>
      </c>
      <c r="C95" t="s">
        <v>148</v>
      </c>
      <c r="D95" s="19">
        <v>182.8</v>
      </c>
      <c r="E95" s="19">
        <v>162</v>
      </c>
      <c r="F95" s="19">
        <v>152.69999999999999</v>
      </c>
      <c r="G95" s="4">
        <f>INDEX('HY &amp; Segments'!$A:$AG,MATCH($A95,'HY &amp; Segments'!$A:$A,0),MATCH("1H"&amp;RIGHT(G$1,2),'HY &amp; Segments'!$3:$3,0))+INDEX('HY &amp; Segments'!$A:$AG,MATCH($A95,'HY &amp; Segments'!$A:$A,0),MATCH("2H"&amp;RIGHT(G$1,2),'HY &amp; Segments'!$3:$3,0))</f>
        <v>189.268</v>
      </c>
      <c r="H95" s="4">
        <f>INDEX('HY &amp; Segments'!$A:$AG,MATCH($A95,'HY &amp; Segments'!$A:$A,0),MATCH("1H"&amp;RIGHT(H$1,2),'HY &amp; Segments'!$3:$3,0))+INDEX('HY &amp; Segments'!$A:$AG,MATCH($A95,'HY &amp; Segments'!$A:$A,0),MATCH("2H"&amp;RIGHT(H$1,2),'HY &amp; Segments'!$3:$3,0))</f>
        <v>205.94604000000001</v>
      </c>
      <c r="I95" s="4">
        <f>INDEX('HY &amp; Segments'!$A:$AG,MATCH($A95,'HY &amp; Segments'!$A:$A,0),MATCH("1H"&amp;RIGHT(I$1,2),'HY &amp; Segments'!$3:$3,0))+INDEX('HY &amp; Segments'!$A:$AG,MATCH($A95,'HY &amp; Segments'!$A:$A,0),MATCH("2H"&amp;RIGHT(I$1,2),'HY &amp; Segments'!$3:$3,0))</f>
        <v>212.12442120000003</v>
      </c>
      <c r="J95" s="4">
        <f>INDEX('HY &amp; Segments'!$A:$AG,MATCH($A95,'HY &amp; Segments'!$A:$A,0),MATCH("1H"&amp;RIGHT(J$1,2),'HY &amp; Segments'!$3:$3,0))+INDEX('HY &amp; Segments'!$A:$AG,MATCH($A95,'HY &amp; Segments'!$A:$A,0),MATCH("2H"&amp;RIGHT(J$1,2),'HY &amp; Segments'!$3:$3,0))</f>
        <v>218.48815383600004</v>
      </c>
      <c r="K95" s="4">
        <f>INDEX('HY &amp; Segments'!$A:$AG,MATCH($A95,'HY &amp; Segments'!$A:$A,0),MATCH("1H"&amp;RIGHT(K$1,2),'HY &amp; Segments'!$3:$3,0))+INDEX('HY &amp; Segments'!$A:$AG,MATCH($A95,'HY &amp; Segments'!$A:$A,0),MATCH("2H"&amp;RIGHT(K$1,2),'HY &amp; Segments'!$3:$3,0))</f>
        <v>225.04279845108005</v>
      </c>
      <c r="L95" s="4">
        <f>INDEX('HY &amp; Segments'!$A:$AG,MATCH($A95,'HY &amp; Segments'!$A:$A,0),MATCH("1H"&amp;RIGHT(L$1,2),'HY &amp; Segments'!$3:$3,0))+INDEX('HY &amp; Segments'!$A:$AG,MATCH($A95,'HY &amp; Segments'!$A:$A,0),MATCH("2H"&amp;RIGHT(L$1,2),'HY &amp; Segments'!$3:$3,0))</f>
        <v>231.79408240461242</v>
      </c>
      <c r="M95" s="4">
        <f>INDEX('HY &amp; Segments'!$A:$AG,MATCH($A95,'HY &amp; Segments'!$A:$A,0),MATCH("1H"&amp;RIGHT(M$1,2),'HY &amp; Segments'!$3:$3,0))+INDEX('HY &amp; Segments'!$A:$AG,MATCH($A95,'HY &amp; Segments'!$A:$A,0),MATCH("2H"&amp;RIGHT(M$1,2),'HY &amp; Segments'!$3:$3,0))</f>
        <v>238.74790487675082</v>
      </c>
      <c r="N95" s="4">
        <f>INDEX('HY &amp; Segments'!$A:$AG,MATCH($A95,'HY &amp; Segments'!$A:$A,0),MATCH("1H"&amp;RIGHT(N$1,2),'HY &amp; Segments'!$3:$3,0))+INDEX('HY &amp; Segments'!$A:$AG,MATCH($A95,'HY &amp; Segments'!$A:$A,0),MATCH("2H"&amp;RIGHT(N$1,2),'HY &amp; Segments'!$3:$3,0))</f>
        <v>245.91034202305335</v>
      </c>
      <c r="O95" s="4">
        <f>INDEX('HY &amp; Segments'!$A:$AG,MATCH($A95,'HY &amp; Segments'!$A:$A,0),MATCH("1H"&amp;RIGHT(O$1,2),'HY &amp; Segments'!$3:$3,0))+INDEX('HY &amp; Segments'!$A:$AG,MATCH($A95,'HY &amp; Segments'!$A:$A,0),MATCH("2H"&amp;RIGHT(O$1,2),'HY &amp; Segments'!$3:$3,0))</f>
        <v>253.28765228374493</v>
      </c>
      <c r="P95" s="4">
        <f>INDEX('HY &amp; Segments'!$A:$AG,MATCH($A95,'HY &amp; Segments'!$A:$A,0),MATCH("1H"&amp;RIGHT(P$1,2),'HY &amp; Segments'!$3:$3,0))+INDEX('HY &amp; Segments'!$A:$AG,MATCH($A95,'HY &amp; Segments'!$A:$A,0),MATCH("2H"&amp;RIGHT(P$1,2),'HY &amp; Segments'!$3:$3,0))</f>
        <v>260.8862818522573</v>
      </c>
    </row>
    <row r="96" spans="1:16" x14ac:dyDescent="0.35">
      <c r="A96" t="s">
        <v>149</v>
      </c>
      <c r="B96" t="s">
        <v>150</v>
      </c>
      <c r="C96" t="s">
        <v>148</v>
      </c>
      <c r="D96" s="19">
        <v>68.599999999999994</v>
      </c>
      <c r="E96" s="19">
        <v>66.5</v>
      </c>
      <c r="F96" s="19">
        <v>61.1</v>
      </c>
      <c r="G96" s="4">
        <f>INDEX('HY &amp; Segments'!$A:$AG,MATCH($A96,'HY &amp; Segments'!$A:$A,0),MATCH("1H"&amp;RIGHT(G$1,2),'HY &amp; Segments'!$3:$3,0))+INDEX('HY &amp; Segments'!$A:$AG,MATCH($A96,'HY &amp; Segments'!$A:$A,0),MATCH("2H"&amp;RIGHT(G$1,2),'HY &amp; Segments'!$3:$3,0))</f>
        <v>61.367000000000004</v>
      </c>
      <c r="H96" s="4">
        <f>INDEX('HY &amp; Segments'!$A:$AG,MATCH($A96,'HY &amp; Segments'!$A:$A,0),MATCH("1H"&amp;RIGHT(H$1,2),'HY &amp; Segments'!$3:$3,0))+INDEX('HY &amp; Segments'!$A:$AG,MATCH($A96,'HY &amp; Segments'!$A:$A,0),MATCH("2H"&amp;RIGHT(H$1,2),'HY &amp; Segments'!$3:$3,0))</f>
        <v>63.208010000000002</v>
      </c>
      <c r="I96" s="4">
        <f>INDEX('HY &amp; Segments'!$A:$AG,MATCH($A96,'HY &amp; Segments'!$A:$A,0),MATCH("1H"&amp;RIGHT(I$1,2),'HY &amp; Segments'!$3:$3,0))+INDEX('HY &amp; Segments'!$A:$AG,MATCH($A96,'HY &amp; Segments'!$A:$A,0),MATCH("2H"&amp;RIGHT(I$1,2),'HY &amp; Segments'!$3:$3,0))</f>
        <v>65.104250300000004</v>
      </c>
      <c r="J96" s="4">
        <f>INDEX('HY &amp; Segments'!$A:$AG,MATCH($A96,'HY &amp; Segments'!$A:$A,0),MATCH("1H"&amp;RIGHT(J$1,2),'HY &amp; Segments'!$3:$3,0))+INDEX('HY &amp; Segments'!$A:$AG,MATCH($A96,'HY &amp; Segments'!$A:$A,0),MATCH("2H"&amp;RIGHT(J$1,2),'HY &amp; Segments'!$3:$3,0))</f>
        <v>67.057377809000002</v>
      </c>
      <c r="K96" s="4">
        <f>INDEX('HY &amp; Segments'!$A:$AG,MATCH($A96,'HY &amp; Segments'!$A:$A,0),MATCH("1H"&amp;RIGHT(K$1,2),'HY &amp; Segments'!$3:$3,0))+INDEX('HY &amp; Segments'!$A:$AG,MATCH($A96,'HY &amp; Segments'!$A:$A,0),MATCH("2H"&amp;RIGHT(K$1,2),'HY &amp; Segments'!$3:$3,0))</f>
        <v>69.069099143270009</v>
      </c>
      <c r="L96" s="4">
        <f>INDEX('HY &amp; Segments'!$A:$AG,MATCH($A96,'HY &amp; Segments'!$A:$A,0),MATCH("1H"&amp;RIGHT(L$1,2),'HY &amp; Segments'!$3:$3,0))+INDEX('HY &amp; Segments'!$A:$AG,MATCH($A96,'HY &amp; Segments'!$A:$A,0),MATCH("2H"&amp;RIGHT(L$1,2),'HY &amp; Segments'!$3:$3,0))</f>
        <v>71.141172117568118</v>
      </c>
      <c r="M96" s="4">
        <f>INDEX('HY &amp; Segments'!$A:$AG,MATCH($A96,'HY &amp; Segments'!$A:$A,0),MATCH("1H"&amp;RIGHT(M$1,2),'HY &amp; Segments'!$3:$3,0))+INDEX('HY &amp; Segments'!$A:$AG,MATCH($A96,'HY &amp; Segments'!$A:$A,0),MATCH("2H"&amp;RIGHT(M$1,2),'HY &amp; Segments'!$3:$3,0))</f>
        <v>73.275407281095156</v>
      </c>
      <c r="N96" s="4">
        <f>INDEX('HY &amp; Segments'!$A:$AG,MATCH($A96,'HY &amp; Segments'!$A:$A,0),MATCH("1H"&amp;RIGHT(N$1,2),'HY &amp; Segments'!$3:$3,0))+INDEX('HY &amp; Segments'!$A:$AG,MATCH($A96,'HY &amp; Segments'!$A:$A,0),MATCH("2H"&amp;RIGHT(N$1,2),'HY &amp; Segments'!$3:$3,0))</f>
        <v>75.473669499528015</v>
      </c>
      <c r="O96" s="4">
        <f>INDEX('HY &amp; Segments'!$A:$AG,MATCH($A96,'HY &amp; Segments'!$A:$A,0),MATCH("1H"&amp;RIGHT(O$1,2),'HY &amp; Segments'!$3:$3,0))+INDEX('HY &amp; Segments'!$A:$AG,MATCH($A96,'HY &amp; Segments'!$A:$A,0),MATCH("2H"&amp;RIGHT(O$1,2),'HY &amp; Segments'!$3:$3,0))</f>
        <v>77.737879584513848</v>
      </c>
      <c r="P96" s="4">
        <f>INDEX('HY &amp; Segments'!$A:$AG,MATCH($A96,'HY &amp; Segments'!$A:$A,0),MATCH("1H"&amp;RIGHT(P$1,2),'HY &amp; Segments'!$3:$3,0))+INDEX('HY &amp; Segments'!$A:$AG,MATCH($A96,'HY &amp; Segments'!$A:$A,0),MATCH("2H"&amp;RIGHT(P$1,2),'HY &amp; Segments'!$3:$3,0))</f>
        <v>80.070015972049276</v>
      </c>
    </row>
    <row r="97" spans="1:16" x14ac:dyDescent="0.35">
      <c r="A97" t="s">
        <v>151</v>
      </c>
      <c r="B97" s="8" t="s">
        <v>152</v>
      </c>
      <c r="C97" t="s">
        <v>148</v>
      </c>
      <c r="D97" s="4">
        <f t="shared" ref="D97:P97" si="40">D95+D96</f>
        <v>251.4</v>
      </c>
      <c r="E97" s="4">
        <f t="shared" si="40"/>
        <v>228.5</v>
      </c>
      <c r="F97" s="4">
        <f t="shared" si="40"/>
        <v>213.79999999999998</v>
      </c>
      <c r="G97" s="4">
        <f t="shared" si="40"/>
        <v>250.63499999999999</v>
      </c>
      <c r="H97" s="4">
        <f t="shared" si="40"/>
        <v>269.15404999999998</v>
      </c>
      <c r="I97" s="4">
        <f t="shared" si="40"/>
        <v>277.22867150000002</v>
      </c>
      <c r="J97" s="4">
        <f t="shared" si="40"/>
        <v>285.54553164500004</v>
      </c>
      <c r="K97" s="4">
        <f t="shared" si="40"/>
        <v>294.11189759435007</v>
      </c>
      <c r="L97" s="4">
        <f t="shared" si="40"/>
        <v>302.93525452218057</v>
      </c>
      <c r="M97" s="4">
        <f t="shared" si="40"/>
        <v>312.02331215784596</v>
      </c>
      <c r="N97" s="4">
        <f t="shared" si="40"/>
        <v>321.38401152258137</v>
      </c>
      <c r="O97" s="4">
        <f t="shared" si="40"/>
        <v>331.02553186825878</v>
      </c>
      <c r="P97" s="4">
        <f t="shared" si="40"/>
        <v>340.9562978243066</v>
      </c>
    </row>
    <row r="98" spans="1:16" x14ac:dyDescent="0.35">
      <c r="A98" t="s">
        <v>153</v>
      </c>
      <c r="B98" s="8" t="s">
        <v>154</v>
      </c>
      <c r="C98" t="s">
        <v>155</v>
      </c>
      <c r="D98" s="29">
        <f t="shared" ref="D98:P98" si="41">IF(D95=0,"",D7/D95*1000)</f>
        <v>3262.0350109409183</v>
      </c>
      <c r="E98" s="29">
        <f t="shared" si="41"/>
        <v>2909.2592592592596</v>
      </c>
      <c r="F98" s="29">
        <f t="shared" si="41"/>
        <v>2683.0386378519979</v>
      </c>
      <c r="G98" s="29">
        <f t="shared" si="41"/>
        <v>2816.2989970382132</v>
      </c>
      <c r="H98" s="29">
        <f t="shared" si="41"/>
        <v>2893.2730122553435</v>
      </c>
      <c r="I98" s="29">
        <f t="shared" si="41"/>
        <v>2965.604837561727</v>
      </c>
      <c r="J98" s="29">
        <f t="shared" si="41"/>
        <v>3039.7449585007698</v>
      </c>
      <c r="K98" s="29">
        <f t="shared" si="41"/>
        <v>3115.7385824632888</v>
      </c>
      <c r="L98" s="29">
        <f t="shared" si="41"/>
        <v>3193.6320470248716</v>
      </c>
      <c r="M98" s="29">
        <f t="shared" si="41"/>
        <v>3273.4728482004925</v>
      </c>
      <c r="N98" s="29">
        <f t="shared" si="41"/>
        <v>3355.3096694055048</v>
      </c>
      <c r="O98" s="29">
        <f t="shared" si="41"/>
        <v>3439.192411140642</v>
      </c>
      <c r="P98" s="29">
        <f t="shared" si="41"/>
        <v>3525.1722214191577</v>
      </c>
    </row>
    <row r="99" spans="1:16" x14ac:dyDescent="0.35">
      <c r="A99" t="s">
        <v>156</v>
      </c>
      <c r="B99" s="8" t="s">
        <v>157</v>
      </c>
      <c r="C99" t="s">
        <v>155</v>
      </c>
      <c r="D99" s="29">
        <f t="shared" ref="D99:P99" si="42">IF(D96=0,"",D8/D96*1000)</f>
        <v>9454.8104956268235</v>
      </c>
      <c r="E99" s="29">
        <f t="shared" si="42"/>
        <v>8917.2932330827061</v>
      </c>
      <c r="F99" s="29">
        <f t="shared" si="42"/>
        <v>8811.7839607201313</v>
      </c>
      <c r="G99" s="29">
        <f t="shared" si="42"/>
        <v>8839.1639643456565</v>
      </c>
      <c r="H99" s="29">
        <f t="shared" si="42"/>
        <v>9060.1430634542976</v>
      </c>
      <c r="I99" s="29">
        <f t="shared" si="42"/>
        <v>9286.6466400406553</v>
      </c>
      <c r="J99" s="29">
        <f t="shared" si="42"/>
        <v>9518.8128060416711</v>
      </c>
      <c r="K99" s="29">
        <f t="shared" si="42"/>
        <v>9756.7831261927095</v>
      </c>
      <c r="L99" s="29">
        <f t="shared" si="42"/>
        <v>10000.702704347528</v>
      </c>
      <c r="M99" s="29">
        <f t="shared" si="42"/>
        <v>10250.720271956216</v>
      </c>
      <c r="N99" s="29">
        <f t="shared" si="42"/>
        <v>10506.988278755118</v>
      </c>
      <c r="O99" s="29">
        <f t="shared" si="42"/>
        <v>10769.662985723999</v>
      </c>
      <c r="P99" s="29">
        <f t="shared" si="42"/>
        <v>11038.904560367097</v>
      </c>
    </row>
    <row r="100" spans="1:16" x14ac:dyDescent="0.35">
      <c r="A100" t="s">
        <v>158</v>
      </c>
      <c r="B100" s="8" t="s">
        <v>159</v>
      </c>
      <c r="C100" t="s">
        <v>155</v>
      </c>
      <c r="D100" s="29">
        <f t="shared" ref="D100:P100" si="43">IF(D95=0,"",D19/D95*1000)</f>
        <v>1017.7549234135668</v>
      </c>
      <c r="E100" s="29">
        <f t="shared" si="43"/>
        <v>887.03703703703695</v>
      </c>
      <c r="F100" s="29">
        <f t="shared" si="43"/>
        <v>780.61558611656847</v>
      </c>
      <c r="G100" s="29">
        <f t="shared" si="43"/>
        <v>836.48251958631909</v>
      </c>
      <c r="H100" s="29">
        <f t="shared" si="43"/>
        <v>859.66406401793779</v>
      </c>
      <c r="I100" s="29">
        <f t="shared" si="43"/>
        <v>881.15566561838637</v>
      </c>
      <c r="J100" s="29">
        <f t="shared" si="43"/>
        <v>903.18455725884587</v>
      </c>
      <c r="K100" s="29">
        <f t="shared" si="43"/>
        <v>925.7641711903168</v>
      </c>
      <c r="L100" s="29">
        <f t="shared" si="43"/>
        <v>948.90827547007495</v>
      </c>
      <c r="M100" s="29">
        <f t="shared" si="43"/>
        <v>972.63098235682662</v>
      </c>
      <c r="N100" s="29">
        <f t="shared" si="43"/>
        <v>996.9467569157473</v>
      </c>
      <c r="O100" s="29">
        <f t="shared" si="43"/>
        <v>1021.870425838641</v>
      </c>
      <c r="P100" s="29">
        <f t="shared" si="43"/>
        <v>1047.4171864846066</v>
      </c>
    </row>
    <row r="101" spans="1:16" x14ac:dyDescent="0.35">
      <c r="A101" t="s">
        <v>160</v>
      </c>
      <c r="B101" s="8" t="s">
        <v>161</v>
      </c>
      <c r="C101" t="s">
        <v>155</v>
      </c>
      <c r="D101" s="29">
        <f t="shared" ref="D101:P101" si="44">IF(D96=0,"",D20/D96*1000)</f>
        <v>3753.5597667638494</v>
      </c>
      <c r="E101" s="29">
        <f t="shared" si="44"/>
        <v>3272.1804511278201</v>
      </c>
      <c r="F101" s="29">
        <f t="shared" si="44"/>
        <v>3366.6121112929618</v>
      </c>
      <c r="G101" s="29">
        <f t="shared" si="44"/>
        <v>3267.1948278390655</v>
      </c>
      <c r="H101" s="29">
        <f t="shared" si="44"/>
        <v>3348.8746985350422</v>
      </c>
      <c r="I101" s="29">
        <f t="shared" si="44"/>
        <v>3432.5965659984181</v>
      </c>
      <c r="J101" s="29">
        <f t="shared" si="44"/>
        <v>3518.4114801483788</v>
      </c>
      <c r="K101" s="29">
        <f t="shared" si="44"/>
        <v>3606.3717671520881</v>
      </c>
      <c r="L101" s="29">
        <f t="shared" si="44"/>
        <v>3696.5310613308889</v>
      </c>
      <c r="M101" s="29">
        <f t="shared" si="44"/>
        <v>3788.9443378641608</v>
      </c>
      <c r="N101" s="29">
        <f t="shared" si="44"/>
        <v>3883.6679463107648</v>
      </c>
      <c r="O101" s="29">
        <f t="shared" si="44"/>
        <v>3980.7596449685338</v>
      </c>
      <c r="P101" s="29">
        <f t="shared" si="44"/>
        <v>4080.2786360927471</v>
      </c>
    </row>
    <row r="102" spans="1:16" x14ac:dyDescent="0.35">
      <c r="A102" t="s">
        <v>162</v>
      </c>
      <c r="B102" t="s">
        <v>163</v>
      </c>
      <c r="C102" t="s">
        <v>164</v>
      </c>
      <c r="D102" s="30">
        <v>12108</v>
      </c>
      <c r="E102" s="29"/>
      <c r="F102" s="30">
        <v>21727</v>
      </c>
      <c r="G102" s="29"/>
      <c r="H102" s="29"/>
      <c r="I102" s="29"/>
      <c r="J102" s="29"/>
      <c r="K102" s="29"/>
      <c r="L102" s="29"/>
      <c r="M102" s="29"/>
      <c r="N102" s="29"/>
      <c r="O102" s="29"/>
      <c r="P102" s="29"/>
    </row>
    <row r="103" spans="1:16" x14ac:dyDescent="0.35">
      <c r="A103" t="s">
        <v>165</v>
      </c>
      <c r="B103" t="s">
        <v>166</v>
      </c>
      <c r="C103" t="s">
        <v>164</v>
      </c>
      <c r="D103" s="30">
        <v>1361</v>
      </c>
      <c r="E103" s="30">
        <v>1326</v>
      </c>
      <c r="F103" s="30">
        <v>1344</v>
      </c>
      <c r="G103" s="29"/>
      <c r="H103" s="29"/>
      <c r="I103" s="29"/>
      <c r="J103" s="29"/>
      <c r="K103" s="29"/>
      <c r="L103" s="29"/>
      <c r="M103" s="29"/>
      <c r="N103" s="29"/>
      <c r="O103" s="29"/>
      <c r="P103" s="29"/>
    </row>
    <row r="104" spans="1:16" x14ac:dyDescent="0.35">
      <c r="A104" t="s">
        <v>167</v>
      </c>
      <c r="B104" t="s">
        <v>168</v>
      </c>
      <c r="C104" t="s">
        <v>48</v>
      </c>
      <c r="D104" s="6"/>
      <c r="E104" s="6"/>
      <c r="F104" s="31">
        <v>0.98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x14ac:dyDescent="0.35">
      <c r="B105" s="8" t="s">
        <v>169</v>
      </c>
      <c r="C105" t="s">
        <v>22</v>
      </c>
      <c r="D105" s="4">
        <f t="shared" ref="D105:F105" si="45">IF(D103=0,"",D9/D103)</f>
        <v>0.9146950771491551</v>
      </c>
      <c r="E105" s="4">
        <f t="shared" si="45"/>
        <v>0.80263951734539962</v>
      </c>
      <c r="F105" s="4">
        <f t="shared" si="45"/>
        <v>0.70543154761904758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x14ac:dyDescent="0.35">
      <c r="B106" s="8" t="s">
        <v>170</v>
      </c>
      <c r="C106" t="s">
        <v>22</v>
      </c>
      <c r="D106" s="4">
        <f t="shared" ref="D106:F106" si="46">IF(D103=0,"",D38/D103)</f>
        <v>0.16083761939750182</v>
      </c>
      <c r="E106" s="4">
        <f t="shared" si="46"/>
        <v>0.11131221719457016</v>
      </c>
      <c r="F106" s="4">
        <f t="shared" si="46"/>
        <v>8.3333333333333329E-2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8" spans="1:16" x14ac:dyDescent="0.35">
      <c r="A108" s="2"/>
      <c r="B108" s="18" t="s">
        <v>171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B109" s="5" t="s">
        <v>172</v>
      </c>
    </row>
    <row r="110" spans="1:16" x14ac:dyDescent="0.35">
      <c r="A110" t="s">
        <v>173</v>
      </c>
      <c r="B110" t="s">
        <v>174</v>
      </c>
      <c r="C110" t="s">
        <v>22</v>
      </c>
      <c r="D110" s="19">
        <v>20.3</v>
      </c>
      <c r="E110" s="19">
        <v>24.1</v>
      </c>
      <c r="F110" s="19">
        <v>17.399999999999999</v>
      </c>
      <c r="G110" s="4">
        <f t="shared" ref="G110:P110" si="47">F110+G177</f>
        <v>25.016524419169592</v>
      </c>
      <c r="H110" s="4">
        <f t="shared" si="47"/>
        <v>21.697987827149959</v>
      </c>
      <c r="I110" s="4">
        <f t="shared" si="47"/>
        <v>34.54201900768696</v>
      </c>
      <c r="J110" s="4">
        <f t="shared" si="47"/>
        <v>53.228080144540918</v>
      </c>
      <c r="K110" s="4">
        <f t="shared" si="47"/>
        <v>78.061760671001593</v>
      </c>
      <c r="L110" s="4">
        <f t="shared" si="47"/>
        <v>109.38054265855729</v>
      </c>
      <c r="M110" s="4">
        <f t="shared" si="47"/>
        <v>147.55399083422628</v>
      </c>
      <c r="N110" s="4">
        <f t="shared" si="47"/>
        <v>192.98416193451811</v>
      </c>
      <c r="O110" s="4">
        <f t="shared" si="47"/>
        <v>246.10621933596454</v>
      </c>
      <c r="P110" s="4">
        <f t="shared" si="47"/>
        <v>307.38924145664885</v>
      </c>
    </row>
    <row r="111" spans="1:16" x14ac:dyDescent="0.35">
      <c r="A111" t="s">
        <v>175</v>
      </c>
      <c r="B111" t="s">
        <v>176</v>
      </c>
      <c r="C111" t="s">
        <v>22</v>
      </c>
      <c r="D111" s="19">
        <v>170.7</v>
      </c>
      <c r="E111" s="19">
        <v>144.80000000000001</v>
      </c>
      <c r="F111" s="19">
        <v>130.80000000000001</v>
      </c>
      <c r="G111" s="4">
        <f t="shared" ref="G111:P111" si="48">G9*G118</f>
        <v>148.37174092093963</v>
      </c>
      <c r="H111" s="4">
        <f t="shared" si="48"/>
        <v>161.21079069642394</v>
      </c>
      <c r="I111" s="4">
        <f t="shared" si="48"/>
        <v>170.19829227774957</v>
      </c>
      <c r="J111" s="4">
        <f t="shared" si="48"/>
        <v>179.68684707223412</v>
      </c>
      <c r="K111" s="4">
        <f t="shared" si="48"/>
        <v>189.70438879651113</v>
      </c>
      <c r="L111" s="4">
        <f t="shared" si="48"/>
        <v>200.28040847191664</v>
      </c>
      <c r="M111" s="4">
        <f t="shared" si="48"/>
        <v>211.44604124422597</v>
      </c>
      <c r="N111" s="4">
        <f t="shared" si="48"/>
        <v>223.23415804359155</v>
      </c>
      <c r="O111" s="4">
        <f t="shared" si="48"/>
        <v>235.67946235452177</v>
      </c>
      <c r="P111" s="4">
        <f t="shared" si="48"/>
        <v>248.81859238078636</v>
      </c>
    </row>
    <row r="112" spans="1:16" x14ac:dyDescent="0.35">
      <c r="A112" t="s">
        <v>177</v>
      </c>
      <c r="B112" t="s">
        <v>178</v>
      </c>
      <c r="C112" t="s">
        <v>22</v>
      </c>
      <c r="D112" s="19">
        <v>437.7</v>
      </c>
      <c r="E112" s="19">
        <v>360.6</v>
      </c>
      <c r="F112" s="19">
        <v>333.9</v>
      </c>
      <c r="G112" s="4">
        <f t="shared" ref="G112:P112" si="49">G9*G119</f>
        <v>378.75630193808666</v>
      </c>
      <c r="H112" s="4">
        <f t="shared" si="49"/>
        <v>411.53121569981613</v>
      </c>
      <c r="I112" s="4">
        <f t="shared" si="49"/>
        <v>434.47408097508088</v>
      </c>
      <c r="J112" s="4">
        <f t="shared" si="49"/>
        <v>458.69601098944162</v>
      </c>
      <c r="K112" s="4">
        <f t="shared" si="49"/>
        <v>484.26831360210286</v>
      </c>
      <c r="L112" s="4">
        <f t="shared" si="49"/>
        <v>511.26627208542021</v>
      </c>
      <c r="M112" s="4">
        <f t="shared" si="49"/>
        <v>539.76936675418233</v>
      </c>
      <c r="N112" s="4">
        <f t="shared" si="49"/>
        <v>569.86150895072785</v>
      </c>
      <c r="O112" s="4">
        <f t="shared" si="49"/>
        <v>601.63128807473095</v>
      </c>
      <c r="P112" s="4">
        <f t="shared" si="49"/>
        <v>635.17223238489714</v>
      </c>
    </row>
    <row r="113" spans="1:16" x14ac:dyDescent="0.35">
      <c r="A113" t="s">
        <v>179</v>
      </c>
      <c r="B113" t="s">
        <v>180</v>
      </c>
      <c r="C113" t="s">
        <v>22</v>
      </c>
      <c r="D113" s="19">
        <v>86.8</v>
      </c>
      <c r="E113" s="19">
        <v>95.7</v>
      </c>
      <c r="F113" s="19">
        <v>95.7</v>
      </c>
      <c r="G113" s="4">
        <f t="shared" ref="G113:P113" si="50">F113-G160+G48</f>
        <v>99.362461556697355</v>
      </c>
      <c r="H113" s="4">
        <f t="shared" si="50"/>
        <v>103.37307358715057</v>
      </c>
      <c r="I113" s="4">
        <f t="shared" si="50"/>
        <v>107.60727723830155</v>
      </c>
      <c r="J113" s="4">
        <f t="shared" si="50"/>
        <v>112.07753774300419</v>
      </c>
      <c r="K113" s="4">
        <f t="shared" si="50"/>
        <v>116.79701527084399</v>
      </c>
      <c r="L113" s="4">
        <f t="shared" si="50"/>
        <v>121.77960367086085</v>
      </c>
      <c r="M113" s="4">
        <f t="shared" si="50"/>
        <v>127.03997137417869</v>
      </c>
      <c r="N113" s="4">
        <f t="shared" si="50"/>
        <v>132.59360457695649</v>
      </c>
      <c r="O113" s="4">
        <f t="shared" si="50"/>
        <v>138.45685283078916</v>
      </c>
      <c r="P113" s="4">
        <f t="shared" si="50"/>
        <v>144.64697717477299</v>
      </c>
    </row>
    <row r="114" spans="1:16" x14ac:dyDescent="0.35">
      <c r="A114" t="s">
        <v>181</v>
      </c>
      <c r="B114" t="s">
        <v>182</v>
      </c>
      <c r="C114" t="s">
        <v>22</v>
      </c>
      <c r="D114" s="19">
        <v>15</v>
      </c>
      <c r="E114" s="19">
        <v>13.4</v>
      </c>
      <c r="F114" s="19">
        <v>12.1</v>
      </c>
      <c r="G114" s="4">
        <f t="shared" ref="G114:P114" si="51">F114-G162-G163</f>
        <v>99.080999999999989</v>
      </c>
      <c r="H114" s="4">
        <f t="shared" si="51"/>
        <v>99.080999999999989</v>
      </c>
      <c r="I114" s="4">
        <f t="shared" si="51"/>
        <v>99.080999999999989</v>
      </c>
      <c r="J114" s="4">
        <f t="shared" si="51"/>
        <v>99.080999999999989</v>
      </c>
      <c r="K114" s="4">
        <f t="shared" si="51"/>
        <v>99.080999999999989</v>
      </c>
      <c r="L114" s="4">
        <f t="shared" si="51"/>
        <v>99.080999999999989</v>
      </c>
      <c r="M114" s="4">
        <f t="shared" si="51"/>
        <v>99.080999999999989</v>
      </c>
      <c r="N114" s="4">
        <f t="shared" si="51"/>
        <v>99.080999999999989</v>
      </c>
      <c r="O114" s="4">
        <f t="shared" si="51"/>
        <v>99.080999999999989</v>
      </c>
      <c r="P114" s="4">
        <f t="shared" si="51"/>
        <v>99.080999999999989</v>
      </c>
    </row>
    <row r="115" spans="1:16" x14ac:dyDescent="0.35">
      <c r="A115" t="s">
        <v>183</v>
      </c>
      <c r="B115" t="s">
        <v>184</v>
      </c>
      <c r="C115" t="s">
        <v>22</v>
      </c>
      <c r="D115" s="19">
        <v>260.39999999999998</v>
      </c>
      <c r="E115" s="19">
        <v>254.7</v>
      </c>
      <c r="F115" s="19">
        <v>255</v>
      </c>
      <c r="G115" s="4">
        <f t="shared" ref="G115:P115" si="52">F115+G122+G49</f>
        <v>255.26195524146056</v>
      </c>
      <c r="H115" s="4">
        <f t="shared" si="52"/>
        <v>255.49069040322274</v>
      </c>
      <c r="I115" s="4">
        <f t="shared" si="52"/>
        <v>255.69041831832251</v>
      </c>
      <c r="J115" s="4">
        <f t="shared" si="52"/>
        <v>255.86481756574372</v>
      </c>
      <c r="K115" s="4">
        <f t="shared" si="52"/>
        <v>256.01710022230623</v>
      </c>
      <c r="L115" s="4">
        <f t="shared" si="52"/>
        <v>256.15007102253992</v>
      </c>
      <c r="M115" s="4">
        <f t="shared" si="52"/>
        <v>256.26617901614793</v>
      </c>
      <c r="N115" s="4">
        <f t="shared" si="52"/>
        <v>256.36756267448493</v>
      </c>
      <c r="O115" s="4">
        <f t="shared" si="52"/>
        <v>256.45608927681764</v>
      </c>
      <c r="P115" s="4">
        <f t="shared" si="52"/>
        <v>256.53338930178347</v>
      </c>
    </row>
    <row r="116" spans="1:16" x14ac:dyDescent="0.35">
      <c r="A116" t="s">
        <v>185</v>
      </c>
      <c r="B116" t="s">
        <v>186</v>
      </c>
      <c r="C116" t="s">
        <v>22</v>
      </c>
      <c r="D116" s="19">
        <v>13.3</v>
      </c>
      <c r="E116" s="19">
        <v>13.1</v>
      </c>
      <c r="F116" s="19">
        <v>13.8</v>
      </c>
      <c r="G116" s="4">
        <f t="shared" ref="G116:P116" si="53">F116</f>
        <v>13.8</v>
      </c>
      <c r="H116" s="4">
        <f t="shared" si="53"/>
        <v>13.8</v>
      </c>
      <c r="I116" s="4">
        <f t="shared" si="53"/>
        <v>13.8</v>
      </c>
      <c r="J116" s="4">
        <f t="shared" si="53"/>
        <v>13.8</v>
      </c>
      <c r="K116" s="4">
        <f t="shared" si="53"/>
        <v>13.8</v>
      </c>
      <c r="L116" s="4">
        <f t="shared" si="53"/>
        <v>13.8</v>
      </c>
      <c r="M116" s="4">
        <f t="shared" si="53"/>
        <v>13.8</v>
      </c>
      <c r="N116" s="4">
        <f t="shared" si="53"/>
        <v>13.8</v>
      </c>
      <c r="O116" s="4">
        <f t="shared" si="53"/>
        <v>13.8</v>
      </c>
      <c r="P116" s="4">
        <f t="shared" si="53"/>
        <v>13.8</v>
      </c>
    </row>
    <row r="117" spans="1:16" x14ac:dyDescent="0.35">
      <c r="B117" s="20" t="s">
        <v>187</v>
      </c>
      <c r="C117" s="20" t="s">
        <v>22</v>
      </c>
      <c r="D117" s="21">
        <f t="shared" ref="D117:P117" si="54">SUM(D110:D116)</f>
        <v>1004.1999999999999</v>
      </c>
      <c r="E117" s="21">
        <f t="shared" si="54"/>
        <v>906.4</v>
      </c>
      <c r="F117" s="21">
        <f t="shared" si="54"/>
        <v>858.7</v>
      </c>
      <c r="G117" s="21">
        <f t="shared" si="54"/>
        <v>1019.6499840763537</v>
      </c>
      <c r="H117" s="21">
        <f t="shared" si="54"/>
        <v>1066.1847582137632</v>
      </c>
      <c r="I117" s="21">
        <f t="shared" si="54"/>
        <v>1115.3930878171413</v>
      </c>
      <c r="J117" s="21">
        <f t="shared" si="54"/>
        <v>1172.4342935149646</v>
      </c>
      <c r="K117" s="21">
        <f t="shared" si="54"/>
        <v>1237.7295785627659</v>
      </c>
      <c r="L117" s="21">
        <f t="shared" si="54"/>
        <v>1311.7378979092948</v>
      </c>
      <c r="M117" s="21">
        <f t="shared" si="54"/>
        <v>1394.956549222961</v>
      </c>
      <c r="N117" s="21">
        <f t="shared" si="54"/>
        <v>1487.9219961802789</v>
      </c>
      <c r="O117" s="21">
        <f t="shared" si="54"/>
        <v>1591.210911872824</v>
      </c>
      <c r="P117" s="21">
        <f t="shared" si="54"/>
        <v>1705.4414326988885</v>
      </c>
    </row>
    <row r="118" spans="1:16" x14ac:dyDescent="0.35">
      <c r="B118" s="25" t="s">
        <v>188</v>
      </c>
      <c r="C118" t="s">
        <v>48</v>
      </c>
      <c r="D118" s="6">
        <f>IF(D9=0,"",D111/D9)</f>
        <v>0.13711944734516826</v>
      </c>
      <c r="E118" s="6">
        <f>IF(E9=0,"",E111/E9)</f>
        <v>0.13605186507563657</v>
      </c>
      <c r="F118" s="6">
        <f>IF(F9=0,"",F111/F9)</f>
        <v>0.1379601307878916</v>
      </c>
      <c r="G118" s="26">
        <f t="shared" ref="G118:P118" si="55">F118</f>
        <v>0.1379601307878916</v>
      </c>
      <c r="H118" s="26">
        <f t="shared" si="55"/>
        <v>0.1379601307878916</v>
      </c>
      <c r="I118" s="26">
        <f t="shared" si="55"/>
        <v>0.1379601307878916</v>
      </c>
      <c r="J118" s="26">
        <f t="shared" si="55"/>
        <v>0.1379601307878916</v>
      </c>
      <c r="K118" s="26">
        <f t="shared" si="55"/>
        <v>0.1379601307878916</v>
      </c>
      <c r="L118" s="26">
        <f t="shared" si="55"/>
        <v>0.1379601307878916</v>
      </c>
      <c r="M118" s="26">
        <f t="shared" si="55"/>
        <v>0.1379601307878916</v>
      </c>
      <c r="N118" s="26">
        <f t="shared" si="55"/>
        <v>0.1379601307878916</v>
      </c>
      <c r="O118" s="26">
        <f t="shared" si="55"/>
        <v>0.1379601307878916</v>
      </c>
      <c r="P118" s="26">
        <f t="shared" si="55"/>
        <v>0.1379601307878916</v>
      </c>
    </row>
    <row r="119" spans="1:16" x14ac:dyDescent="0.35">
      <c r="B119" s="25" t="s">
        <v>189</v>
      </c>
      <c r="C119" t="s">
        <v>48</v>
      </c>
      <c r="D119" s="6">
        <f>IF(D9=0,"",D112/D9)</f>
        <v>0.35159450558277772</v>
      </c>
      <c r="E119" s="6">
        <f>IF(E9=0,"",E112/E9)</f>
        <v>0.33881424410410604</v>
      </c>
      <c r="F119" s="6">
        <f>IF(F9=0,"",F112/F9)</f>
        <v>0.35217804029110855</v>
      </c>
      <c r="G119" s="26">
        <f t="shared" ref="G119:P119" si="56">F119</f>
        <v>0.35217804029110855</v>
      </c>
      <c r="H119" s="26">
        <f t="shared" si="56"/>
        <v>0.35217804029110855</v>
      </c>
      <c r="I119" s="26">
        <f t="shared" si="56"/>
        <v>0.35217804029110855</v>
      </c>
      <c r="J119" s="26">
        <f t="shared" si="56"/>
        <v>0.35217804029110855</v>
      </c>
      <c r="K119" s="26">
        <f t="shared" si="56"/>
        <v>0.35217804029110855</v>
      </c>
      <c r="L119" s="26">
        <f t="shared" si="56"/>
        <v>0.35217804029110855</v>
      </c>
      <c r="M119" s="26">
        <f t="shared" si="56"/>
        <v>0.35217804029110855</v>
      </c>
      <c r="N119" s="26">
        <f t="shared" si="56"/>
        <v>0.35217804029110855</v>
      </c>
      <c r="O119" s="26">
        <f t="shared" si="56"/>
        <v>0.35217804029110855</v>
      </c>
      <c r="P119" s="26">
        <f t="shared" si="56"/>
        <v>0.35217804029110855</v>
      </c>
    </row>
    <row r="120" spans="1:16" x14ac:dyDescent="0.35">
      <c r="B120" s="20" t="s">
        <v>190</v>
      </c>
      <c r="C120" s="20" t="s">
        <v>22</v>
      </c>
      <c r="D120" s="21">
        <f t="shared" ref="D120:P120" si="57">D111+D112-D125</f>
        <v>441.5</v>
      </c>
      <c r="E120" s="21">
        <f t="shared" si="57"/>
        <v>361.30000000000007</v>
      </c>
      <c r="F120" s="21">
        <f t="shared" si="57"/>
        <v>321.39999999999998</v>
      </c>
      <c r="G120" s="21">
        <f t="shared" si="57"/>
        <v>364.57704535160542</v>
      </c>
      <c r="H120" s="21">
        <f t="shared" si="57"/>
        <v>396.12498570206918</v>
      </c>
      <c r="I120" s="21">
        <f t="shared" si="57"/>
        <v>418.20895365495949</v>
      </c>
      <c r="J120" s="21">
        <f t="shared" si="57"/>
        <v>441.52410282122355</v>
      </c>
      <c r="K120" s="21">
        <f t="shared" si="57"/>
        <v>466.13907155350665</v>
      </c>
      <c r="L120" s="21">
        <f t="shared" si="57"/>
        <v>492.12632479261475</v>
      </c>
      <c r="M120" s="21">
        <f t="shared" si="57"/>
        <v>519.56236739980295</v>
      </c>
      <c r="N120" s="21">
        <f t="shared" si="57"/>
        <v>548.52796938234178</v>
      </c>
      <c r="O120" s="21">
        <f t="shared" si="57"/>
        <v>579.10840367540732</v>
      </c>
      <c r="P120" s="21">
        <f t="shared" si="57"/>
        <v>611.39369718031139</v>
      </c>
    </row>
    <row r="121" spans="1:16" x14ac:dyDescent="0.35">
      <c r="B121" s="25" t="s">
        <v>191</v>
      </c>
      <c r="C121" t="s">
        <v>48</v>
      </c>
      <c r="D121" s="6">
        <f>IF(D9=0,"",D125/D9)</f>
        <v>0.13406699333279781</v>
      </c>
      <c r="E121" s="6">
        <f>IF(E9=0,"",E125/E9)</f>
        <v>0.13539415578314384</v>
      </c>
      <c r="F121" s="6">
        <f>IF(F9=0,"",F125/F9)</f>
        <v>0.15114439405126046</v>
      </c>
      <c r="G121" s="26">
        <f t="shared" ref="G121:P121" si="58">F121</f>
        <v>0.15114439405126046</v>
      </c>
      <c r="H121" s="26">
        <f t="shared" si="58"/>
        <v>0.15114439405126046</v>
      </c>
      <c r="I121" s="26">
        <f t="shared" si="58"/>
        <v>0.15114439405126046</v>
      </c>
      <c r="J121" s="26">
        <f t="shared" si="58"/>
        <v>0.15114439405126046</v>
      </c>
      <c r="K121" s="26">
        <f t="shared" si="58"/>
        <v>0.15114439405126046</v>
      </c>
      <c r="L121" s="26">
        <f t="shared" si="58"/>
        <v>0.15114439405126046</v>
      </c>
      <c r="M121" s="26">
        <f t="shared" si="58"/>
        <v>0.15114439405126046</v>
      </c>
      <c r="N121" s="26">
        <f t="shared" si="58"/>
        <v>0.15114439405126046</v>
      </c>
      <c r="O121" s="26">
        <f t="shared" si="58"/>
        <v>0.15114439405126046</v>
      </c>
      <c r="P121" s="26">
        <f t="shared" si="58"/>
        <v>0.15114439405126046</v>
      </c>
    </row>
    <row r="122" spans="1:16" x14ac:dyDescent="0.35">
      <c r="B122" s="25" t="s">
        <v>192</v>
      </c>
      <c r="C122" t="s">
        <v>22</v>
      </c>
      <c r="E122">
        <f>E115-D115-E49</f>
        <v>24.70000000000001</v>
      </c>
      <c r="F122">
        <f>F115-E115-F49</f>
        <v>32.600000000000009</v>
      </c>
      <c r="G122" s="61">
        <f t="shared" ref="G122:P122" si="59">F122</f>
        <v>32.600000000000009</v>
      </c>
      <c r="H122" s="61">
        <f t="shared" si="59"/>
        <v>32.600000000000009</v>
      </c>
      <c r="I122" s="61">
        <f t="shared" si="59"/>
        <v>32.600000000000009</v>
      </c>
      <c r="J122" s="61">
        <f t="shared" si="59"/>
        <v>32.600000000000009</v>
      </c>
      <c r="K122" s="61">
        <f t="shared" si="59"/>
        <v>32.600000000000009</v>
      </c>
      <c r="L122" s="61">
        <f t="shared" si="59"/>
        <v>32.600000000000009</v>
      </c>
      <c r="M122" s="61">
        <f t="shared" si="59"/>
        <v>32.600000000000009</v>
      </c>
      <c r="N122" s="61">
        <f t="shared" si="59"/>
        <v>32.600000000000009</v>
      </c>
      <c r="O122" s="61">
        <f t="shared" si="59"/>
        <v>32.600000000000009</v>
      </c>
      <c r="P122" s="61">
        <f t="shared" si="59"/>
        <v>32.600000000000009</v>
      </c>
    </row>
    <row r="123" spans="1:16" x14ac:dyDescent="0.35">
      <c r="B123" s="25"/>
      <c r="G123" s="61"/>
      <c r="H123" s="61"/>
      <c r="I123" s="61"/>
      <c r="J123" s="61"/>
      <c r="K123" s="61"/>
      <c r="L123" s="61"/>
      <c r="M123" s="61"/>
      <c r="N123" s="61"/>
      <c r="O123" s="61"/>
      <c r="P123" s="61"/>
    </row>
    <row r="124" spans="1:16" x14ac:dyDescent="0.35">
      <c r="B124" s="5" t="s">
        <v>193</v>
      </c>
    </row>
    <row r="125" spans="1:16" x14ac:dyDescent="0.35">
      <c r="A125" t="s">
        <v>194</v>
      </c>
      <c r="B125" t="s">
        <v>195</v>
      </c>
      <c r="C125" t="s">
        <v>22</v>
      </c>
      <c r="D125" s="19">
        <v>166.9</v>
      </c>
      <c r="E125" s="19">
        <v>144.1</v>
      </c>
      <c r="F125" s="19">
        <v>143.30000000000001</v>
      </c>
      <c r="G125" s="4">
        <f t="shared" ref="G125:P125" si="60">G9*G121</f>
        <v>162.55099750742087</v>
      </c>
      <c r="H125" s="4">
        <f t="shared" si="60"/>
        <v>176.61702069417089</v>
      </c>
      <c r="I125" s="4">
        <f t="shared" si="60"/>
        <v>186.46341959787094</v>
      </c>
      <c r="J125" s="4">
        <f t="shared" si="60"/>
        <v>196.85875524045221</v>
      </c>
      <c r="K125" s="4">
        <f t="shared" si="60"/>
        <v>207.83363084510739</v>
      </c>
      <c r="L125" s="4">
        <f t="shared" si="60"/>
        <v>219.42035576472216</v>
      </c>
      <c r="M125" s="4">
        <f t="shared" si="60"/>
        <v>231.65304059860537</v>
      </c>
      <c r="N125" s="4">
        <f t="shared" si="60"/>
        <v>244.56769761197759</v>
      </c>
      <c r="O125" s="4">
        <f t="shared" si="60"/>
        <v>258.20234675384535</v>
      </c>
      <c r="P125" s="4">
        <f t="shared" si="60"/>
        <v>272.59712758537222</v>
      </c>
    </row>
    <row r="126" spans="1:16" x14ac:dyDescent="0.35">
      <c r="A126" t="s">
        <v>196</v>
      </c>
      <c r="B126" t="s">
        <v>197</v>
      </c>
      <c r="C126" t="s">
        <v>22</v>
      </c>
      <c r="D126" s="19">
        <v>1.7</v>
      </c>
      <c r="E126" s="19">
        <v>0.1</v>
      </c>
      <c r="F126" s="19">
        <v>0.7</v>
      </c>
      <c r="G126" s="4">
        <f t="shared" ref="G126:P126" si="61">F126</f>
        <v>0.7</v>
      </c>
      <c r="H126" s="4">
        <f t="shared" si="61"/>
        <v>0.7</v>
      </c>
      <c r="I126" s="4">
        <f t="shared" si="61"/>
        <v>0.7</v>
      </c>
      <c r="J126" s="4">
        <f t="shared" si="61"/>
        <v>0.7</v>
      </c>
      <c r="K126" s="4">
        <f t="shared" si="61"/>
        <v>0.7</v>
      </c>
      <c r="L126" s="4">
        <f t="shared" si="61"/>
        <v>0.7</v>
      </c>
      <c r="M126" s="4">
        <f t="shared" si="61"/>
        <v>0.7</v>
      </c>
      <c r="N126" s="4">
        <f t="shared" si="61"/>
        <v>0.7</v>
      </c>
      <c r="O126" s="4">
        <f t="shared" si="61"/>
        <v>0.7</v>
      </c>
      <c r="P126" s="4">
        <f t="shared" si="61"/>
        <v>0.7</v>
      </c>
    </row>
    <row r="127" spans="1:16" x14ac:dyDescent="0.35">
      <c r="A127" t="s">
        <v>198</v>
      </c>
      <c r="B127" t="s">
        <v>199</v>
      </c>
      <c r="C127" t="s">
        <v>22</v>
      </c>
      <c r="D127" s="19">
        <v>289.7</v>
      </c>
      <c r="E127" s="19">
        <v>290.3</v>
      </c>
      <c r="F127" s="19">
        <v>295.3</v>
      </c>
      <c r="G127" s="4">
        <f t="shared" ref="G127:P127" si="62">F127+G122+G171</f>
        <v>290.45127601099335</v>
      </c>
      <c r="H127" s="4">
        <f t="shared" si="62"/>
        <v>286.21744713327416</v>
      </c>
      <c r="I127" s="4">
        <f t="shared" si="62"/>
        <v>282.52053491338899</v>
      </c>
      <c r="J127" s="4">
        <f t="shared" si="62"/>
        <v>279.29244980266083</v>
      </c>
      <c r="K127" s="4">
        <f t="shared" si="62"/>
        <v>276.47373708720761</v>
      </c>
      <c r="L127" s="4">
        <f t="shared" si="62"/>
        <v>274.01248185392609</v>
      </c>
      <c r="M127" s="4">
        <f t="shared" si="62"/>
        <v>271.86335282415848</v>
      </c>
      <c r="N127" s="4">
        <f t="shared" si="62"/>
        <v>269.98676744441639</v>
      </c>
      <c r="O127" s="4">
        <f t="shared" si="62"/>
        <v>268.34816285684417</v>
      </c>
      <c r="P127" s="4">
        <f t="shared" si="62"/>
        <v>266.91735932219137</v>
      </c>
    </row>
    <row r="128" spans="1:16" x14ac:dyDescent="0.35">
      <c r="A128" t="s">
        <v>200</v>
      </c>
      <c r="B128" t="s">
        <v>201</v>
      </c>
      <c r="C128" t="s">
        <v>22</v>
      </c>
      <c r="D128" s="19">
        <v>360</v>
      </c>
      <c r="E128" s="19">
        <v>299.89999999999998</v>
      </c>
      <c r="F128" s="19">
        <v>249.7</v>
      </c>
      <c r="G128" s="4">
        <f t="shared" ref="G128:P128" si="63">F128+G172</f>
        <v>283.04273596700921</v>
      </c>
      <c r="H128" s="4">
        <f t="shared" si="63"/>
        <v>290.91840074185745</v>
      </c>
      <c r="I128" s="4">
        <f t="shared" si="63"/>
        <v>299.23313382790349</v>
      </c>
      <c r="J128" s="4">
        <f t="shared" si="63"/>
        <v>308.01141328349655</v>
      </c>
      <c r="K128" s="4">
        <f t="shared" si="63"/>
        <v>317.27908181873897</v>
      </c>
      <c r="L128" s="4">
        <f t="shared" si="63"/>
        <v>327.06342287482113</v>
      </c>
      <c r="M128" s="4">
        <f t="shared" si="63"/>
        <v>337.39324094477985</v>
      </c>
      <c r="N128" s="4">
        <f t="shared" si="63"/>
        <v>348.2989463721388</v>
      </c>
      <c r="O128" s="4">
        <f t="shared" si="63"/>
        <v>359.81264487707301</v>
      </c>
      <c r="P128" s="4">
        <f t="shared" si="63"/>
        <v>371.9682320736573</v>
      </c>
    </row>
    <row r="129" spans="1:16" x14ac:dyDescent="0.35">
      <c r="B129" s="20" t="s">
        <v>202</v>
      </c>
      <c r="C129" s="20" t="s">
        <v>22</v>
      </c>
      <c r="D129" s="21">
        <f t="shared" ref="D129:P129" si="64">SUM(D125:D128)</f>
        <v>818.3</v>
      </c>
      <c r="E129" s="21">
        <f t="shared" si="64"/>
        <v>734.4</v>
      </c>
      <c r="F129" s="21">
        <f t="shared" si="64"/>
        <v>689</v>
      </c>
      <c r="G129" s="21">
        <f t="shared" si="64"/>
        <v>736.74500948542345</v>
      </c>
      <c r="H129" s="21">
        <f t="shared" si="64"/>
        <v>754.4528685693025</v>
      </c>
      <c r="I129" s="21">
        <f t="shared" si="64"/>
        <v>768.91708833916346</v>
      </c>
      <c r="J129" s="21">
        <f t="shared" si="64"/>
        <v>784.86261832660966</v>
      </c>
      <c r="K129" s="21">
        <f t="shared" si="64"/>
        <v>802.28644975105396</v>
      </c>
      <c r="L129" s="21">
        <f t="shared" si="64"/>
        <v>821.19626049346937</v>
      </c>
      <c r="M129" s="21">
        <f t="shared" si="64"/>
        <v>841.60963436754378</v>
      </c>
      <c r="N129" s="21">
        <f t="shared" si="64"/>
        <v>863.55341142853285</v>
      </c>
      <c r="O129" s="21">
        <f t="shared" si="64"/>
        <v>887.06315448776252</v>
      </c>
      <c r="P129" s="21">
        <f t="shared" si="64"/>
        <v>912.18271898122089</v>
      </c>
    </row>
    <row r="131" spans="1:16" x14ac:dyDescent="0.35">
      <c r="B131" s="20" t="s">
        <v>203</v>
      </c>
      <c r="C131" s="20" t="s">
        <v>22</v>
      </c>
      <c r="D131" s="21">
        <f t="shared" ref="D131:P131" si="65">D128-D110</f>
        <v>339.7</v>
      </c>
      <c r="E131" s="21">
        <f t="shared" si="65"/>
        <v>275.79999999999995</v>
      </c>
      <c r="F131" s="21">
        <f t="shared" si="65"/>
        <v>232.29999999999998</v>
      </c>
      <c r="G131" s="21">
        <f t="shared" si="65"/>
        <v>258.02621154783964</v>
      </c>
      <c r="H131" s="21">
        <f t="shared" si="65"/>
        <v>269.22041291470748</v>
      </c>
      <c r="I131" s="21">
        <f t="shared" si="65"/>
        <v>264.69111482021651</v>
      </c>
      <c r="J131" s="21">
        <f t="shared" si="65"/>
        <v>254.78333313895564</v>
      </c>
      <c r="K131" s="21">
        <f t="shared" si="65"/>
        <v>239.21732114773738</v>
      </c>
      <c r="L131" s="21">
        <f t="shared" si="65"/>
        <v>217.68288021626384</v>
      </c>
      <c r="M131" s="21">
        <f t="shared" si="65"/>
        <v>189.83925011055356</v>
      </c>
      <c r="N131" s="21">
        <f t="shared" si="65"/>
        <v>155.31478443762069</v>
      </c>
      <c r="O131" s="21">
        <f t="shared" si="65"/>
        <v>113.70642554110847</v>
      </c>
      <c r="P131" s="21">
        <f t="shared" si="65"/>
        <v>64.578990617008458</v>
      </c>
    </row>
    <row r="132" spans="1:16" x14ac:dyDescent="0.35">
      <c r="B132" s="20" t="s">
        <v>204</v>
      </c>
      <c r="C132" s="20" t="s">
        <v>22</v>
      </c>
      <c r="D132" s="21">
        <f t="shared" ref="D132:P132" si="66">D131+D127</f>
        <v>629.4</v>
      </c>
      <c r="E132" s="21">
        <f t="shared" si="66"/>
        <v>566.09999999999991</v>
      </c>
      <c r="F132" s="21">
        <f t="shared" si="66"/>
        <v>527.6</v>
      </c>
      <c r="G132" s="21">
        <f t="shared" si="66"/>
        <v>548.47748755883299</v>
      </c>
      <c r="H132" s="21">
        <f t="shared" si="66"/>
        <v>555.43786004798164</v>
      </c>
      <c r="I132" s="21">
        <f t="shared" si="66"/>
        <v>547.21164973360555</v>
      </c>
      <c r="J132" s="21">
        <f t="shared" si="66"/>
        <v>534.07578294161647</v>
      </c>
      <c r="K132" s="21">
        <f t="shared" si="66"/>
        <v>515.69105823494499</v>
      </c>
      <c r="L132" s="21">
        <f t="shared" si="66"/>
        <v>491.69536207018996</v>
      </c>
      <c r="M132" s="21">
        <f t="shared" si="66"/>
        <v>461.70260293471205</v>
      </c>
      <c r="N132" s="21">
        <f t="shared" si="66"/>
        <v>425.30155188203707</v>
      </c>
      <c r="O132" s="21">
        <f t="shared" si="66"/>
        <v>382.05458839795267</v>
      </c>
      <c r="P132" s="21">
        <f t="shared" si="66"/>
        <v>331.49634993919983</v>
      </c>
    </row>
    <row r="133" spans="1:16" x14ac:dyDescent="0.35">
      <c r="B133" s="8" t="s">
        <v>205</v>
      </c>
      <c r="C133" t="s">
        <v>206</v>
      </c>
      <c r="D133" s="13">
        <f t="shared" ref="D133:P133" si="67">IF(D38=0,"",D131/D38)</f>
        <v>1.5518501598903609</v>
      </c>
      <c r="E133" s="13">
        <f t="shared" si="67"/>
        <v>1.8685636856368557</v>
      </c>
      <c r="F133" s="13">
        <f t="shared" si="67"/>
        <v>2.0741071428571427</v>
      </c>
      <c r="G133" s="13">
        <f t="shared" si="67"/>
        <v>1.9140404606317691</v>
      </c>
      <c r="H133" s="13">
        <f t="shared" si="67"/>
        <v>1.7080011617185835</v>
      </c>
      <c r="I133" s="13">
        <f t="shared" si="67"/>
        <v>1.5319752178479984</v>
      </c>
      <c r="J133" s="13">
        <f t="shared" si="67"/>
        <v>1.3485144018640631</v>
      </c>
      <c r="K133" s="13">
        <f t="shared" si="67"/>
        <v>1.1603538345607367</v>
      </c>
      <c r="L133" s="13">
        <f t="shared" si="67"/>
        <v>0.96959543872041587</v>
      </c>
      <c r="M133" s="13">
        <f t="shared" si="67"/>
        <v>0.77785934471200679</v>
      </c>
      <c r="N133" s="13">
        <f t="shared" si="67"/>
        <v>0.58639621279814547</v>
      </c>
      <c r="O133" s="13">
        <f t="shared" si="67"/>
        <v>0.39617138456634093</v>
      </c>
      <c r="P133" s="13">
        <f t="shared" si="67"/>
        <v>0.20792849134913294</v>
      </c>
    </row>
    <row r="134" spans="1:16" x14ac:dyDescent="0.35">
      <c r="B134" s="8" t="s">
        <v>207</v>
      </c>
      <c r="C134" t="s">
        <v>48</v>
      </c>
      <c r="D134" s="6">
        <f t="shared" ref="D134:P134" si="68">IF((D131+D141)=0,"",D131/(D131+D141))</f>
        <v>0.6463089802130898</v>
      </c>
      <c r="E134" s="6">
        <f t="shared" si="68"/>
        <v>0.61576244697477112</v>
      </c>
      <c r="F134" s="6">
        <f t="shared" si="68"/>
        <v>0.57800447872605121</v>
      </c>
      <c r="G134" s="6">
        <f t="shared" si="68"/>
        <v>0.47709196170805429</v>
      </c>
      <c r="H134" s="6">
        <f t="shared" si="68"/>
        <v>0.46349203012289586</v>
      </c>
      <c r="I134" s="6">
        <f t="shared" si="68"/>
        <v>0.43316210057255661</v>
      </c>
      <c r="J134" s="6">
        <f t="shared" si="68"/>
        <v>0.39670120098014267</v>
      </c>
      <c r="K134" s="6">
        <f t="shared" si="68"/>
        <v>0.35462695917336651</v>
      </c>
      <c r="L134" s="6">
        <f t="shared" si="68"/>
        <v>0.30740763071469068</v>
      </c>
      <c r="M134" s="6">
        <f t="shared" si="68"/>
        <v>0.25547407428753172</v>
      </c>
      <c r="N134" s="6">
        <f t="shared" si="68"/>
        <v>0.19922793453010862</v>
      </c>
      <c r="O134" s="6">
        <f t="shared" si="68"/>
        <v>0.13904719525155193</v>
      </c>
      <c r="P134" s="6">
        <f t="shared" si="68"/>
        <v>7.5289905399577375E-2</v>
      </c>
    </row>
    <row r="136" spans="1:16" x14ac:dyDescent="0.35">
      <c r="B136" s="5" t="s">
        <v>208</v>
      </c>
    </row>
    <row r="137" spans="1:16" x14ac:dyDescent="0.35">
      <c r="A137" t="s">
        <v>209</v>
      </c>
      <c r="B137" t="s">
        <v>210</v>
      </c>
      <c r="C137" t="s">
        <v>22</v>
      </c>
      <c r="D137" s="19">
        <v>12</v>
      </c>
      <c r="E137" s="19">
        <v>12</v>
      </c>
      <c r="F137" s="19">
        <v>12</v>
      </c>
      <c r="G137" s="4">
        <f t="shared" ref="G137:P137" si="69">F137+G170</f>
        <v>105.8</v>
      </c>
      <c r="H137" s="4">
        <f t="shared" si="69"/>
        <v>105.8</v>
      </c>
      <c r="I137" s="4">
        <f t="shared" si="69"/>
        <v>105.8</v>
      </c>
      <c r="J137" s="4">
        <f t="shared" si="69"/>
        <v>105.8</v>
      </c>
      <c r="K137" s="4">
        <f t="shared" si="69"/>
        <v>105.8</v>
      </c>
      <c r="L137" s="4">
        <f t="shared" si="69"/>
        <v>105.8</v>
      </c>
      <c r="M137" s="4">
        <f t="shared" si="69"/>
        <v>105.8</v>
      </c>
      <c r="N137" s="4">
        <f t="shared" si="69"/>
        <v>105.8</v>
      </c>
      <c r="O137" s="4">
        <f t="shared" si="69"/>
        <v>105.8</v>
      </c>
      <c r="P137" s="4">
        <f t="shared" si="69"/>
        <v>105.8</v>
      </c>
    </row>
    <row r="138" spans="1:16" x14ac:dyDescent="0.35">
      <c r="A138" t="s">
        <v>211</v>
      </c>
      <c r="B138" t="s">
        <v>212</v>
      </c>
      <c r="C138" t="s">
        <v>22</v>
      </c>
      <c r="D138" s="19">
        <v>163.6</v>
      </c>
      <c r="E138" s="19">
        <v>147.80000000000001</v>
      </c>
      <c r="F138" s="19">
        <v>148.4</v>
      </c>
      <c r="G138" s="4">
        <f t="shared" ref="G138:P138" si="70">F138+G74-G89</f>
        <v>167.0049745909304</v>
      </c>
      <c r="H138" s="4">
        <f t="shared" si="70"/>
        <v>194.84326210408798</v>
      </c>
      <c r="I138" s="4">
        <f t="shared" si="70"/>
        <v>228.51571934996258</v>
      </c>
      <c r="J138" s="4">
        <f t="shared" si="70"/>
        <v>268.45139105249456</v>
      </c>
      <c r="K138" s="4">
        <f t="shared" si="70"/>
        <v>315.06884848641698</v>
      </c>
      <c r="L138" s="4">
        <f t="shared" si="70"/>
        <v>368.81339560642908</v>
      </c>
      <c r="M138" s="4">
        <f t="shared" si="70"/>
        <v>430.15842182689704</v>
      </c>
      <c r="N138" s="4">
        <f t="shared" si="70"/>
        <v>499.60685495679473</v>
      </c>
      <c r="O138" s="4">
        <f t="shared" si="70"/>
        <v>577.69271691856386</v>
      </c>
      <c r="P138" s="4">
        <f t="shared" si="70"/>
        <v>664.98278540541378</v>
      </c>
    </row>
    <row r="139" spans="1:16" x14ac:dyDescent="0.35">
      <c r="A139" t="s">
        <v>213</v>
      </c>
      <c r="B139" t="s">
        <v>214</v>
      </c>
      <c r="C139" t="s">
        <v>22</v>
      </c>
      <c r="D139" s="19">
        <v>10.3</v>
      </c>
      <c r="E139" s="19">
        <v>12.3</v>
      </c>
      <c r="F139" s="19">
        <v>9.1999999999999993</v>
      </c>
      <c r="G139" s="4">
        <f t="shared" ref="G139:P139" si="71">F139</f>
        <v>9.1999999999999993</v>
      </c>
      <c r="H139" s="4">
        <f t="shared" si="71"/>
        <v>9.1999999999999993</v>
      </c>
      <c r="I139" s="4">
        <f t="shared" si="71"/>
        <v>9.1999999999999993</v>
      </c>
      <c r="J139" s="4">
        <f t="shared" si="71"/>
        <v>9.1999999999999993</v>
      </c>
      <c r="K139" s="4">
        <f t="shared" si="71"/>
        <v>9.1999999999999993</v>
      </c>
      <c r="L139" s="4">
        <f t="shared" si="71"/>
        <v>9.1999999999999993</v>
      </c>
      <c r="M139" s="4">
        <f t="shared" si="71"/>
        <v>9.1999999999999993</v>
      </c>
      <c r="N139" s="4">
        <f t="shared" si="71"/>
        <v>9.1999999999999993</v>
      </c>
      <c r="O139" s="4">
        <f t="shared" si="71"/>
        <v>9.1999999999999993</v>
      </c>
      <c r="P139" s="4">
        <f t="shared" si="71"/>
        <v>9.1999999999999993</v>
      </c>
    </row>
    <row r="140" spans="1:16" x14ac:dyDescent="0.35">
      <c r="A140" t="s">
        <v>215</v>
      </c>
      <c r="B140" t="s">
        <v>216</v>
      </c>
      <c r="C140" t="s">
        <v>22</v>
      </c>
      <c r="D140" s="19">
        <v>0</v>
      </c>
      <c r="E140" s="19">
        <v>0</v>
      </c>
      <c r="F140" s="19">
        <v>0</v>
      </c>
      <c r="G140" s="4">
        <f t="shared" ref="G140:P140" si="72">F140-G71</f>
        <v>0.8</v>
      </c>
      <c r="H140" s="4">
        <f t="shared" si="72"/>
        <v>1.7886275403729377</v>
      </c>
      <c r="I140" s="4">
        <f t="shared" si="72"/>
        <v>2.8602801280155488</v>
      </c>
      <c r="J140" s="4">
        <f t="shared" si="72"/>
        <v>4.0202841358604644</v>
      </c>
      <c r="K140" s="4">
        <f t="shared" si="72"/>
        <v>5.2742803252949937</v>
      </c>
      <c r="L140" s="4">
        <f t="shared" si="72"/>
        <v>6.628241809396564</v>
      </c>
      <c r="M140" s="4">
        <f t="shared" si="72"/>
        <v>8.0884930285205137</v>
      </c>
      <c r="N140" s="4">
        <f t="shared" si="72"/>
        <v>9.6617297949514356</v>
      </c>
      <c r="O140" s="4">
        <f t="shared" si="72"/>
        <v>11.355040466497712</v>
      </c>
      <c r="P140" s="4">
        <f t="shared" si="72"/>
        <v>13.175928312254195</v>
      </c>
    </row>
    <row r="141" spans="1:16" x14ac:dyDescent="0.35">
      <c r="B141" s="20" t="s">
        <v>217</v>
      </c>
      <c r="C141" s="20" t="s">
        <v>22</v>
      </c>
      <c r="D141" s="21">
        <f t="shared" ref="D141:P141" si="73">SUM(D137:D140)</f>
        <v>185.9</v>
      </c>
      <c r="E141" s="21">
        <f t="shared" si="73"/>
        <v>172.10000000000002</v>
      </c>
      <c r="F141" s="21">
        <f t="shared" si="73"/>
        <v>169.6</v>
      </c>
      <c r="G141" s="21">
        <f t="shared" si="73"/>
        <v>282.80497459093039</v>
      </c>
      <c r="H141" s="21">
        <f t="shared" si="73"/>
        <v>311.6318896444609</v>
      </c>
      <c r="I141" s="21">
        <f t="shared" si="73"/>
        <v>346.37599947797816</v>
      </c>
      <c r="J141" s="21">
        <f t="shared" si="73"/>
        <v>387.47167518835499</v>
      </c>
      <c r="K141" s="21">
        <f t="shared" si="73"/>
        <v>435.34312881171195</v>
      </c>
      <c r="L141" s="21">
        <f t="shared" si="73"/>
        <v>490.44163741582565</v>
      </c>
      <c r="M141" s="21">
        <f t="shared" si="73"/>
        <v>553.24691485541757</v>
      </c>
      <c r="N141" s="21">
        <f t="shared" si="73"/>
        <v>624.26858475174618</v>
      </c>
      <c r="O141" s="21">
        <f t="shared" si="73"/>
        <v>704.04775738506157</v>
      </c>
      <c r="P141" s="21">
        <f t="shared" si="73"/>
        <v>793.15871371766798</v>
      </c>
    </row>
    <row r="142" spans="1:16" x14ac:dyDescent="0.35">
      <c r="B142" s="8" t="s">
        <v>218</v>
      </c>
      <c r="C142" t="s">
        <v>48</v>
      </c>
      <c r="D142" s="6">
        <f t="shared" ref="D142:P142" si="74">IF(D141=0,"",D72/D141)</f>
        <v>0.53200645508337807</v>
      </c>
      <c r="E142" s="6">
        <f t="shared" si="74"/>
        <v>0.23242300987797809</v>
      </c>
      <c r="F142" s="6">
        <f t="shared" si="74"/>
        <v>0.10495283018867924</v>
      </c>
      <c r="G142" s="6">
        <f t="shared" si="74"/>
        <v>0.12275567529909265</v>
      </c>
      <c r="H142" s="6">
        <f t="shared" si="74"/>
        <v>0.16064233668983749</v>
      </c>
      <c r="I142" s="6">
        <f t="shared" si="74"/>
        <v>0.17481810495680883</v>
      </c>
      <c r="J142" s="6">
        <f t="shared" si="74"/>
        <v>0.18534480726072872</v>
      </c>
      <c r="K142" s="6">
        <f t="shared" si="74"/>
        <v>0.19256452320877998</v>
      </c>
      <c r="L142" s="6">
        <f t="shared" si="74"/>
        <v>0.19706362338893163</v>
      </c>
      <c r="M142" s="6">
        <f t="shared" si="74"/>
        <v>0.19939751682440729</v>
      </c>
      <c r="N142" s="6">
        <f t="shared" si="74"/>
        <v>0.20005543813895751</v>
      </c>
      <c r="O142" s="6">
        <f t="shared" si="74"/>
        <v>0.19944799699244475</v>
      </c>
      <c r="P142" s="6">
        <f t="shared" si="74"/>
        <v>0.19790835289685804</v>
      </c>
    </row>
    <row r="143" spans="1:16" x14ac:dyDescent="0.35">
      <c r="B143" s="8" t="s">
        <v>219</v>
      </c>
      <c r="C143" t="s">
        <v>206</v>
      </c>
      <c r="D143" s="13">
        <f>IF(OR(D141=0,Value!$C$4=0),"",Value!$C$4*D79/D141)</f>
        <v>5.5914211403980625</v>
      </c>
      <c r="E143" s="13">
        <f>IF(OR(E141=0,Value!$C$4=0),"",Value!$C$4*E79/E141)</f>
        <v>6.0397744915746649</v>
      </c>
      <c r="F143" s="13">
        <f>IF(OR(F141=0,Value!$C$4=0),"",Value!$C$4*F79/F141)</f>
        <v>6.1463405070754709</v>
      </c>
      <c r="G143" s="13">
        <f>IF(OR(G141=0,Value!$C$4=0),"",Value!$C$4*G79/G141)</f>
        <v>4.0984155306197758</v>
      </c>
      <c r="H143" s="13">
        <f>IF(OR(H141=0,Value!$C$4=0),"",Value!$C$4*H79/H141)</f>
        <v>3.7192993994368049</v>
      </c>
      <c r="I143" s="13">
        <f>IF(OR(I141=0,Value!$C$4=0),"",Value!$C$4*I79/I141)</f>
        <v>3.3462257828105959</v>
      </c>
      <c r="J143" s="13">
        <f>IF(OR(J141=0,Value!$C$4=0),"",Value!$C$4*J79/J141)</f>
        <v>2.9913213641657026</v>
      </c>
      <c r="K143" s="13">
        <f>IF(OR(K141=0,Value!$C$4=0),"",Value!$C$4*K79/K141)</f>
        <v>2.6623879493945015</v>
      </c>
      <c r="L143" s="13">
        <f>IF(OR(L141=0,Value!$C$4=0),"",Value!$C$4*L79/L141)</f>
        <v>2.3632828283241505</v>
      </c>
      <c r="M143" s="13">
        <f>IF(OR(M141=0,Value!$C$4=0),"",Value!$C$4*M79/M141)</f>
        <v>2.0950000241807047</v>
      </c>
      <c r="N143" s="13">
        <f>IF(OR(N141=0,Value!$C$4=0),"",Value!$C$4*N79/N141)</f>
        <v>1.856656458951754</v>
      </c>
      <c r="O143" s="13">
        <f>IF(OR(O141=0,Value!$C$4=0),"",Value!$C$4*O79/O141)</f>
        <v>1.6462694296547342</v>
      </c>
      <c r="P143" s="13">
        <f>IF(OR(P141=0,Value!$C$4=0),"",Value!$C$4*P79/P141)</f>
        <v>1.461311941675995</v>
      </c>
    </row>
    <row r="144" spans="1:16" x14ac:dyDescent="0.35">
      <c r="B144" s="8" t="s">
        <v>220</v>
      </c>
      <c r="C144" t="s">
        <v>22</v>
      </c>
      <c r="D144" s="4">
        <f t="shared" ref="D144:P144" si="75">D117-D129-D141</f>
        <v>0</v>
      </c>
      <c r="E144" s="4">
        <f t="shared" si="75"/>
        <v>-0.10000000000002274</v>
      </c>
      <c r="F144" s="4">
        <f t="shared" si="75"/>
        <v>0.10000000000005116</v>
      </c>
      <c r="G144" s="4">
        <f t="shared" si="75"/>
        <v>9.9999999999852207E-2</v>
      </c>
      <c r="H144" s="4">
        <f t="shared" si="75"/>
        <v>9.9999999999795364E-2</v>
      </c>
      <c r="I144" s="4">
        <f t="shared" si="75"/>
        <v>9.999999999973852E-2</v>
      </c>
      <c r="J144" s="4">
        <f t="shared" si="75"/>
        <v>9.9999999999909051E-2</v>
      </c>
      <c r="K144" s="4">
        <f t="shared" si="75"/>
        <v>0.10000000000002274</v>
      </c>
      <c r="L144" s="4">
        <f t="shared" si="75"/>
        <v>9.9999999999795364E-2</v>
      </c>
      <c r="M144" s="4">
        <f t="shared" si="75"/>
        <v>9.9999999999681677E-2</v>
      </c>
      <c r="N144" s="4">
        <f t="shared" si="75"/>
        <v>9.9999999999909051E-2</v>
      </c>
      <c r="O144" s="4">
        <f t="shared" si="75"/>
        <v>9.9999999999909051E-2</v>
      </c>
      <c r="P144" s="4">
        <f t="shared" si="75"/>
        <v>9.9999999999681677E-2</v>
      </c>
    </row>
    <row r="145" spans="1:16" x14ac:dyDescent="0.35">
      <c r="B145" s="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35">
      <c r="A146" s="2"/>
      <c r="B146" s="18" t="s">
        <v>221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35">
      <c r="B147" s="5" t="s">
        <v>222</v>
      </c>
    </row>
    <row r="148" spans="1:16" x14ac:dyDescent="0.35">
      <c r="A148" t="s">
        <v>223</v>
      </c>
      <c r="B148" s="8" t="s">
        <v>69</v>
      </c>
      <c r="C148" t="s">
        <v>22</v>
      </c>
      <c r="D148" s="4">
        <f t="shared" ref="D148:P148" si="76">D38</f>
        <v>218.89999999999998</v>
      </c>
      <c r="E148" s="4">
        <f t="shared" si="76"/>
        <v>147.60000000000002</v>
      </c>
      <c r="F148" s="4">
        <f t="shared" si="76"/>
        <v>112</v>
      </c>
      <c r="G148" s="4">
        <f t="shared" si="76"/>
        <v>134.80708315992061</v>
      </c>
      <c r="H148" s="4">
        <f t="shared" si="76"/>
        <v>157.62308536360658</v>
      </c>
      <c r="I148" s="4">
        <f t="shared" si="76"/>
        <v>172.77767403576826</v>
      </c>
      <c r="J148" s="4">
        <f t="shared" si="76"/>
        <v>188.93630856798151</v>
      </c>
      <c r="K148" s="4">
        <f t="shared" si="76"/>
        <v>206.15894395548358</v>
      </c>
      <c r="L148" s="4">
        <f t="shared" si="76"/>
        <v>224.50897717045984</v>
      </c>
      <c r="M148" s="4">
        <f t="shared" si="76"/>
        <v>244.05344153940749</v>
      </c>
      <c r="N148" s="4">
        <f t="shared" si="76"/>
        <v>264.86321201921629</v>
      </c>
      <c r="O148" s="4">
        <f t="shared" si="76"/>
        <v>287.01322198112405</v>
      </c>
      <c r="P148" s="4">
        <f t="shared" si="76"/>
        <v>310.58269214570413</v>
      </c>
    </row>
    <row r="149" spans="1:16" x14ac:dyDescent="0.35">
      <c r="A149" t="s">
        <v>224</v>
      </c>
      <c r="B149" t="s">
        <v>225</v>
      </c>
      <c r="C149" t="s">
        <v>22</v>
      </c>
      <c r="D149" s="4">
        <v>-98.2</v>
      </c>
      <c r="E149" s="4">
        <f t="shared" ref="E149:P149" si="77">-(E111-D111)-(E112-D112)+(E125-D125)</f>
        <v>80.199999999999932</v>
      </c>
      <c r="F149" s="4">
        <f t="shared" si="77"/>
        <v>39.900000000000063</v>
      </c>
      <c r="G149" s="4">
        <f t="shared" si="77"/>
        <v>-43.177045351605443</v>
      </c>
      <c r="H149" s="4">
        <f t="shared" si="77"/>
        <v>-31.547940350463762</v>
      </c>
      <c r="I149" s="4">
        <f t="shared" si="77"/>
        <v>-22.083967952890333</v>
      </c>
      <c r="J149" s="4">
        <f t="shared" si="77"/>
        <v>-23.315149166264007</v>
      </c>
      <c r="K149" s="4">
        <f t="shared" si="77"/>
        <v>-24.614968732283074</v>
      </c>
      <c r="L149" s="4">
        <f t="shared" si="77"/>
        <v>-25.987253239108099</v>
      </c>
      <c r="M149" s="4">
        <f t="shared" si="77"/>
        <v>-27.436042607188227</v>
      </c>
      <c r="N149" s="4">
        <f t="shared" si="77"/>
        <v>-28.965601982538885</v>
      </c>
      <c r="O149" s="4">
        <f t="shared" si="77"/>
        <v>-30.580434293065565</v>
      </c>
      <c r="P149" s="4">
        <f t="shared" si="77"/>
        <v>-32.285293504903905</v>
      </c>
    </row>
    <row r="150" spans="1:16" x14ac:dyDescent="0.35">
      <c r="A150" t="s">
        <v>226</v>
      </c>
      <c r="B150" t="s">
        <v>227</v>
      </c>
      <c r="C150" t="s">
        <v>22</v>
      </c>
      <c r="D150" s="4">
        <f>D151-D148-D149</f>
        <v>131.60000000000002</v>
      </c>
      <c r="E150" s="4">
        <f>E151-E148-E149</f>
        <v>-4.5999999999999659</v>
      </c>
      <c r="F150" s="4">
        <f>F151-F148-F149</f>
        <v>2.2999999999999261</v>
      </c>
      <c r="G150" s="4">
        <f t="shared" ref="G150:P150" si="78">G44</f>
        <v>-1</v>
      </c>
      <c r="H150" s="4">
        <f t="shared" si="78"/>
        <v>0</v>
      </c>
      <c r="I150" s="4">
        <f t="shared" si="78"/>
        <v>0</v>
      </c>
      <c r="J150" s="4">
        <f t="shared" si="78"/>
        <v>0</v>
      </c>
      <c r="K150" s="4">
        <f t="shared" si="78"/>
        <v>0</v>
      </c>
      <c r="L150" s="4">
        <f t="shared" si="78"/>
        <v>0</v>
      </c>
      <c r="M150" s="4">
        <f t="shared" si="78"/>
        <v>0</v>
      </c>
      <c r="N150" s="4">
        <f t="shared" si="78"/>
        <v>0</v>
      </c>
      <c r="O150" s="4">
        <f t="shared" si="78"/>
        <v>0</v>
      </c>
      <c r="P150" s="4">
        <f t="shared" si="78"/>
        <v>0</v>
      </c>
    </row>
    <row r="151" spans="1:16" x14ac:dyDescent="0.35">
      <c r="B151" s="20" t="s">
        <v>228</v>
      </c>
      <c r="C151" s="20" t="s">
        <v>22</v>
      </c>
      <c r="D151" s="21">
        <f>D156-D152-D153-D154-D155</f>
        <v>252.3</v>
      </c>
      <c r="E151" s="21">
        <f>E156-E152-E153-E154-E155</f>
        <v>223.2</v>
      </c>
      <c r="F151" s="21">
        <f>F156-F152-F153-F154-F155</f>
        <v>154.19999999999999</v>
      </c>
      <c r="G151" s="21">
        <f t="shared" ref="G151:P151" si="79">SUM(G148:G150)</f>
        <v>90.630037808315166</v>
      </c>
      <c r="H151" s="21">
        <f t="shared" si="79"/>
        <v>126.07514501314282</v>
      </c>
      <c r="I151" s="21">
        <f t="shared" si="79"/>
        <v>150.69370608287792</v>
      </c>
      <c r="J151" s="21">
        <f t="shared" si="79"/>
        <v>165.62115940171751</v>
      </c>
      <c r="K151" s="21">
        <f t="shared" si="79"/>
        <v>181.5439752232005</v>
      </c>
      <c r="L151" s="21">
        <f t="shared" si="79"/>
        <v>198.52172393135174</v>
      </c>
      <c r="M151" s="21">
        <f t="shared" si="79"/>
        <v>216.61739893221926</v>
      </c>
      <c r="N151" s="21">
        <f t="shared" si="79"/>
        <v>235.89761003667741</v>
      </c>
      <c r="O151" s="21">
        <f t="shared" si="79"/>
        <v>256.43278768805851</v>
      </c>
      <c r="P151" s="21">
        <f t="shared" si="79"/>
        <v>278.29739864080022</v>
      </c>
    </row>
    <row r="152" spans="1:16" x14ac:dyDescent="0.35">
      <c r="A152" t="s">
        <v>229</v>
      </c>
      <c r="B152" t="s">
        <v>230</v>
      </c>
      <c r="C152" t="s">
        <v>22</v>
      </c>
      <c r="D152" s="19">
        <v>0.1</v>
      </c>
      <c r="E152" s="19">
        <v>0.3</v>
      </c>
      <c r="F152" s="19">
        <v>0.2</v>
      </c>
      <c r="G152" s="4">
        <f t="shared" ref="G152:P152" si="80">G59</f>
        <v>0.14439834024896259</v>
      </c>
      <c r="H152" s="4">
        <f t="shared" si="80"/>
        <v>0.207606011777341</v>
      </c>
      <c r="I152" s="4">
        <f t="shared" si="80"/>
        <v>0.18006628902199137</v>
      </c>
      <c r="J152" s="4">
        <f t="shared" si="80"/>
        <v>0.2866557593998918</v>
      </c>
      <c r="K152" s="4">
        <f t="shared" si="80"/>
        <v>0.44172680617876281</v>
      </c>
      <c r="L152" s="4">
        <f t="shared" si="80"/>
        <v>0.64781544125312529</v>
      </c>
      <c r="M152" s="4">
        <f t="shared" si="80"/>
        <v>0.90772234571416832</v>
      </c>
      <c r="N152" s="4">
        <f t="shared" si="80"/>
        <v>1.2245144467570646</v>
      </c>
      <c r="O152" s="4">
        <f t="shared" si="80"/>
        <v>1.6015283148092789</v>
      </c>
      <c r="P152" s="4">
        <f t="shared" si="80"/>
        <v>2.0423752641988759</v>
      </c>
    </row>
    <row r="153" spans="1:16" x14ac:dyDescent="0.35">
      <c r="A153" t="s">
        <v>231</v>
      </c>
      <c r="B153" t="s">
        <v>232</v>
      </c>
      <c r="C153" t="s">
        <v>22</v>
      </c>
      <c r="D153" s="19">
        <v>-21.2</v>
      </c>
      <c r="E153" s="19">
        <v>-17.5</v>
      </c>
      <c r="F153" s="19">
        <v>-23.9</v>
      </c>
      <c r="G153" s="4">
        <f t="shared" ref="G153:P153" si="81">G61</f>
        <v>-17.738704636456095</v>
      </c>
      <c r="H153" s="4">
        <f t="shared" si="81"/>
        <v>-19.111151386048512</v>
      </c>
      <c r="I153" s="4">
        <f t="shared" si="81"/>
        <v>-19.650242144517154</v>
      </c>
      <c r="J153" s="4">
        <f t="shared" si="81"/>
        <v>-20.219387212770421</v>
      </c>
      <c r="K153" s="4">
        <f t="shared" si="81"/>
        <v>-20.82026211857881</v>
      </c>
      <c r="L153" s="4">
        <f t="shared" si="81"/>
        <v>-21.454635800386015</v>
      </c>
      <c r="M153" s="4">
        <f t="shared" si="81"/>
        <v>-22.124375814953968</v>
      </c>
      <c r="N153" s="4">
        <f t="shared" si="81"/>
        <v>-22.831453835334088</v>
      </c>
      <c r="O153" s="4">
        <f t="shared" si="81"/>
        <v>-23.577951455350401</v>
      </c>
      <c r="P153" s="4">
        <f t="shared" si="81"/>
        <v>-24.36606631768262</v>
      </c>
    </row>
    <row r="154" spans="1:16" x14ac:dyDescent="0.35">
      <c r="A154" t="s">
        <v>233</v>
      </c>
      <c r="B154" t="s">
        <v>234</v>
      </c>
      <c r="C154" t="s">
        <v>22</v>
      </c>
      <c r="D154" s="19">
        <v>-16.399999999999999</v>
      </c>
      <c r="E154" s="19">
        <v>-17</v>
      </c>
      <c r="F154" s="19">
        <v>-18</v>
      </c>
      <c r="G154" s="4">
        <f t="shared" ref="G154:P154" si="82">G60</f>
        <v>-18.013300000000001</v>
      </c>
      <c r="H154" s="4">
        <f t="shared" si="82"/>
        <v>-17.717527836670595</v>
      </c>
      <c r="I154" s="4">
        <f t="shared" si="82"/>
        <v>-17.459264275129723</v>
      </c>
      <c r="J154" s="4">
        <f t="shared" si="82"/>
        <v>-17.233752629716729</v>
      </c>
      <c r="K154" s="4">
        <f t="shared" si="82"/>
        <v>-17.03683943796231</v>
      </c>
      <c r="L154" s="4">
        <f t="shared" si="82"/>
        <v>-16.864897962319663</v>
      </c>
      <c r="M154" s="4">
        <f t="shared" si="82"/>
        <v>-16.714761393089493</v>
      </c>
      <c r="N154" s="4">
        <f t="shared" si="82"/>
        <v>-16.583664522273668</v>
      </c>
      <c r="O154" s="4">
        <f t="shared" si="82"/>
        <v>-16.469192814109398</v>
      </c>
      <c r="P154" s="4">
        <f t="shared" si="82"/>
        <v>-16.369237934267495</v>
      </c>
    </row>
    <row r="155" spans="1:16" x14ac:dyDescent="0.35">
      <c r="A155" t="s">
        <v>235</v>
      </c>
      <c r="B155" t="s">
        <v>236</v>
      </c>
      <c r="C155" t="s">
        <v>22</v>
      </c>
      <c r="D155" s="19">
        <v>-69.400000000000006</v>
      </c>
      <c r="E155" s="19">
        <v>-20.3</v>
      </c>
      <c r="F155" s="19">
        <v>-7.5</v>
      </c>
      <c r="G155" s="4">
        <f t="shared" ref="G155:P155" si="83">G69+(G73-G44)</f>
        <v>-10.546524804654956</v>
      </c>
      <c r="H155" s="4">
        <f t="shared" si="83"/>
        <v>-15.339240948790717</v>
      </c>
      <c r="I155" s="4">
        <f t="shared" si="83"/>
        <v>-18.341940099004002</v>
      </c>
      <c r="J155" s="4">
        <f t="shared" si="83"/>
        <v>-21.57768575375222</v>
      </c>
      <c r="K155" s="4">
        <f t="shared" si="83"/>
        <v>-25.037462717435233</v>
      </c>
      <c r="L155" s="4">
        <f t="shared" si="83"/>
        <v>-28.73618024825246</v>
      </c>
      <c r="M155" s="4">
        <f t="shared" si="83"/>
        <v>-32.689463242083072</v>
      </c>
      <c r="N155" s="4">
        <f t="shared" si="83"/>
        <v>-36.913711539622106</v>
      </c>
      <c r="O155" s="4">
        <f t="shared" si="83"/>
        <v>-41.42616019717201</v>
      </c>
      <c r="P155" s="4">
        <f t="shared" si="83"/>
        <v>-46.244941074877524</v>
      </c>
    </row>
    <row r="156" spans="1:16" x14ac:dyDescent="0.35">
      <c r="A156" t="s">
        <v>237</v>
      </c>
      <c r="B156" s="20" t="s">
        <v>238</v>
      </c>
      <c r="C156" s="20" t="s">
        <v>22</v>
      </c>
      <c r="D156" s="32">
        <v>145.4</v>
      </c>
      <c r="E156" s="32">
        <v>168.7</v>
      </c>
      <c r="F156" s="32">
        <v>105</v>
      </c>
      <c r="G156" s="21">
        <f t="shared" ref="G156:P156" si="84">G151+G152+G153+G154+G155</f>
        <v>44.475906707453085</v>
      </c>
      <c r="H156" s="21">
        <f t="shared" si="84"/>
        <v>74.114830853410325</v>
      </c>
      <c r="I156" s="21">
        <f t="shared" si="84"/>
        <v>95.422325853249021</v>
      </c>
      <c r="J156" s="21">
        <f t="shared" si="84"/>
        <v>106.87698956487803</v>
      </c>
      <c r="K156" s="21">
        <f t="shared" si="84"/>
        <v>119.09113775540291</v>
      </c>
      <c r="L156" s="21">
        <f t="shared" si="84"/>
        <v>132.11382536164675</v>
      </c>
      <c r="M156" s="21">
        <f t="shared" si="84"/>
        <v>145.9965208278069</v>
      </c>
      <c r="N156" s="21">
        <f t="shared" si="84"/>
        <v>160.79329458620461</v>
      </c>
      <c r="O156" s="21">
        <f t="shared" si="84"/>
        <v>176.56101153623601</v>
      </c>
      <c r="P156" s="21">
        <f t="shared" si="84"/>
        <v>193.35952857817148</v>
      </c>
    </row>
    <row r="157" spans="1:16" x14ac:dyDescent="0.35">
      <c r="B157" t="s">
        <v>239</v>
      </c>
      <c r="C157" t="s">
        <v>28</v>
      </c>
      <c r="D157" s="6"/>
      <c r="E157" s="6">
        <f t="shared" ref="E157:P157" si="85">IF(D156=0,"",E156/D156-1)</f>
        <v>0.16024759284731771</v>
      </c>
      <c r="F157" s="6">
        <f t="shared" si="85"/>
        <v>-0.37759336099585061</v>
      </c>
      <c r="G157" s="6">
        <f t="shared" si="85"/>
        <v>-0.57641993611949438</v>
      </c>
      <c r="H157" s="6">
        <f t="shared" si="85"/>
        <v>0.66640404524885088</v>
      </c>
      <c r="I157" s="6">
        <f t="shared" si="85"/>
        <v>0.28749299910003434</v>
      </c>
      <c r="J157" s="6">
        <f t="shared" si="85"/>
        <v>0.12004175762017422</v>
      </c>
      <c r="K157" s="6">
        <f t="shared" si="85"/>
        <v>0.1142823000559019</v>
      </c>
      <c r="L157" s="6">
        <f t="shared" si="85"/>
        <v>0.10935060199853552</v>
      </c>
      <c r="M157" s="6">
        <f t="shared" si="85"/>
        <v>0.10508132232306377</v>
      </c>
      <c r="N157" s="6">
        <f t="shared" si="85"/>
        <v>0.10135018063786272</v>
      </c>
      <c r="O157" s="6">
        <f t="shared" si="85"/>
        <v>9.8062030451014914E-2</v>
      </c>
      <c r="P157" s="6">
        <f t="shared" si="85"/>
        <v>9.5142845500111317E-2</v>
      </c>
    </row>
    <row r="159" spans="1:16" x14ac:dyDescent="0.35">
      <c r="B159" s="5" t="s">
        <v>240</v>
      </c>
    </row>
    <row r="160" spans="1:16" x14ac:dyDescent="0.35">
      <c r="A160" t="s">
        <v>241</v>
      </c>
      <c r="B160" t="s">
        <v>242</v>
      </c>
      <c r="C160" t="s">
        <v>22</v>
      </c>
      <c r="D160" s="19">
        <v>-23</v>
      </c>
      <c r="E160" s="19">
        <v>-26.7</v>
      </c>
      <c r="F160" s="19">
        <v>-21.3</v>
      </c>
      <c r="G160" s="4">
        <f t="shared" ref="G160:P160" si="86">G161*G9</f>
        <v>-24.16145322336402</v>
      </c>
      <c r="H160" s="4">
        <f t="shared" si="86"/>
        <v>-26.252215916160775</v>
      </c>
      <c r="I160" s="4">
        <f t="shared" si="86"/>
        <v>-27.715776953486742</v>
      </c>
      <c r="J160" s="4">
        <f t="shared" si="86"/>
        <v>-29.260931518643623</v>
      </c>
      <c r="K160" s="4">
        <f t="shared" si="86"/>
        <v>-30.892228450808002</v>
      </c>
      <c r="L160" s="4">
        <f t="shared" si="86"/>
        <v>-32.614470186940551</v>
      </c>
      <c r="M160" s="4">
        <f t="shared" si="86"/>
        <v>-34.43272689986248</v>
      </c>
      <c r="N160" s="4">
        <f t="shared" si="86"/>
        <v>-36.352351424529807</v>
      </c>
      <c r="O160" s="4">
        <f t="shared" si="86"/>
        <v>-38.378995016447348</v>
      </c>
      <c r="P160" s="4">
        <f t="shared" si="86"/>
        <v>-40.518623988614287</v>
      </c>
    </row>
    <row r="161" spans="1:16" x14ac:dyDescent="0.35">
      <c r="B161" s="25" t="s">
        <v>243</v>
      </c>
      <c r="C161" t="s">
        <v>48</v>
      </c>
      <c r="D161" s="6">
        <f>IF(D9=0,"",(D160+D162)/D9)</f>
        <v>-1.8475379548558116E-2</v>
      </c>
      <c r="E161" s="6">
        <f>IF(E9=0,"",(E160+E162)/E9)</f>
        <v>-2.5086911585079395E-2</v>
      </c>
      <c r="F161" s="6">
        <f>IF(F9=0,"",(F160+F162)/F9)</f>
        <v>-2.246598460078051E-2</v>
      </c>
      <c r="G161" s="26">
        <f t="shared" ref="G161:P161" si="87">F161</f>
        <v>-2.246598460078051E-2</v>
      </c>
      <c r="H161" s="26">
        <f t="shared" si="87"/>
        <v>-2.246598460078051E-2</v>
      </c>
      <c r="I161" s="26">
        <f t="shared" si="87"/>
        <v>-2.246598460078051E-2</v>
      </c>
      <c r="J161" s="26">
        <f t="shared" si="87"/>
        <v>-2.246598460078051E-2</v>
      </c>
      <c r="K161" s="26">
        <f t="shared" si="87"/>
        <v>-2.246598460078051E-2</v>
      </c>
      <c r="L161" s="26">
        <f t="shared" si="87"/>
        <v>-2.246598460078051E-2</v>
      </c>
      <c r="M161" s="26">
        <f t="shared" si="87"/>
        <v>-2.246598460078051E-2</v>
      </c>
      <c r="N161" s="26">
        <f t="shared" si="87"/>
        <v>-2.246598460078051E-2</v>
      </c>
      <c r="O161" s="26">
        <f t="shared" si="87"/>
        <v>-2.246598460078051E-2</v>
      </c>
      <c r="P161" s="26">
        <f t="shared" si="87"/>
        <v>-2.246598460078051E-2</v>
      </c>
    </row>
    <row r="162" spans="1:16" x14ac:dyDescent="0.35">
      <c r="A162" t="s">
        <v>244</v>
      </c>
      <c r="B162" t="s">
        <v>245</v>
      </c>
      <c r="C162" t="s">
        <v>22</v>
      </c>
      <c r="D162" s="41">
        <v>0</v>
      </c>
      <c r="E162" s="41">
        <v>0</v>
      </c>
      <c r="F162" s="41">
        <v>0</v>
      </c>
      <c r="G162" s="42">
        <f>0</f>
        <v>0</v>
      </c>
      <c r="H162" s="42">
        <f>0</f>
        <v>0</v>
      </c>
      <c r="I162" s="42">
        <f>0</f>
        <v>0</v>
      </c>
      <c r="J162" s="42">
        <f>0</f>
        <v>0</v>
      </c>
      <c r="K162" s="42">
        <f>0</f>
        <v>0</v>
      </c>
      <c r="L162" s="42">
        <f>0</f>
        <v>0</v>
      </c>
      <c r="M162" s="42">
        <f>0</f>
        <v>0</v>
      </c>
      <c r="N162" s="42">
        <f>0</f>
        <v>0</v>
      </c>
      <c r="O162" s="42">
        <f>0</f>
        <v>0</v>
      </c>
      <c r="P162" s="42">
        <f>0</f>
        <v>0</v>
      </c>
    </row>
    <row r="163" spans="1:16" x14ac:dyDescent="0.35">
      <c r="A163" t="s">
        <v>246</v>
      </c>
      <c r="B163" t="s">
        <v>247</v>
      </c>
      <c r="C163" t="s">
        <v>22</v>
      </c>
      <c r="D163" s="19">
        <v>-170.5</v>
      </c>
      <c r="E163" s="41">
        <v>0</v>
      </c>
      <c r="F163" s="41">
        <v>0</v>
      </c>
      <c r="G163" s="42">
        <v>-86.980999999999995</v>
      </c>
      <c r="H163" s="42">
        <f>0</f>
        <v>0</v>
      </c>
      <c r="I163" s="42">
        <f>0</f>
        <v>0</v>
      </c>
      <c r="J163" s="42">
        <f>0</f>
        <v>0</v>
      </c>
      <c r="K163" s="42">
        <f>0</f>
        <v>0</v>
      </c>
      <c r="L163" s="42">
        <f>0</f>
        <v>0</v>
      </c>
      <c r="M163" s="42">
        <f>0</f>
        <v>0</v>
      </c>
      <c r="N163" s="42">
        <f>0</f>
        <v>0</v>
      </c>
      <c r="O163" s="42">
        <f>0</f>
        <v>0</v>
      </c>
      <c r="P163" s="42">
        <f>0</f>
        <v>0</v>
      </c>
    </row>
    <row r="164" spans="1:16" x14ac:dyDescent="0.35">
      <c r="A164" t="s">
        <v>248</v>
      </c>
      <c r="B164" t="s">
        <v>249</v>
      </c>
      <c r="C164" t="s">
        <v>22</v>
      </c>
      <c r="D164" s="19">
        <v>0.3</v>
      </c>
      <c r="E164" s="19">
        <v>2.7</v>
      </c>
      <c r="F164" s="19">
        <v>4.0999999999999996</v>
      </c>
      <c r="G164" s="42">
        <f>0</f>
        <v>0</v>
      </c>
      <c r="H164" s="42">
        <f>0</f>
        <v>0</v>
      </c>
      <c r="I164" s="42">
        <f>0</f>
        <v>0</v>
      </c>
      <c r="J164" s="42">
        <f>0</f>
        <v>0</v>
      </c>
      <c r="K164" s="42">
        <f>0</f>
        <v>0</v>
      </c>
      <c r="L164" s="42">
        <f>0</f>
        <v>0</v>
      </c>
      <c r="M164" s="42">
        <f>0</f>
        <v>0</v>
      </c>
      <c r="N164" s="42">
        <f>0</f>
        <v>0</v>
      </c>
      <c r="O164" s="42">
        <f>0</f>
        <v>0</v>
      </c>
      <c r="P164" s="42">
        <f>0</f>
        <v>0</v>
      </c>
    </row>
    <row r="165" spans="1:16" x14ac:dyDescent="0.35">
      <c r="A165" t="s">
        <v>250</v>
      </c>
      <c r="B165" t="s">
        <v>251</v>
      </c>
      <c r="C165" t="s">
        <v>22</v>
      </c>
      <c r="D165" s="4">
        <f>D166-SUM(D160,D162:D164)</f>
        <v>0</v>
      </c>
      <c r="E165" s="4">
        <f>E166-SUM(E160,E162:E164)</f>
        <v>0</v>
      </c>
      <c r="F165" s="4">
        <f>F166-SUM(F160,F162:F164)</f>
        <v>0</v>
      </c>
      <c r="G165" s="42">
        <f>0</f>
        <v>0</v>
      </c>
      <c r="H165" s="42">
        <f>0</f>
        <v>0</v>
      </c>
      <c r="I165" s="42">
        <f>0</f>
        <v>0</v>
      </c>
      <c r="J165" s="42">
        <f>0</f>
        <v>0</v>
      </c>
      <c r="K165" s="42">
        <f>0</f>
        <v>0</v>
      </c>
      <c r="L165" s="42">
        <f>0</f>
        <v>0</v>
      </c>
      <c r="M165" s="42">
        <f>0</f>
        <v>0</v>
      </c>
      <c r="N165" s="42">
        <f>0</f>
        <v>0</v>
      </c>
      <c r="O165" s="42">
        <f>0</f>
        <v>0</v>
      </c>
      <c r="P165" s="42">
        <f>0</f>
        <v>0</v>
      </c>
    </row>
    <row r="166" spans="1:16" x14ac:dyDescent="0.35">
      <c r="B166" s="20" t="s">
        <v>252</v>
      </c>
      <c r="C166" s="20" t="s">
        <v>22</v>
      </c>
      <c r="D166" s="32">
        <v>-193.2</v>
      </c>
      <c r="E166" s="32">
        <v>-24</v>
      </c>
      <c r="F166" s="32">
        <v>-17.2</v>
      </c>
      <c r="G166" s="21">
        <f t="shared" ref="G166:P166" si="88">SUM(G160,G162:G165)</f>
        <v>-111.14245322336402</v>
      </c>
      <c r="H166" s="21">
        <f t="shared" si="88"/>
        <v>-26.252215916160775</v>
      </c>
      <c r="I166" s="21">
        <f t="shared" si="88"/>
        <v>-27.715776953486742</v>
      </c>
      <c r="J166" s="21">
        <f t="shared" si="88"/>
        <v>-29.260931518643623</v>
      </c>
      <c r="K166" s="21">
        <f t="shared" si="88"/>
        <v>-30.892228450808002</v>
      </c>
      <c r="L166" s="21">
        <f t="shared" si="88"/>
        <v>-32.614470186940551</v>
      </c>
      <c r="M166" s="21">
        <f t="shared" si="88"/>
        <v>-34.43272689986248</v>
      </c>
      <c r="N166" s="21">
        <f t="shared" si="88"/>
        <v>-36.352351424529807</v>
      </c>
      <c r="O166" s="21">
        <f t="shared" si="88"/>
        <v>-38.378995016447348</v>
      </c>
      <c r="P166" s="21">
        <f t="shared" si="88"/>
        <v>-40.518623988614287</v>
      </c>
    </row>
    <row r="168" spans="1:16" x14ac:dyDescent="0.35">
      <c r="B168" s="5" t="s">
        <v>253</v>
      </c>
    </row>
    <row r="169" spans="1:16" x14ac:dyDescent="0.35">
      <c r="A169" t="s">
        <v>254</v>
      </c>
      <c r="B169" t="s">
        <v>255</v>
      </c>
      <c r="C169" t="s">
        <v>22</v>
      </c>
      <c r="D169" s="19">
        <v>-85.2</v>
      </c>
      <c r="E169" s="19">
        <v>-57.4</v>
      </c>
      <c r="F169" s="19">
        <v>-19.399999999999999</v>
      </c>
      <c r="G169" s="4">
        <f t="shared" ref="G169:P169" si="89">-G89</f>
        <v>-15.410941042921996</v>
      </c>
      <c r="H169" s="4">
        <f t="shared" si="89"/>
        <v>-22.222987426398191</v>
      </c>
      <c r="I169" s="4">
        <f t="shared" si="89"/>
        <v>-26.880338585386127</v>
      </c>
      <c r="J169" s="4">
        <f t="shared" si="89"/>
        <v>-31.880191254245368</v>
      </c>
      <c r="K169" s="4">
        <f t="shared" si="89"/>
        <v>-37.214184597923378</v>
      </c>
      <c r="L169" s="4">
        <f t="shared" si="89"/>
        <v>-42.903659009951149</v>
      </c>
      <c r="M169" s="4">
        <f t="shared" si="89"/>
        <v>-48.971034792466575</v>
      </c>
      <c r="N169" s="4">
        <f t="shared" si="89"/>
        <v>-55.439892108999807</v>
      </c>
      <c r="O169" s="4">
        <f t="shared" si="89"/>
        <v>-62.335053035704178</v>
      </c>
      <c r="P169" s="4">
        <f t="shared" si="89"/>
        <v>-69.682666130804421</v>
      </c>
    </row>
    <row r="170" spans="1:16" x14ac:dyDescent="0.35">
      <c r="A170" t="s">
        <v>256</v>
      </c>
      <c r="B170" t="s">
        <v>257</v>
      </c>
      <c r="C170" t="s">
        <v>22</v>
      </c>
      <c r="D170" s="4">
        <v>0</v>
      </c>
      <c r="E170" s="4">
        <f>E137-D137</f>
        <v>0</v>
      </c>
      <c r="F170" s="4">
        <f>F137-E137</f>
        <v>0</v>
      </c>
      <c r="G170" s="43">
        <v>93.8</v>
      </c>
      <c r="H170" s="42">
        <v>0</v>
      </c>
      <c r="I170" s="42">
        <v>0</v>
      </c>
      <c r="J170" s="42">
        <v>0</v>
      </c>
      <c r="K170" s="42">
        <v>0</v>
      </c>
      <c r="L170" s="42">
        <v>0</v>
      </c>
      <c r="M170" s="42">
        <v>0</v>
      </c>
      <c r="N170" s="42">
        <v>0</v>
      </c>
      <c r="O170" s="42">
        <v>0</v>
      </c>
      <c r="P170" s="42">
        <v>0</v>
      </c>
    </row>
    <row r="171" spans="1:16" x14ac:dyDescent="0.35">
      <c r="A171" t="s">
        <v>258</v>
      </c>
      <c r="B171" t="s">
        <v>259</v>
      </c>
      <c r="C171" t="s">
        <v>22</v>
      </c>
      <c r="D171" s="19">
        <v>-21.4</v>
      </c>
      <c r="E171" s="19">
        <v>-23.7</v>
      </c>
      <c r="F171" s="19">
        <v>-26.7</v>
      </c>
      <c r="G171" s="4">
        <f t="shared" ref="G171:P171" si="90">-F127/G52</f>
        <v>-37.448723989006673</v>
      </c>
      <c r="H171" s="4">
        <f t="shared" si="90"/>
        <v>-36.83382887771922</v>
      </c>
      <c r="I171" s="4">
        <f t="shared" si="90"/>
        <v>-36.296912219885179</v>
      </c>
      <c r="J171" s="4">
        <f t="shared" si="90"/>
        <v>-35.828085110728168</v>
      </c>
      <c r="K171" s="4">
        <f t="shared" si="90"/>
        <v>-35.418712715453253</v>
      </c>
      <c r="L171" s="4">
        <f t="shared" si="90"/>
        <v>-35.061255233281528</v>
      </c>
      <c r="M171" s="4">
        <f t="shared" si="90"/>
        <v>-34.749129029767616</v>
      </c>
      <c r="N171" s="4">
        <f t="shared" si="90"/>
        <v>-34.476585379742119</v>
      </c>
      <c r="O171" s="4">
        <f t="shared" si="90"/>
        <v>-34.23860458757224</v>
      </c>
      <c r="P171" s="4">
        <f t="shared" si="90"/>
        <v>-34.03080353465279</v>
      </c>
    </row>
    <row r="172" spans="1:16" x14ac:dyDescent="0.35">
      <c r="A172" t="s">
        <v>260</v>
      </c>
      <c r="B172" t="s">
        <v>261</v>
      </c>
      <c r="C172" t="s">
        <v>22</v>
      </c>
      <c r="D172" s="4">
        <v>149</v>
      </c>
      <c r="E172" s="4">
        <f>E128-D128</f>
        <v>-60.100000000000023</v>
      </c>
      <c r="F172" s="4">
        <f>F128-E128</f>
        <v>-50.199999999999989</v>
      </c>
      <c r="G172" s="42">
        <f t="shared" ref="G172:P172" si="91">-G175*G166</f>
        <v>33.342735967009205</v>
      </c>
      <c r="H172" s="42">
        <f t="shared" si="91"/>
        <v>7.8756647748482322</v>
      </c>
      <c r="I172" s="42">
        <f t="shared" si="91"/>
        <v>8.3147330860460222</v>
      </c>
      <c r="J172" s="42">
        <f t="shared" si="91"/>
        <v>8.7782794555930863</v>
      </c>
      <c r="K172" s="42">
        <f t="shared" si="91"/>
        <v>9.2676685352424002</v>
      </c>
      <c r="L172" s="42">
        <f t="shared" si="91"/>
        <v>9.7843410560821642</v>
      </c>
      <c r="M172" s="42">
        <f t="shared" si="91"/>
        <v>10.329818069958744</v>
      </c>
      <c r="N172" s="42">
        <f t="shared" si="91"/>
        <v>10.905705427358942</v>
      </c>
      <c r="O172" s="42">
        <f t="shared" si="91"/>
        <v>11.513698504934204</v>
      </c>
      <c r="P172" s="42">
        <f t="shared" si="91"/>
        <v>12.155587196584285</v>
      </c>
    </row>
    <row r="173" spans="1:16" x14ac:dyDescent="0.35">
      <c r="A173" t="s">
        <v>262</v>
      </c>
      <c r="B173" t="s">
        <v>251</v>
      </c>
      <c r="C173" t="s">
        <v>22</v>
      </c>
      <c r="D173" s="4">
        <f>D174-SUM(D169:D172)</f>
        <v>0.79999999999999716</v>
      </c>
      <c r="E173" s="4">
        <f>E174-SUM(E169:E172)</f>
        <v>0</v>
      </c>
      <c r="F173" s="4">
        <f>F174-SUM(F169:F172)</f>
        <v>2.0999999999999801</v>
      </c>
      <c r="G173" s="42">
        <f>0</f>
        <v>0</v>
      </c>
      <c r="H173" s="42">
        <f>0</f>
        <v>0</v>
      </c>
      <c r="I173" s="42">
        <f>0</f>
        <v>0</v>
      </c>
      <c r="J173" s="42">
        <f>0</f>
        <v>0</v>
      </c>
      <c r="K173" s="42">
        <f>0</f>
        <v>0</v>
      </c>
      <c r="L173" s="42">
        <f>0</f>
        <v>0</v>
      </c>
      <c r="M173" s="42">
        <f>0</f>
        <v>0</v>
      </c>
      <c r="N173" s="42">
        <f>0</f>
        <v>0</v>
      </c>
      <c r="O173" s="42">
        <f>0</f>
        <v>0</v>
      </c>
      <c r="P173" s="42">
        <f>0</f>
        <v>0</v>
      </c>
    </row>
    <row r="174" spans="1:16" x14ac:dyDescent="0.35">
      <c r="B174" s="20" t="s">
        <v>263</v>
      </c>
      <c r="C174" s="20" t="s">
        <v>22</v>
      </c>
      <c r="D174" s="32">
        <v>43.2</v>
      </c>
      <c r="E174" s="32">
        <v>-141.19999999999999</v>
      </c>
      <c r="F174" s="32">
        <v>-94.2</v>
      </c>
      <c r="G174" s="21">
        <f t="shared" ref="G174:P174" si="92">SUM(G169:G173)</f>
        <v>74.283070935080531</v>
      </c>
      <c r="H174" s="21">
        <f t="shared" si="92"/>
        <v>-51.181151529269179</v>
      </c>
      <c r="I174" s="21">
        <f t="shared" si="92"/>
        <v>-54.862517719225281</v>
      </c>
      <c r="J174" s="21">
        <f t="shared" si="92"/>
        <v>-58.929996909380442</v>
      </c>
      <c r="K174" s="21">
        <f t="shared" si="92"/>
        <v>-63.365228778134231</v>
      </c>
      <c r="L174" s="21">
        <f t="shared" si="92"/>
        <v>-68.1805731871505</v>
      </c>
      <c r="M174" s="21">
        <f t="shared" si="92"/>
        <v>-73.390345752275437</v>
      </c>
      <c r="N174" s="21">
        <f t="shared" si="92"/>
        <v>-79.01077206138298</v>
      </c>
      <c r="O174" s="21">
        <f t="shared" si="92"/>
        <v>-85.059959118342221</v>
      </c>
      <c r="P174" s="21">
        <f t="shared" si="92"/>
        <v>-91.557882468872918</v>
      </c>
    </row>
    <row r="175" spans="1:16" x14ac:dyDescent="0.35">
      <c r="B175" t="s">
        <v>423</v>
      </c>
      <c r="C175" t="s">
        <v>48</v>
      </c>
      <c r="D175" s="67">
        <f t="shared" ref="D175:E175" si="93">D172/D166</f>
        <v>-0.77122153209109734</v>
      </c>
      <c r="E175" s="67">
        <f t="shared" si="93"/>
        <v>2.5041666666666678</v>
      </c>
      <c r="F175" s="67">
        <f>F172/F166</f>
        <v>2.9186046511627901</v>
      </c>
      <c r="G175" s="68">
        <v>0.3</v>
      </c>
      <c r="H175" s="68">
        <v>0.3</v>
      </c>
      <c r="I175" s="68">
        <v>0.3</v>
      </c>
      <c r="J175" s="68">
        <v>0.3</v>
      </c>
      <c r="K175" s="68">
        <v>0.3</v>
      </c>
      <c r="L175" s="68">
        <v>0.3</v>
      </c>
      <c r="M175" s="68">
        <v>0.3</v>
      </c>
      <c r="N175" s="68">
        <v>0.3</v>
      </c>
      <c r="O175" s="68">
        <v>0.3</v>
      </c>
      <c r="P175" s="68">
        <v>0.3</v>
      </c>
    </row>
    <row r="176" spans="1:16" x14ac:dyDescent="0.35">
      <c r="D176" s="67"/>
      <c r="E176" s="67"/>
      <c r="F176" s="67"/>
      <c r="G176" s="68"/>
      <c r="H176" s="68"/>
      <c r="I176" s="68"/>
      <c r="J176" s="68"/>
      <c r="K176" s="68"/>
      <c r="L176" s="68"/>
      <c r="M176" s="68"/>
      <c r="N176" s="68"/>
      <c r="O176" s="68"/>
      <c r="P176" s="68"/>
    </row>
    <row r="177" spans="1:16" x14ac:dyDescent="0.35">
      <c r="B177" s="20" t="s">
        <v>264</v>
      </c>
      <c r="C177" s="20" t="s">
        <v>22</v>
      </c>
      <c r="D177" s="21">
        <f t="shared" ref="D177:P177" si="94">D156+D166+D174</f>
        <v>-4.5999999999999801</v>
      </c>
      <c r="E177" s="21">
        <f t="shared" si="94"/>
        <v>3.5</v>
      </c>
      <c r="F177" s="21">
        <f t="shared" si="94"/>
        <v>-6.4000000000000057</v>
      </c>
      <c r="G177" s="21">
        <f t="shared" si="94"/>
        <v>7.6165244191695933</v>
      </c>
      <c r="H177" s="21">
        <f t="shared" si="94"/>
        <v>-3.3185365920196332</v>
      </c>
      <c r="I177" s="21">
        <f t="shared" si="94"/>
        <v>12.844031180537002</v>
      </c>
      <c r="J177" s="21">
        <f t="shared" si="94"/>
        <v>18.686061136853958</v>
      </c>
      <c r="K177" s="21">
        <f t="shared" si="94"/>
        <v>24.833680526460675</v>
      </c>
      <c r="L177" s="21">
        <f t="shared" si="94"/>
        <v>31.318781987555695</v>
      </c>
      <c r="M177" s="21">
        <f t="shared" si="94"/>
        <v>38.173448175668995</v>
      </c>
      <c r="N177" s="21">
        <f t="shared" si="94"/>
        <v>45.430171100291815</v>
      </c>
      <c r="O177" s="21">
        <f t="shared" si="94"/>
        <v>53.122057401446426</v>
      </c>
      <c r="P177" s="21">
        <f t="shared" si="94"/>
        <v>61.283022120684279</v>
      </c>
    </row>
    <row r="179" spans="1:16" x14ac:dyDescent="0.35">
      <c r="A179" s="2"/>
      <c r="B179" s="18" t="s">
        <v>265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35">
      <c r="B180" s="8" t="s">
        <v>266</v>
      </c>
      <c r="C180" t="s">
        <v>22</v>
      </c>
      <c r="D180" s="4">
        <f t="shared" ref="D180:P180" si="95">D156</f>
        <v>145.4</v>
      </c>
      <c r="E180" s="4">
        <f t="shared" si="95"/>
        <v>168.7</v>
      </c>
      <c r="F180" s="4">
        <f t="shared" si="95"/>
        <v>105</v>
      </c>
      <c r="G180" s="4">
        <f t="shared" si="95"/>
        <v>44.475906707453085</v>
      </c>
      <c r="H180" s="4">
        <f t="shared" si="95"/>
        <v>74.114830853410325</v>
      </c>
      <c r="I180" s="4">
        <f t="shared" si="95"/>
        <v>95.422325853249021</v>
      </c>
      <c r="J180" s="4">
        <f t="shared" si="95"/>
        <v>106.87698956487803</v>
      </c>
      <c r="K180" s="4">
        <f t="shared" si="95"/>
        <v>119.09113775540291</v>
      </c>
      <c r="L180" s="4">
        <f t="shared" si="95"/>
        <v>132.11382536164675</v>
      </c>
      <c r="M180" s="4">
        <f t="shared" si="95"/>
        <v>145.9965208278069</v>
      </c>
      <c r="N180" s="4">
        <f t="shared" si="95"/>
        <v>160.79329458620461</v>
      </c>
      <c r="O180" s="4">
        <f t="shared" si="95"/>
        <v>176.56101153623601</v>
      </c>
      <c r="P180" s="4">
        <f t="shared" si="95"/>
        <v>193.35952857817148</v>
      </c>
    </row>
    <row r="181" spans="1:16" x14ac:dyDescent="0.35">
      <c r="B181" s="8" t="s">
        <v>267</v>
      </c>
      <c r="C181" t="s">
        <v>22</v>
      </c>
      <c r="D181" s="4">
        <f t="shared" ref="D181:P181" si="96">D160+D162</f>
        <v>-23</v>
      </c>
      <c r="E181" s="4">
        <f t="shared" si="96"/>
        <v>-26.7</v>
      </c>
      <c r="F181" s="4">
        <f t="shared" si="96"/>
        <v>-21.3</v>
      </c>
      <c r="G181" s="4">
        <f t="shared" si="96"/>
        <v>-24.16145322336402</v>
      </c>
      <c r="H181" s="4">
        <f t="shared" si="96"/>
        <v>-26.252215916160775</v>
      </c>
      <c r="I181" s="4">
        <f t="shared" si="96"/>
        <v>-27.715776953486742</v>
      </c>
      <c r="J181" s="4">
        <f t="shared" si="96"/>
        <v>-29.260931518643623</v>
      </c>
      <c r="K181" s="4">
        <f t="shared" si="96"/>
        <v>-30.892228450808002</v>
      </c>
      <c r="L181" s="4">
        <f t="shared" si="96"/>
        <v>-32.614470186940551</v>
      </c>
      <c r="M181" s="4">
        <f t="shared" si="96"/>
        <v>-34.43272689986248</v>
      </c>
      <c r="N181" s="4">
        <f t="shared" si="96"/>
        <v>-36.352351424529807</v>
      </c>
      <c r="O181" s="4">
        <f t="shared" si="96"/>
        <v>-38.378995016447348</v>
      </c>
      <c r="P181" s="4">
        <f t="shared" si="96"/>
        <v>-40.518623988614287</v>
      </c>
    </row>
    <row r="182" spans="1:16" x14ac:dyDescent="0.35">
      <c r="B182" s="8" t="s">
        <v>268</v>
      </c>
      <c r="C182" t="s">
        <v>22</v>
      </c>
      <c r="D182" s="4">
        <f t="shared" ref="D182:P182" si="97">D171</f>
        <v>-21.4</v>
      </c>
      <c r="E182" s="4">
        <f t="shared" si="97"/>
        <v>-23.7</v>
      </c>
      <c r="F182" s="4">
        <f t="shared" si="97"/>
        <v>-26.7</v>
      </c>
      <c r="G182" s="4">
        <f t="shared" si="97"/>
        <v>-37.448723989006673</v>
      </c>
      <c r="H182" s="4">
        <f t="shared" si="97"/>
        <v>-36.83382887771922</v>
      </c>
      <c r="I182" s="4">
        <f t="shared" si="97"/>
        <v>-36.296912219885179</v>
      </c>
      <c r="J182" s="4">
        <f t="shared" si="97"/>
        <v>-35.828085110728168</v>
      </c>
      <c r="K182" s="4">
        <f t="shared" si="97"/>
        <v>-35.418712715453253</v>
      </c>
      <c r="L182" s="4">
        <f t="shared" si="97"/>
        <v>-35.061255233281528</v>
      </c>
      <c r="M182" s="4">
        <f t="shared" si="97"/>
        <v>-34.749129029767616</v>
      </c>
      <c r="N182" s="4">
        <f t="shared" si="97"/>
        <v>-34.476585379742119</v>
      </c>
      <c r="O182" s="4">
        <f t="shared" si="97"/>
        <v>-34.23860458757224</v>
      </c>
      <c r="P182" s="4">
        <f t="shared" si="97"/>
        <v>-34.03080353465279</v>
      </c>
    </row>
    <row r="183" spans="1:16" x14ac:dyDescent="0.35">
      <c r="B183" s="20" t="s">
        <v>265</v>
      </c>
      <c r="C183" s="20" t="s">
        <v>22</v>
      </c>
      <c r="D183" s="21">
        <f t="shared" ref="D183:P183" si="98">D180+D181+D182</f>
        <v>101</v>
      </c>
      <c r="E183" s="21">
        <f t="shared" si="98"/>
        <v>118.3</v>
      </c>
      <c r="F183" s="21">
        <f t="shared" si="98"/>
        <v>57</v>
      </c>
      <c r="G183" s="21">
        <f t="shared" si="98"/>
        <v>-17.134270504917609</v>
      </c>
      <c r="H183" s="21">
        <f t="shared" si="98"/>
        <v>11.028786059530326</v>
      </c>
      <c r="I183" s="21">
        <f t="shared" si="98"/>
        <v>31.409636679877103</v>
      </c>
      <c r="J183" s="21">
        <f t="shared" si="98"/>
        <v>41.787972935506232</v>
      </c>
      <c r="K183" s="21">
        <f t="shared" si="98"/>
        <v>52.780196589141653</v>
      </c>
      <c r="L183" s="21">
        <f t="shared" si="98"/>
        <v>64.438099941424667</v>
      </c>
      <c r="M183" s="21">
        <f t="shared" si="98"/>
        <v>76.814664898176815</v>
      </c>
      <c r="N183" s="21">
        <f t="shared" si="98"/>
        <v>89.964357781932677</v>
      </c>
      <c r="O183" s="21">
        <f t="shared" si="98"/>
        <v>103.94341193221641</v>
      </c>
      <c r="P183" s="21">
        <f t="shared" si="98"/>
        <v>118.81010105490441</v>
      </c>
    </row>
    <row r="184" spans="1:16" x14ac:dyDescent="0.35">
      <c r="B184" s="8" t="s">
        <v>269</v>
      </c>
      <c r="C184" t="s">
        <v>134</v>
      </c>
      <c r="D184" s="9">
        <f t="shared" ref="D184:P184" si="99">IF(D82=0,"",D183/D82)</f>
        <v>0.76859271434985432</v>
      </c>
      <c r="E184" s="9">
        <f t="shared" si="99"/>
        <v>0.9002427535404729</v>
      </c>
      <c r="F184" s="9">
        <f t="shared" si="99"/>
        <v>0.43281825429970766</v>
      </c>
      <c r="G184" s="9">
        <f t="shared" si="99"/>
        <v>-0.12312861689034087</v>
      </c>
      <c r="H184" s="9">
        <f t="shared" si="99"/>
        <v>7.5266403190679898E-2</v>
      </c>
      <c r="I184" s="9">
        <f t="shared" si="99"/>
        <v>0.21435635487529586</v>
      </c>
      <c r="J184" s="9">
        <f t="shared" si="99"/>
        <v>0.28518373667853841</v>
      </c>
      <c r="K184" s="9">
        <f t="shared" si="99"/>
        <v>0.36020061822931587</v>
      </c>
      <c r="L184" s="9">
        <f t="shared" si="99"/>
        <v>0.43976045820940879</v>
      </c>
      <c r="M184" s="9">
        <f t="shared" si="99"/>
        <v>0.52422483380998308</v>
      </c>
      <c r="N184" s="9">
        <f t="shared" si="99"/>
        <v>0.61396545268499747</v>
      </c>
      <c r="O184" s="9">
        <f t="shared" si="99"/>
        <v>0.70936608156839154</v>
      </c>
      <c r="P184" s="9">
        <f t="shared" si="99"/>
        <v>0.81082441175803188</v>
      </c>
    </row>
    <row r="185" spans="1:16" x14ac:dyDescent="0.35">
      <c r="B185" s="8" t="s">
        <v>270</v>
      </c>
      <c r="C185" t="s">
        <v>48</v>
      </c>
      <c r="D185" s="6">
        <f>IF(Value!$C$4=0,"",D184/Value!$C$4)</f>
        <v>9.7167220524633918E-2</v>
      </c>
      <c r="E185" s="6">
        <f>IF(Value!$C$4=0,"",E184/Value!$C$4)</f>
        <v>0.11381071473330884</v>
      </c>
      <c r="F185" s="6">
        <f>IF(Value!$C$4=0,"",F184/Value!$C$4)</f>
        <v>5.4717857686435861E-2</v>
      </c>
      <c r="G185" s="6">
        <f>IF(Value!$C$4=0,"",G184/Value!$C$4)</f>
        <v>-1.5566196825580388E-2</v>
      </c>
      <c r="H185" s="6">
        <f>IF(Value!$C$4=0,"",H184/Value!$C$4)</f>
        <v>9.5153480645613023E-3</v>
      </c>
      <c r="I185" s="6">
        <f>IF(Value!$C$4=0,"",I184/Value!$C$4)</f>
        <v>2.7099412752881902E-2</v>
      </c>
      <c r="J185" s="6">
        <f>IF(Value!$C$4=0,"",J184/Value!$C$4)</f>
        <v>3.6053569744442279E-2</v>
      </c>
      <c r="K185" s="6">
        <f>IF(Value!$C$4=0,"",K184/Value!$C$4)</f>
        <v>4.5537372721784562E-2</v>
      </c>
      <c r="L185" s="6">
        <f>IF(Value!$C$4=0,"",L184/Value!$C$4)</f>
        <v>5.5595506726853199E-2</v>
      </c>
      <c r="M185" s="6">
        <f>IF(Value!$C$4=0,"",M184/Value!$C$4)</f>
        <v>6.6273683161818336E-2</v>
      </c>
      <c r="N185" s="6">
        <f>IF(Value!$C$4=0,"",N184/Value!$C$4)</f>
        <v>7.7618894144753162E-2</v>
      </c>
      <c r="O185" s="6">
        <f>IF(Value!$C$4=0,"",O184/Value!$C$4)</f>
        <v>8.9679656329758731E-2</v>
      </c>
      <c r="P185" s="6">
        <f>IF(Value!$C$4=0,"",P184/Value!$C$4)</f>
        <v>0.10250624674564246</v>
      </c>
    </row>
    <row r="186" spans="1:16" x14ac:dyDescent="0.35">
      <c r="B186" s="8" t="s">
        <v>271</v>
      </c>
      <c r="C186" t="s">
        <v>48</v>
      </c>
      <c r="D186" s="6">
        <f t="shared" ref="D186:P186" si="100">IF(D9=0,"",D183/D9)</f>
        <v>8.1131014539320423E-2</v>
      </c>
      <c r="E186" s="6">
        <f t="shared" si="100"/>
        <v>0.11115287043126938</v>
      </c>
      <c r="F186" s="6">
        <f t="shared" si="100"/>
        <v>6.0120240480961928E-2</v>
      </c>
      <c r="G186" s="6">
        <f t="shared" si="100"/>
        <v>-1.593191658425798E-2</v>
      </c>
      <c r="H186" s="6">
        <f t="shared" si="100"/>
        <v>9.438157090052848E-3</v>
      </c>
      <c r="I186" s="6">
        <f t="shared" si="100"/>
        <v>2.5460170759436591E-2</v>
      </c>
      <c r="J186" s="6">
        <f t="shared" si="100"/>
        <v>3.2084007847417759E-2</v>
      </c>
      <c r="K186" s="6">
        <f t="shared" si="100"/>
        <v>3.8383734138377132E-2</v>
      </c>
      <c r="L186" s="6">
        <f t="shared" si="100"/>
        <v>4.4387210728545713E-2</v>
      </c>
      <c r="M186" s="6">
        <f t="shared" si="100"/>
        <v>5.0118513231185526E-2</v>
      </c>
      <c r="N186" s="6">
        <f t="shared" si="100"/>
        <v>5.5598545825681744E-2</v>
      </c>
      <c r="O186" s="6">
        <f t="shared" si="100"/>
        <v>6.0845550823334767E-2</v>
      </c>
      <c r="P186" s="6">
        <f t="shared" si="100"/>
        <v>6.5875531742309382E-2</v>
      </c>
    </row>
    <row r="189" spans="1:16" x14ac:dyDescent="0.35">
      <c r="A189" s="2"/>
      <c r="B189" s="18" t="s">
        <v>272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35">
      <c r="B190" s="8" t="s">
        <v>273</v>
      </c>
      <c r="C190" t="s">
        <v>22</v>
      </c>
      <c r="D190" s="4">
        <f t="shared" ref="D190:P190" si="101">D141+D131</f>
        <v>525.6</v>
      </c>
      <c r="E190" s="4">
        <f t="shared" si="101"/>
        <v>447.9</v>
      </c>
      <c r="F190" s="4">
        <f t="shared" si="101"/>
        <v>401.9</v>
      </c>
      <c r="G190" s="4">
        <f t="shared" si="101"/>
        <v>540.83118613877002</v>
      </c>
      <c r="H190" s="4">
        <f t="shared" si="101"/>
        <v>580.85230255916838</v>
      </c>
      <c r="I190" s="4">
        <f t="shared" si="101"/>
        <v>611.06711429819461</v>
      </c>
      <c r="J190" s="4">
        <f t="shared" si="101"/>
        <v>642.25500832731063</v>
      </c>
      <c r="K190" s="4">
        <f t="shared" si="101"/>
        <v>674.56044995944933</v>
      </c>
      <c r="L190" s="4">
        <f t="shared" si="101"/>
        <v>708.12451763208946</v>
      </c>
      <c r="M190" s="4">
        <f t="shared" si="101"/>
        <v>743.08616496597119</v>
      </c>
      <c r="N190" s="4">
        <f t="shared" si="101"/>
        <v>779.58336918936686</v>
      </c>
      <c r="O190" s="4">
        <f t="shared" si="101"/>
        <v>817.75418292617007</v>
      </c>
      <c r="P190" s="4">
        <f t="shared" si="101"/>
        <v>857.73770433467644</v>
      </c>
    </row>
    <row r="191" spans="1:16" x14ac:dyDescent="0.35">
      <c r="B191" s="8" t="s">
        <v>91</v>
      </c>
      <c r="C191" t="s">
        <v>22</v>
      </c>
      <c r="D191" s="4">
        <f t="shared" ref="D191:P191" si="102">D54</f>
        <v>174.39999999999998</v>
      </c>
      <c r="E191" s="4">
        <f t="shared" si="102"/>
        <v>99.000000000000028</v>
      </c>
      <c r="F191" s="4">
        <f t="shared" si="102"/>
        <v>61.5</v>
      </c>
      <c r="G191" s="4">
        <f t="shared" si="102"/>
        <v>81.970046734714487</v>
      </c>
      <c r="H191" s="4">
        <f t="shared" si="102"/>
        <v>103.01021663966118</v>
      </c>
      <c r="I191" s="4">
        <f t="shared" si="102"/>
        <v>116.89582864853224</v>
      </c>
      <c r="J191" s="4">
        <f t="shared" si="102"/>
        <v>131.72003680146173</v>
      </c>
      <c r="K191" s="4">
        <f t="shared" si="102"/>
        <v>147.53847568907793</v>
      </c>
      <c r="L191" s="4">
        <f t="shared" si="102"/>
        <v>164.4100661837698</v>
      </c>
      <c r="M191" s="4">
        <f t="shared" si="102"/>
        <v>182.39719033647086</v>
      </c>
      <c r="N191" s="4">
        <f t="shared" si="102"/>
        <v>201.56587745580123</v>
      </c>
      <c r="O191" s="4">
        <f t="shared" si="102"/>
        <v>221.98600182084203</v>
      </c>
      <c r="P191" s="4">
        <f t="shared" si="102"/>
        <v>243.73149252603946</v>
      </c>
    </row>
    <row r="192" spans="1:16" x14ac:dyDescent="0.35">
      <c r="B192" s="8" t="s">
        <v>274</v>
      </c>
      <c r="C192" t="s">
        <v>48</v>
      </c>
      <c r="D192" s="6">
        <f t="shared" ref="D192:P192" si="103">IF(D190=0,"",D191/D190)</f>
        <v>0.33181126331811256</v>
      </c>
      <c r="E192" s="6">
        <f t="shared" si="103"/>
        <v>0.22103148024112532</v>
      </c>
      <c r="F192" s="6">
        <f t="shared" si="103"/>
        <v>0.15302314008459816</v>
      </c>
      <c r="G192" s="6">
        <f t="shared" si="103"/>
        <v>0.15156309184005168</v>
      </c>
      <c r="H192" s="6">
        <f t="shared" si="103"/>
        <v>0.17734321820850157</v>
      </c>
      <c r="I192" s="6">
        <f t="shared" si="103"/>
        <v>0.19129785569100066</v>
      </c>
      <c r="J192" s="6">
        <f t="shared" si="103"/>
        <v>0.205089933272009</v>
      </c>
      <c r="K192" s="6">
        <f t="shared" si="103"/>
        <v>0.21871794543831777</v>
      </c>
      <c r="L192" s="6">
        <f t="shared" si="103"/>
        <v>0.23217677412659518</v>
      </c>
      <c r="M192" s="6">
        <f t="shared" si="103"/>
        <v>0.24545900453525943</v>
      </c>
      <c r="N192" s="6">
        <f t="shared" si="103"/>
        <v>0.25855589719082284</v>
      </c>
      <c r="O192" s="6">
        <f t="shared" si="103"/>
        <v>0.27145810618358374</v>
      </c>
      <c r="P192" s="6">
        <f t="shared" si="103"/>
        <v>0.28415620683842419</v>
      </c>
    </row>
    <row r="193" spans="2:16" x14ac:dyDescent="0.35">
      <c r="B193" s="8" t="s">
        <v>275</v>
      </c>
      <c r="C193" t="s">
        <v>22</v>
      </c>
      <c r="D193" s="4">
        <f t="shared" ref="D193:P193" si="104">D191*(1-D70)</f>
        <v>126.91802796173656</v>
      </c>
      <c r="E193" s="4">
        <f t="shared" si="104"/>
        <v>67.232597623090015</v>
      </c>
      <c r="F193" s="4">
        <f t="shared" si="104"/>
        <v>43.098425196850393</v>
      </c>
      <c r="G193" s="4">
        <f t="shared" si="104"/>
        <v>62.793097964598559</v>
      </c>
      <c r="H193" s="4">
        <f t="shared" si="104"/>
        <v>79.209660530371849</v>
      </c>
      <c r="I193" s="4">
        <f t="shared" si="104"/>
        <v>90.083359977214499</v>
      </c>
      <c r="J193" s="4">
        <f t="shared" si="104"/>
        <v>101.6607372842867</v>
      </c>
      <c r="K193" s="4">
        <f t="shared" si="104"/>
        <v>113.9942960122974</v>
      </c>
      <c r="L193" s="4">
        <f t="shared" si="104"/>
        <v>127.13234104239092</v>
      </c>
      <c r="M193" s="4">
        <f t="shared" si="104"/>
        <v>141.12467281878006</v>
      </c>
      <c r="N193" s="4">
        <f t="shared" si="104"/>
        <v>156.02321671413705</v>
      </c>
      <c r="O193" s="4">
        <f t="shared" si="104"/>
        <v>171.88243671411831</v>
      </c>
      <c r="P193" s="4">
        <f t="shared" si="104"/>
        <v>188.75964569170543</v>
      </c>
    </row>
    <row r="194" spans="2:16" x14ac:dyDescent="0.35">
      <c r="B194" s="8" t="s">
        <v>272</v>
      </c>
      <c r="C194" t="s">
        <v>48</v>
      </c>
      <c r="D194" s="6">
        <f t="shared" ref="D194:P194" si="105">IF(D190=0,"",D193/D190)</f>
        <v>0.241472655939377</v>
      </c>
      <c r="E194" s="6">
        <f t="shared" si="105"/>
        <v>0.15010626841502572</v>
      </c>
      <c r="F194" s="6">
        <f t="shared" si="105"/>
        <v>0.10723668872070265</v>
      </c>
      <c r="G194" s="6">
        <f t="shared" si="105"/>
        <v>0.11610480233750184</v>
      </c>
      <c r="H194" s="6">
        <f t="shared" si="105"/>
        <v>0.1363679892140966</v>
      </c>
      <c r="I194" s="6">
        <f t="shared" si="105"/>
        <v>0.14741974796119486</v>
      </c>
      <c r="J194" s="6">
        <f t="shared" si="105"/>
        <v>0.15828718494395549</v>
      </c>
      <c r="K194" s="6">
        <f t="shared" si="105"/>
        <v>0.16899048264562513</v>
      </c>
      <c r="L194" s="6">
        <f t="shared" si="105"/>
        <v>0.1795338784025034</v>
      </c>
      <c r="M194" s="6">
        <f t="shared" si="105"/>
        <v>0.18991696989169851</v>
      </c>
      <c r="N194" s="6">
        <f t="shared" si="105"/>
        <v>0.20013666643039663</v>
      </c>
      <c r="O194" s="6">
        <f t="shared" si="105"/>
        <v>0.2101883919432504</v>
      </c>
      <c r="P194" s="6">
        <f t="shared" si="105"/>
        <v>0.22006686279242102</v>
      </c>
    </row>
    <row r="197" spans="2:16" x14ac:dyDescent="0.35">
      <c r="B197" s="18"/>
    </row>
    <row r="198" spans="2:16" x14ac:dyDescent="0.35">
      <c r="B198" s="25"/>
      <c r="D198" s="6"/>
      <c r="E198" s="6"/>
      <c r="F198" s="6"/>
      <c r="G198" s="26"/>
      <c r="H198" s="26"/>
      <c r="I198" s="26"/>
      <c r="J198" s="26"/>
      <c r="K198" s="26"/>
      <c r="L198" s="26"/>
      <c r="M198" s="26"/>
      <c r="N198" s="26"/>
      <c r="O198" s="26"/>
      <c r="P198" s="26"/>
    </row>
    <row r="199" spans="2:16" x14ac:dyDescent="0.35">
      <c r="B199" s="25"/>
      <c r="D199" s="3"/>
      <c r="E199" s="3"/>
      <c r="F199" s="3"/>
      <c r="G199" s="61"/>
      <c r="H199" s="61"/>
      <c r="I199" s="61"/>
      <c r="J199" s="61"/>
      <c r="K199" s="61"/>
      <c r="L199" s="61"/>
      <c r="M199" s="61"/>
      <c r="N199" s="61"/>
      <c r="O199" s="61"/>
      <c r="P199" s="61"/>
    </row>
    <row r="200" spans="2:16" x14ac:dyDescent="0.35">
      <c r="B200" s="25"/>
      <c r="D200" s="3"/>
      <c r="E200" s="3"/>
      <c r="F200" s="3"/>
      <c r="G200" s="61"/>
      <c r="H200" s="61"/>
      <c r="I200" s="61"/>
      <c r="J200" s="61"/>
      <c r="K200" s="61"/>
      <c r="L200" s="61"/>
      <c r="M200" s="61"/>
      <c r="N200" s="61"/>
      <c r="O200" s="61"/>
      <c r="P200" s="61"/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16"/>
  <sheetViews>
    <sheetView tabSelected="1" workbookViewId="0">
      <pane xSplit="3" ySplit="4" topLeftCell="D74" activePane="bottomRight" state="frozen"/>
      <selection pane="topRight"/>
      <selection pane="bottomLeft"/>
      <selection pane="bottomRight" activeCell="G88" sqref="G88"/>
    </sheetView>
  </sheetViews>
  <sheetFormatPr defaultRowHeight="14.5" x14ac:dyDescent="0.35"/>
  <cols>
    <col min="1" max="1" width="30" hidden="1" customWidth="1"/>
    <col min="2" max="2" width="32" customWidth="1"/>
    <col min="3" max="3" width="8" customWidth="1"/>
    <col min="4" max="33" width="11" customWidth="1"/>
  </cols>
  <sheetData>
    <row r="1" spans="1:29" x14ac:dyDescent="0.35">
      <c r="D1">
        <v>2023</v>
      </c>
      <c r="E1">
        <v>2023</v>
      </c>
      <c r="F1">
        <v>2024</v>
      </c>
      <c r="G1">
        <v>2024</v>
      </c>
      <c r="H1">
        <v>2025</v>
      </c>
      <c r="I1">
        <v>2025</v>
      </c>
      <c r="J1">
        <v>2026</v>
      </c>
      <c r="K1">
        <v>2026</v>
      </c>
      <c r="L1">
        <v>2027</v>
      </c>
      <c r="M1">
        <v>2027</v>
      </c>
      <c r="N1">
        <v>2028</v>
      </c>
      <c r="O1">
        <v>2028</v>
      </c>
      <c r="P1">
        <v>2029</v>
      </c>
      <c r="Q1">
        <v>2029</v>
      </c>
      <c r="R1">
        <v>2030</v>
      </c>
      <c r="S1">
        <v>2030</v>
      </c>
      <c r="T1">
        <v>2031</v>
      </c>
      <c r="U1">
        <v>2031</v>
      </c>
      <c r="V1">
        <v>2032</v>
      </c>
      <c r="W1">
        <v>2032</v>
      </c>
      <c r="X1">
        <v>2033</v>
      </c>
      <c r="Y1">
        <v>2033</v>
      </c>
      <c r="Z1">
        <v>2034</v>
      </c>
      <c r="AA1">
        <v>2034</v>
      </c>
      <c r="AB1">
        <v>2035</v>
      </c>
      <c r="AC1">
        <v>2035</v>
      </c>
    </row>
    <row r="2" spans="1:29" ht="18.5" customHeight="1" x14ac:dyDescent="0.45">
      <c r="B2" s="14" t="s">
        <v>324</v>
      </c>
      <c r="D2" s="15" t="s">
        <v>1</v>
      </c>
      <c r="E2" s="15"/>
      <c r="F2" s="15"/>
      <c r="G2" s="15"/>
      <c r="H2" s="15"/>
      <c r="I2" s="15"/>
      <c r="J2" s="15"/>
      <c r="K2" s="16" t="s">
        <v>2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x14ac:dyDescent="0.35">
      <c r="B3" t="s">
        <v>3</v>
      </c>
      <c r="C3" t="s">
        <v>4</v>
      </c>
      <c r="D3" s="7" t="s">
        <v>325</v>
      </c>
      <c r="E3" s="7" t="s">
        <v>326</v>
      </c>
      <c r="F3" s="7" t="s">
        <v>327</v>
      </c>
      <c r="G3" s="7" t="s">
        <v>328</v>
      </c>
      <c r="H3" s="7" t="s">
        <v>329</v>
      </c>
      <c r="I3" s="7" t="s">
        <v>330</v>
      </c>
      <c r="J3" s="7" t="s">
        <v>331</v>
      </c>
      <c r="K3" s="7" t="s">
        <v>332</v>
      </c>
      <c r="L3" s="7" t="s">
        <v>333</v>
      </c>
      <c r="M3" s="7" t="s">
        <v>334</v>
      </c>
      <c r="N3" s="7" t="s">
        <v>335</v>
      </c>
      <c r="O3" s="7" t="s">
        <v>336</v>
      </c>
      <c r="P3" s="7" t="s">
        <v>337</v>
      </c>
      <c r="Q3" s="7" t="s">
        <v>338</v>
      </c>
      <c r="R3" s="7" t="s">
        <v>339</v>
      </c>
      <c r="S3" s="7" t="s">
        <v>340</v>
      </c>
      <c r="T3" s="7" t="s">
        <v>341</v>
      </c>
      <c r="U3" s="7" t="s">
        <v>342</v>
      </c>
      <c r="V3" s="7" t="s">
        <v>343</v>
      </c>
      <c r="W3" s="7" t="s">
        <v>344</v>
      </c>
      <c r="X3" s="7" t="s">
        <v>345</v>
      </c>
      <c r="Y3" s="7" t="s">
        <v>346</v>
      </c>
      <c r="Z3" s="7" t="s">
        <v>347</v>
      </c>
      <c r="AA3" s="7" t="s">
        <v>348</v>
      </c>
      <c r="AB3" s="7" t="s">
        <v>349</v>
      </c>
      <c r="AC3" s="7" t="s">
        <v>350</v>
      </c>
    </row>
    <row r="4" spans="1:29" x14ac:dyDescent="0.35">
      <c r="D4" s="17">
        <v>44926</v>
      </c>
      <c r="E4" s="17">
        <v>45107</v>
      </c>
      <c r="F4" s="17">
        <v>45291</v>
      </c>
      <c r="G4" s="17">
        <v>45473</v>
      </c>
      <c r="H4" s="17">
        <v>45657</v>
      </c>
      <c r="I4" s="17">
        <v>45838</v>
      </c>
      <c r="J4" s="17">
        <v>46022</v>
      </c>
      <c r="K4" s="17">
        <v>46203</v>
      </c>
      <c r="L4" s="17">
        <v>46387</v>
      </c>
      <c r="M4" s="17">
        <v>46568</v>
      </c>
      <c r="N4" s="17">
        <v>46752</v>
      </c>
      <c r="O4" s="17">
        <v>46934</v>
      </c>
      <c r="P4" s="17">
        <v>47118</v>
      </c>
      <c r="Q4" s="17">
        <v>47299</v>
      </c>
      <c r="R4" s="17">
        <v>47483</v>
      </c>
      <c r="S4" s="17">
        <v>47664</v>
      </c>
      <c r="T4" s="17">
        <v>47848</v>
      </c>
      <c r="U4" s="17">
        <v>48029</v>
      </c>
      <c r="V4" s="17">
        <v>48213</v>
      </c>
      <c r="W4" s="17">
        <v>48395</v>
      </c>
      <c r="X4" s="17">
        <v>48579</v>
      </c>
      <c r="Y4" s="17">
        <v>48760</v>
      </c>
      <c r="Z4" s="17">
        <v>48944</v>
      </c>
      <c r="AA4" s="17">
        <v>49125</v>
      </c>
      <c r="AB4" s="17">
        <v>49309</v>
      </c>
      <c r="AC4" s="17">
        <v>49490</v>
      </c>
    </row>
    <row r="5" spans="1:29" x14ac:dyDescent="0.35">
      <c r="A5" s="2"/>
      <c r="B5" s="18" t="s">
        <v>18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35">
      <c r="B6" s="5" t="s">
        <v>19</v>
      </c>
    </row>
    <row r="7" spans="1:29" x14ac:dyDescent="0.35">
      <c r="A7" t="s">
        <v>20</v>
      </c>
      <c r="B7" t="s">
        <v>21</v>
      </c>
      <c r="C7" t="s">
        <v>22</v>
      </c>
      <c r="D7" s="19">
        <v>316.5</v>
      </c>
      <c r="E7" s="4">
        <f>INDEX(Annual!$A:$R,MATCH($A7,Annual!$A:$A,0),MATCH(E$1,Annual!$A$1:$R$1,0))-D7</f>
        <v>279.79999999999995</v>
      </c>
      <c r="F7" s="19">
        <v>252.3</v>
      </c>
      <c r="G7" s="4">
        <f>INDEX(Annual!$A:$R,MATCH($A7,Annual!$A:$A,0),MATCH(G$1,Annual!$A$1:$R$1,0))-F7</f>
        <v>219</v>
      </c>
      <c r="H7" s="19">
        <v>209.9</v>
      </c>
      <c r="I7" s="4">
        <f>INDEX(Annual!$A:$R,MATCH($A7,Annual!$A:$A,0),MATCH(I$1,Annual!$A$1:$R$1,0))-H7</f>
        <v>199.79999999999998</v>
      </c>
      <c r="J7" s="19">
        <v>262.5</v>
      </c>
      <c r="K7" s="4">
        <f t="shared" ref="K7:AC7" si="0">K97</f>
        <v>270.53527857142848</v>
      </c>
      <c r="L7" s="4">
        <f t="shared" si="0"/>
        <v>310.24049916107384</v>
      </c>
      <c r="M7" s="4">
        <f t="shared" si="0"/>
        <v>285.61762035178566</v>
      </c>
      <c r="N7" s="4">
        <f t="shared" si="0"/>
        <v>327.53640698930371</v>
      </c>
      <c r="O7" s="4">
        <f t="shared" si="0"/>
        <v>301.54080268639768</v>
      </c>
      <c r="P7" s="4">
        <f t="shared" si="0"/>
        <v>345.79656167895735</v>
      </c>
      <c r="Q7" s="4">
        <f t="shared" si="0"/>
        <v>318.35170243616437</v>
      </c>
      <c r="R7" s="4">
        <f t="shared" si="0"/>
        <v>365.07471999255921</v>
      </c>
      <c r="S7" s="4">
        <f t="shared" si="0"/>
        <v>336.09980984698052</v>
      </c>
      <c r="T7" s="4">
        <f t="shared" si="0"/>
        <v>385.42763563214442</v>
      </c>
      <c r="U7" s="4">
        <f t="shared" si="0"/>
        <v>354.83737424594966</v>
      </c>
      <c r="V7" s="4">
        <f t="shared" si="0"/>
        <v>406.91522631863637</v>
      </c>
      <c r="W7" s="4">
        <f t="shared" si="0"/>
        <v>374.61955786016136</v>
      </c>
      <c r="X7" s="4">
        <f t="shared" si="0"/>
        <v>429.60075018590038</v>
      </c>
      <c r="Y7" s="4">
        <f t="shared" si="0"/>
        <v>395.50459821086537</v>
      </c>
      <c r="Z7" s="4">
        <f t="shared" si="0"/>
        <v>453.5509920087643</v>
      </c>
      <c r="AA7" s="4">
        <f t="shared" si="0"/>
        <v>417.55397956112097</v>
      </c>
      <c r="AB7" s="4">
        <f t="shared" si="0"/>
        <v>478.83645981325287</v>
      </c>
      <c r="AC7" s="4">
        <f t="shared" si="0"/>
        <v>440.83261392165349</v>
      </c>
    </row>
    <row r="8" spans="1:29" x14ac:dyDescent="0.35">
      <c r="A8" t="s">
        <v>23</v>
      </c>
      <c r="B8" t="s">
        <v>24</v>
      </c>
      <c r="C8" t="s">
        <v>22</v>
      </c>
      <c r="D8" s="19">
        <v>321.39999999999998</v>
      </c>
      <c r="E8" s="4">
        <f>INDEX(Annual!$A:$R,MATCH($A8,Annual!$A:$A,0),MATCH(E$1,Annual!$A$1:$R$1,0))-D8</f>
        <v>327.20000000000005</v>
      </c>
      <c r="F8" s="19">
        <v>311.7</v>
      </c>
      <c r="G8" s="4">
        <f>INDEX(Annual!$A:$R,MATCH($A8,Annual!$A:$A,0),MATCH(G$1,Annual!$A$1:$R$1,0))-F8</f>
        <v>281.3</v>
      </c>
      <c r="H8" s="19">
        <v>283.10000000000002</v>
      </c>
      <c r="I8" s="4">
        <f>INDEX(Annual!$A:$R,MATCH($A8,Annual!$A:$A,0),MATCH(I$1,Annual!$A$1:$R$1,0))-H8</f>
        <v>255.29999999999995</v>
      </c>
      <c r="J8" s="19">
        <v>272.89999999999998</v>
      </c>
      <c r="K8" s="4">
        <f t="shared" ref="K8:AC8" si="1">K110</f>
        <v>269.53297499999991</v>
      </c>
      <c r="L8" s="4">
        <f t="shared" si="1"/>
        <v>288.11417499999999</v>
      </c>
      <c r="M8" s="4">
        <f t="shared" si="1"/>
        <v>284.55943835624987</v>
      </c>
      <c r="N8" s="4">
        <f t="shared" si="1"/>
        <v>304.17654025625001</v>
      </c>
      <c r="O8" s="4">
        <f t="shared" si="1"/>
        <v>300.42362704461078</v>
      </c>
      <c r="P8" s="4">
        <f t="shared" si="1"/>
        <v>321.13438237553595</v>
      </c>
      <c r="Q8" s="4">
        <f t="shared" si="1"/>
        <v>317.17224425234787</v>
      </c>
      <c r="R8" s="4">
        <f t="shared" si="1"/>
        <v>339.03762419297209</v>
      </c>
      <c r="S8" s="4">
        <f t="shared" si="1"/>
        <v>334.85459686941618</v>
      </c>
      <c r="T8" s="4">
        <f t="shared" si="1"/>
        <v>357.93897174173026</v>
      </c>
      <c r="U8" s="4">
        <f t="shared" si="1"/>
        <v>353.52274064488614</v>
      </c>
      <c r="V8" s="4">
        <f t="shared" si="1"/>
        <v>377.89406941633166</v>
      </c>
      <c r="W8" s="4">
        <f t="shared" si="1"/>
        <v>373.23163343583849</v>
      </c>
      <c r="X8" s="4">
        <f t="shared" si="1"/>
        <v>398.96166378629209</v>
      </c>
      <c r="Y8" s="4">
        <f t="shared" si="1"/>
        <v>394.03929699988646</v>
      </c>
      <c r="Z8" s="4">
        <f t="shared" si="1"/>
        <v>421.20377654237791</v>
      </c>
      <c r="AA8" s="4">
        <f t="shared" si="1"/>
        <v>416.00698780763008</v>
      </c>
      <c r="AB8" s="4">
        <f t="shared" si="1"/>
        <v>444.68588708461544</v>
      </c>
      <c r="AC8" s="4">
        <f t="shared" si="1"/>
        <v>439.19937737790553</v>
      </c>
    </row>
    <row r="9" spans="1:29" x14ac:dyDescent="0.35">
      <c r="A9" t="s">
        <v>25</v>
      </c>
      <c r="B9" s="20" t="s">
        <v>26</v>
      </c>
      <c r="C9" s="20" t="s">
        <v>22</v>
      </c>
      <c r="D9" s="21">
        <f t="shared" ref="D9:AC9" si="2">D7+D8</f>
        <v>637.9</v>
      </c>
      <c r="E9" s="21">
        <f t="shared" si="2"/>
        <v>607</v>
      </c>
      <c r="F9" s="21">
        <f t="shared" si="2"/>
        <v>564</v>
      </c>
      <c r="G9" s="21">
        <f t="shared" si="2"/>
        <v>500.3</v>
      </c>
      <c r="H9" s="21">
        <f t="shared" si="2"/>
        <v>493</v>
      </c>
      <c r="I9" s="21">
        <f t="shared" si="2"/>
        <v>455.09999999999991</v>
      </c>
      <c r="J9" s="21">
        <f t="shared" si="2"/>
        <v>535.4</v>
      </c>
      <c r="K9" s="21">
        <f t="shared" si="2"/>
        <v>540.06825357142839</v>
      </c>
      <c r="L9" s="21">
        <f t="shared" si="2"/>
        <v>598.35467416107383</v>
      </c>
      <c r="M9" s="21">
        <f t="shared" si="2"/>
        <v>570.17705870803547</v>
      </c>
      <c r="N9" s="21">
        <f t="shared" si="2"/>
        <v>631.71294724555378</v>
      </c>
      <c r="O9" s="21">
        <f t="shared" si="2"/>
        <v>601.96442973100852</v>
      </c>
      <c r="P9" s="21">
        <f t="shared" si="2"/>
        <v>666.93094405449324</v>
      </c>
      <c r="Q9" s="21">
        <f t="shared" si="2"/>
        <v>635.5239466885123</v>
      </c>
      <c r="R9" s="21">
        <f t="shared" si="2"/>
        <v>704.11234418553136</v>
      </c>
      <c r="S9" s="21">
        <f t="shared" si="2"/>
        <v>670.95440671639676</v>
      </c>
      <c r="T9" s="21">
        <f t="shared" si="2"/>
        <v>743.36660737387467</v>
      </c>
      <c r="U9" s="21">
        <f t="shared" si="2"/>
        <v>708.3601148908358</v>
      </c>
      <c r="V9" s="21">
        <f t="shared" si="2"/>
        <v>784.80929573496803</v>
      </c>
      <c r="W9" s="21">
        <f t="shared" si="2"/>
        <v>747.8511912959998</v>
      </c>
      <c r="X9" s="21">
        <f t="shared" si="2"/>
        <v>828.56241397219242</v>
      </c>
      <c r="Y9" s="21">
        <f t="shared" si="2"/>
        <v>789.54389521075177</v>
      </c>
      <c r="Z9" s="21">
        <f t="shared" si="2"/>
        <v>874.75476855114221</v>
      </c>
      <c r="AA9" s="21">
        <f t="shared" si="2"/>
        <v>833.56096736875111</v>
      </c>
      <c r="AB9" s="21">
        <f t="shared" si="2"/>
        <v>923.52234689786837</v>
      </c>
      <c r="AC9" s="21">
        <f t="shared" si="2"/>
        <v>880.03199129955897</v>
      </c>
    </row>
    <row r="10" spans="1:29" x14ac:dyDescent="0.35">
      <c r="B10" t="s">
        <v>351</v>
      </c>
      <c r="C10" t="s">
        <v>28</v>
      </c>
      <c r="D10" s="6"/>
      <c r="E10" s="6"/>
      <c r="F10" s="6">
        <f t="shared" ref="F10:AC10" si="3">IF(D9=0,"",F9/D9-1)</f>
        <v>-0.11584887913466058</v>
      </c>
      <c r="G10" s="6">
        <f t="shared" si="3"/>
        <v>-0.17578253706754532</v>
      </c>
      <c r="H10" s="6">
        <f t="shared" si="3"/>
        <v>-0.12588652482269502</v>
      </c>
      <c r="I10" s="6">
        <f t="shared" si="3"/>
        <v>-9.0345792524485491E-2</v>
      </c>
      <c r="J10" s="6">
        <f t="shared" si="3"/>
        <v>8.60040567951319E-2</v>
      </c>
      <c r="K10" s="6">
        <f t="shared" si="3"/>
        <v>0.18670238095238068</v>
      </c>
      <c r="L10" s="6">
        <f t="shared" si="3"/>
        <v>0.1175843746004368</v>
      </c>
      <c r="M10" s="6">
        <f t="shared" si="3"/>
        <v>5.5749999999999966E-2</v>
      </c>
      <c r="N10" s="6">
        <f t="shared" si="3"/>
        <v>5.5750000000000188E-2</v>
      </c>
      <c r="O10" s="6">
        <f t="shared" si="3"/>
        <v>5.5750000000000188E-2</v>
      </c>
      <c r="P10" s="6">
        <f t="shared" si="3"/>
        <v>5.5749999999999744E-2</v>
      </c>
      <c r="Q10" s="6">
        <f t="shared" si="3"/>
        <v>5.5750000000000188E-2</v>
      </c>
      <c r="R10" s="6">
        <f t="shared" si="3"/>
        <v>5.5750000000000188E-2</v>
      </c>
      <c r="S10" s="6">
        <f t="shared" si="3"/>
        <v>5.5749999999999744E-2</v>
      </c>
      <c r="T10" s="6">
        <f t="shared" si="3"/>
        <v>5.5749999999999966E-2</v>
      </c>
      <c r="U10" s="6">
        <f t="shared" si="3"/>
        <v>5.5749999999999966E-2</v>
      </c>
      <c r="V10" s="6">
        <f t="shared" si="3"/>
        <v>5.5749999999999744E-2</v>
      </c>
      <c r="W10" s="6">
        <f t="shared" si="3"/>
        <v>5.5749999999999966E-2</v>
      </c>
      <c r="X10" s="6">
        <f t="shared" si="3"/>
        <v>5.5749999999999966E-2</v>
      </c>
      <c r="Y10" s="6">
        <f t="shared" si="3"/>
        <v>5.5749999999999966E-2</v>
      </c>
      <c r="Z10" s="6">
        <f t="shared" si="3"/>
        <v>5.5749999999999966E-2</v>
      </c>
      <c r="AA10" s="6">
        <f t="shared" si="3"/>
        <v>5.5749999999999966E-2</v>
      </c>
      <c r="AB10" s="6">
        <f t="shared" si="3"/>
        <v>5.5749999999999966E-2</v>
      </c>
      <c r="AC10" s="6">
        <f t="shared" si="3"/>
        <v>5.5749999999999966E-2</v>
      </c>
    </row>
    <row r="12" spans="1:29" x14ac:dyDescent="0.35">
      <c r="B12" s="5" t="s">
        <v>29</v>
      </c>
    </row>
    <row r="13" spans="1:29" x14ac:dyDescent="0.35">
      <c r="A13" t="s">
        <v>30</v>
      </c>
      <c r="B13" t="s">
        <v>31</v>
      </c>
      <c r="C13" t="s">
        <v>22</v>
      </c>
      <c r="D13" s="46">
        <f>-D7*(1-Inputs!D6)</f>
        <v>-214.58699999999999</v>
      </c>
      <c r="E13" s="4">
        <f>INDEX(Annual!$A:$R,MATCH($A13,Annual!$A:$A,0),MATCH(E$1,Annual!$A$1:$R$1,0))-D13</f>
        <v>-195.66739999999993</v>
      </c>
      <c r="F13" s="46">
        <f>-F7*(1-Inputs!E6)</f>
        <v>-162.98580000000001</v>
      </c>
      <c r="G13" s="4">
        <f>INDEX(Annual!$A:$R,MATCH($A13,Annual!$A:$A,0),MATCH(G$1,Annual!$A$1:$R$1,0))-F13</f>
        <v>-164.61420000000001</v>
      </c>
      <c r="H13" s="46">
        <f>-H7*(1-Inputs!F6)</f>
        <v>-149.65870000000001</v>
      </c>
      <c r="I13" s="4">
        <f>INDEX(Annual!$A:$R,MATCH($A13,Annual!$A:$A,0),MATCH(I$1,Annual!$A$1:$R$1,0))-H13</f>
        <v>-140.84129999999999</v>
      </c>
      <c r="J13" s="54">
        <f>-J7*(1-Inputs!G6)</f>
        <v>-184.01250000000002</v>
      </c>
      <c r="K13" s="4">
        <f t="shared" ref="K13:AC13" si="4">-K7*(1-K98)</f>
        <v>-190.70340505436502</v>
      </c>
      <c r="L13" s="4">
        <f t="shared" si="4"/>
        <v>-217.47858991191279</v>
      </c>
      <c r="M13" s="4">
        <f t="shared" si="4"/>
        <v>-201.33511988614592</v>
      </c>
      <c r="N13" s="4">
        <f t="shared" si="4"/>
        <v>-229.60302129950193</v>
      </c>
      <c r="O13" s="4">
        <f t="shared" si="4"/>
        <v>-212.55955281979851</v>
      </c>
      <c r="P13" s="4">
        <f t="shared" si="4"/>
        <v>-242.40338973694912</v>
      </c>
      <c r="Q13" s="4">
        <f t="shared" si="4"/>
        <v>-224.40974788950231</v>
      </c>
      <c r="R13" s="4">
        <f t="shared" si="4"/>
        <v>-255.91737871478404</v>
      </c>
      <c r="S13" s="4">
        <f t="shared" si="4"/>
        <v>-236.92059133434205</v>
      </c>
      <c r="T13" s="4">
        <f t="shared" si="4"/>
        <v>-270.18477257813328</v>
      </c>
      <c r="U13" s="4">
        <f t="shared" si="4"/>
        <v>-250.12891430123159</v>
      </c>
      <c r="V13" s="4">
        <f t="shared" si="4"/>
        <v>-285.24757364936414</v>
      </c>
      <c r="W13" s="4">
        <f t="shared" si="4"/>
        <v>-264.07360127352524</v>
      </c>
      <c r="X13" s="4">
        <f t="shared" si="4"/>
        <v>-301.15012588031618</v>
      </c>
      <c r="Y13" s="4">
        <f t="shared" si="4"/>
        <v>-278.79570454452431</v>
      </c>
      <c r="Z13" s="4">
        <f t="shared" si="4"/>
        <v>-317.93924539814378</v>
      </c>
      <c r="AA13" s="4">
        <f t="shared" si="4"/>
        <v>-294.33856507288141</v>
      </c>
      <c r="AB13" s="4">
        <f t="shared" si="4"/>
        <v>-335.66435832909031</v>
      </c>
      <c r="AC13" s="4">
        <f t="shared" si="4"/>
        <v>-310.7479400756946</v>
      </c>
    </row>
    <row r="14" spans="1:29" x14ac:dyDescent="0.35">
      <c r="A14" t="s">
        <v>32</v>
      </c>
      <c r="B14" t="s">
        <v>33</v>
      </c>
      <c r="C14" t="s">
        <v>22</v>
      </c>
      <c r="D14" s="46">
        <f>-D8*(1-Inputs!D7)</f>
        <v>-194.12559999999999</v>
      </c>
      <c r="E14" s="4">
        <f>INDEX(Annual!$A:$R,MATCH($A14,Annual!$A:$A,0),MATCH(E$1,Annual!$A$1:$R$1,0))-D14</f>
        <v>-196.9802</v>
      </c>
      <c r="F14" s="46">
        <f>-F8*(1-Inputs!E7)</f>
        <v>-201.35820000000001</v>
      </c>
      <c r="G14" s="4">
        <f>INDEX(Annual!$A:$R,MATCH($A14,Annual!$A:$A,0),MATCH(G$1,Annual!$A$1:$R$1,0))-F14</f>
        <v>-174.04179999999997</v>
      </c>
      <c r="H14" s="46">
        <f>-H8*(1-Inputs!F7)</f>
        <v>-169.86</v>
      </c>
      <c r="I14" s="4">
        <f>INDEX(Annual!$A:$R,MATCH($A14,Annual!$A:$A,0),MATCH(I$1,Annual!$A$1:$R$1,0))-H14</f>
        <v>-162.83999999999997</v>
      </c>
      <c r="J14" s="54">
        <f>-J8*(1-Inputs!G7)</f>
        <v>-170.01669999999999</v>
      </c>
      <c r="K14" s="4">
        <f t="shared" ref="K14:AC14" si="5">-K8*(1-K111)</f>
        <v>-171.91832999999994</v>
      </c>
      <c r="L14" s="4">
        <f t="shared" si="5"/>
        <v>-179.49513102500001</v>
      </c>
      <c r="M14" s="4">
        <f t="shared" si="5"/>
        <v>-181.50277689749993</v>
      </c>
      <c r="N14" s="4">
        <f t="shared" si="5"/>
        <v>-189.50198457964376</v>
      </c>
      <c r="O14" s="4">
        <f t="shared" si="5"/>
        <v>-191.62155670953553</v>
      </c>
      <c r="P14" s="4">
        <f t="shared" si="5"/>
        <v>-200.06672021995891</v>
      </c>
      <c r="Q14" s="4">
        <f t="shared" si="5"/>
        <v>-202.30445849609217</v>
      </c>
      <c r="R14" s="4">
        <f t="shared" si="5"/>
        <v>-211.22043987222162</v>
      </c>
      <c r="S14" s="4">
        <f t="shared" si="5"/>
        <v>-213.58293205724925</v>
      </c>
      <c r="T14" s="4">
        <f t="shared" si="5"/>
        <v>-222.99597939509795</v>
      </c>
      <c r="U14" s="4">
        <f t="shared" si="5"/>
        <v>-225.49018051944091</v>
      </c>
      <c r="V14" s="4">
        <f t="shared" si="5"/>
        <v>-235.42800524637462</v>
      </c>
      <c r="W14" s="4">
        <f t="shared" si="5"/>
        <v>-238.06125808339971</v>
      </c>
      <c r="X14" s="4">
        <f t="shared" si="5"/>
        <v>-248.55311653885997</v>
      </c>
      <c r="Y14" s="4">
        <f t="shared" si="5"/>
        <v>-251.3331732215492</v>
      </c>
      <c r="Z14" s="4">
        <f t="shared" si="5"/>
        <v>-262.40995278590145</v>
      </c>
      <c r="AA14" s="4">
        <f t="shared" si="5"/>
        <v>-265.34499762865056</v>
      </c>
      <c r="AB14" s="4">
        <f t="shared" si="5"/>
        <v>-277.03930765371541</v>
      </c>
      <c r="AC14" s="4">
        <f t="shared" si="5"/>
        <v>-280.13798124644785</v>
      </c>
    </row>
    <row r="15" spans="1:29" x14ac:dyDescent="0.35">
      <c r="A15" t="s">
        <v>34</v>
      </c>
      <c r="B15" t="s">
        <v>35</v>
      </c>
      <c r="C15" t="s">
        <v>22</v>
      </c>
      <c r="D15" s="19">
        <v>0</v>
      </c>
      <c r="E15" s="4">
        <f>INDEX(Annual!$A:$R,MATCH($A15,Annual!$A:$A,0),MATCH(E$1,Annual!$A$1:$R$1,0))-D15</f>
        <v>0</v>
      </c>
      <c r="F15" s="19">
        <v>0</v>
      </c>
      <c r="G15" s="4">
        <f>INDEX(Annual!$A:$R,MATCH($A15,Annual!$A:$A,0),MATCH(G$1,Annual!$A$1:$R$1,0))-F15</f>
        <v>0</v>
      </c>
      <c r="H15" s="19">
        <v>0</v>
      </c>
      <c r="I15" s="4">
        <f>INDEX(Annual!$A:$R,MATCH($A15,Annual!$A:$A,0),MATCH(I$1,Annual!$A$1:$R$1,0))-H15</f>
        <v>0</v>
      </c>
      <c r="J15" s="19">
        <v>0</v>
      </c>
      <c r="K15" s="4">
        <f>0</f>
        <v>0</v>
      </c>
      <c r="L15" s="4">
        <f>0</f>
        <v>0</v>
      </c>
      <c r="M15" s="4">
        <f>0</f>
        <v>0</v>
      </c>
      <c r="N15" s="4">
        <f>0</f>
        <v>0</v>
      </c>
      <c r="O15" s="4">
        <f>0</f>
        <v>0</v>
      </c>
      <c r="P15" s="4">
        <f>0</f>
        <v>0</v>
      </c>
      <c r="Q15" s="4">
        <f>0</f>
        <v>0</v>
      </c>
      <c r="R15" s="4">
        <f>0</f>
        <v>0</v>
      </c>
      <c r="S15" s="4">
        <f>0</f>
        <v>0</v>
      </c>
      <c r="T15" s="4">
        <f>0</f>
        <v>0</v>
      </c>
      <c r="U15" s="4">
        <f>0</f>
        <v>0</v>
      </c>
      <c r="V15" s="4">
        <f>0</f>
        <v>0</v>
      </c>
      <c r="W15" s="4">
        <f>0</f>
        <v>0</v>
      </c>
      <c r="X15" s="4">
        <f>0</f>
        <v>0</v>
      </c>
      <c r="Y15" s="4">
        <f>0</f>
        <v>0</v>
      </c>
      <c r="Z15" s="4">
        <f>0</f>
        <v>0</v>
      </c>
      <c r="AA15" s="4">
        <f>0</f>
        <v>0</v>
      </c>
      <c r="AB15" s="4">
        <f>0</f>
        <v>0</v>
      </c>
      <c r="AC15" s="4">
        <f>0</f>
        <v>0</v>
      </c>
    </row>
    <row r="16" spans="1:29" x14ac:dyDescent="0.35">
      <c r="A16" t="s">
        <v>36</v>
      </c>
      <c r="B16" s="20" t="s">
        <v>37</v>
      </c>
      <c r="C16" s="20" t="s">
        <v>22</v>
      </c>
      <c r="D16" s="21">
        <f t="shared" ref="D16:AC16" si="6">SUM(D13:D15)</f>
        <v>-408.71259999999995</v>
      </c>
      <c r="E16" s="21">
        <f t="shared" si="6"/>
        <v>-392.6475999999999</v>
      </c>
      <c r="F16" s="21">
        <f t="shared" si="6"/>
        <v>-364.34400000000005</v>
      </c>
      <c r="G16" s="21">
        <f t="shared" si="6"/>
        <v>-338.65599999999995</v>
      </c>
      <c r="H16" s="21">
        <f t="shared" si="6"/>
        <v>-319.51870000000002</v>
      </c>
      <c r="I16" s="21">
        <f t="shared" si="6"/>
        <v>-303.68129999999996</v>
      </c>
      <c r="J16" s="21">
        <f t="shared" si="6"/>
        <v>-354.0292</v>
      </c>
      <c r="K16" s="21">
        <f t="shared" si="6"/>
        <v>-362.62173505436499</v>
      </c>
      <c r="L16" s="21">
        <f t="shared" si="6"/>
        <v>-396.9737209369128</v>
      </c>
      <c r="M16" s="21">
        <f t="shared" si="6"/>
        <v>-382.83789678364587</v>
      </c>
      <c r="N16" s="21">
        <f t="shared" si="6"/>
        <v>-419.10500587914566</v>
      </c>
      <c r="O16" s="21">
        <f t="shared" si="6"/>
        <v>-404.18110952933404</v>
      </c>
      <c r="P16" s="21">
        <f t="shared" si="6"/>
        <v>-442.470109956908</v>
      </c>
      <c r="Q16" s="21">
        <f t="shared" si="6"/>
        <v>-426.71420638559448</v>
      </c>
      <c r="R16" s="21">
        <f t="shared" si="6"/>
        <v>-467.13781858700565</v>
      </c>
      <c r="S16" s="21">
        <f t="shared" si="6"/>
        <v>-450.50352339159133</v>
      </c>
      <c r="T16" s="21">
        <f t="shared" si="6"/>
        <v>-493.18075197323122</v>
      </c>
      <c r="U16" s="21">
        <f t="shared" si="6"/>
        <v>-475.6190948206725</v>
      </c>
      <c r="V16" s="21">
        <f t="shared" si="6"/>
        <v>-520.67557889573879</v>
      </c>
      <c r="W16" s="21">
        <f t="shared" si="6"/>
        <v>-502.13485935692495</v>
      </c>
      <c r="X16" s="21">
        <f t="shared" si="6"/>
        <v>-549.70324241917615</v>
      </c>
      <c r="Y16" s="21">
        <f t="shared" si="6"/>
        <v>-530.12887776607351</v>
      </c>
      <c r="Z16" s="21">
        <f t="shared" si="6"/>
        <v>-580.34919818404524</v>
      </c>
      <c r="AA16" s="21">
        <f t="shared" si="6"/>
        <v>-559.68356270153197</v>
      </c>
      <c r="AB16" s="21">
        <f t="shared" si="6"/>
        <v>-612.70366598280566</v>
      </c>
      <c r="AC16" s="21">
        <f t="shared" si="6"/>
        <v>-590.88592132214239</v>
      </c>
    </row>
    <row r="18" spans="1:29" x14ac:dyDescent="0.35">
      <c r="B18" s="5" t="s">
        <v>38</v>
      </c>
    </row>
    <row r="19" spans="1:29" x14ac:dyDescent="0.35">
      <c r="A19" t="s">
        <v>39</v>
      </c>
      <c r="B19" t="s">
        <v>40</v>
      </c>
      <c r="C19" t="s">
        <v>22</v>
      </c>
      <c r="D19" s="4">
        <f t="shared" ref="D19:AC19" si="7">D7+D13</f>
        <v>101.91300000000001</v>
      </c>
      <c r="E19" s="4">
        <f t="shared" si="7"/>
        <v>84.132600000000025</v>
      </c>
      <c r="F19" s="4">
        <f t="shared" si="7"/>
        <v>89.3142</v>
      </c>
      <c r="G19" s="4">
        <f t="shared" si="7"/>
        <v>54.385799999999989</v>
      </c>
      <c r="H19" s="4">
        <f t="shared" si="7"/>
        <v>60.241299999999995</v>
      </c>
      <c r="I19" s="4">
        <f t="shared" si="7"/>
        <v>58.958699999999993</v>
      </c>
      <c r="J19" s="4">
        <f t="shared" si="7"/>
        <v>78.487499999999983</v>
      </c>
      <c r="K19" s="4">
        <f t="shared" si="7"/>
        <v>79.831873517063457</v>
      </c>
      <c r="L19" s="4">
        <f t="shared" si="7"/>
        <v>92.76190924916105</v>
      </c>
      <c r="M19" s="4">
        <f t="shared" si="7"/>
        <v>84.282500465639743</v>
      </c>
      <c r="N19" s="4">
        <f t="shared" si="7"/>
        <v>97.933385689801781</v>
      </c>
      <c r="O19" s="4">
        <f t="shared" si="7"/>
        <v>88.981249866599171</v>
      </c>
      <c r="P19" s="4">
        <f t="shared" si="7"/>
        <v>103.39317194200822</v>
      </c>
      <c r="Q19" s="4">
        <f t="shared" si="7"/>
        <v>93.94195454666206</v>
      </c>
      <c r="R19" s="4">
        <f t="shared" si="7"/>
        <v>109.15734127777517</v>
      </c>
      <c r="S19" s="4">
        <f t="shared" si="7"/>
        <v>99.179218512638471</v>
      </c>
      <c r="T19" s="4">
        <f t="shared" si="7"/>
        <v>115.24286305401114</v>
      </c>
      <c r="U19" s="4">
        <f t="shared" si="7"/>
        <v>104.70845994471807</v>
      </c>
      <c r="V19" s="4">
        <f t="shared" si="7"/>
        <v>121.66765266927223</v>
      </c>
      <c r="W19" s="4">
        <f t="shared" si="7"/>
        <v>110.54595658663612</v>
      </c>
      <c r="X19" s="4">
        <f t="shared" si="7"/>
        <v>128.4506243055842</v>
      </c>
      <c r="Y19" s="4">
        <f t="shared" si="7"/>
        <v>116.70889366634105</v>
      </c>
      <c r="Z19" s="4">
        <f t="shared" si="7"/>
        <v>135.61174661062051</v>
      </c>
      <c r="AA19" s="4">
        <f t="shared" si="7"/>
        <v>123.21541448823956</v>
      </c>
      <c r="AB19" s="4">
        <f t="shared" si="7"/>
        <v>143.17210148416257</v>
      </c>
      <c r="AC19" s="4">
        <f t="shared" si="7"/>
        <v>130.08467384595889</v>
      </c>
    </row>
    <row r="20" spans="1:29" x14ac:dyDescent="0.35">
      <c r="A20" t="s">
        <v>41</v>
      </c>
      <c r="B20" t="s">
        <v>42</v>
      </c>
      <c r="C20" t="s">
        <v>22</v>
      </c>
      <c r="D20" s="4">
        <f t="shared" ref="D20:AC20" si="8">D8+D14</f>
        <v>127.27439999999999</v>
      </c>
      <c r="E20" s="4">
        <f t="shared" si="8"/>
        <v>130.21980000000005</v>
      </c>
      <c r="F20" s="4">
        <f t="shared" si="8"/>
        <v>110.34179999999998</v>
      </c>
      <c r="G20" s="4">
        <f t="shared" si="8"/>
        <v>107.25820000000004</v>
      </c>
      <c r="H20" s="4">
        <f t="shared" si="8"/>
        <v>113.24000000000001</v>
      </c>
      <c r="I20" s="4">
        <f t="shared" si="8"/>
        <v>92.45999999999998</v>
      </c>
      <c r="J20" s="4">
        <f t="shared" si="8"/>
        <v>102.88329999999999</v>
      </c>
      <c r="K20" s="4">
        <f t="shared" si="8"/>
        <v>97.614644999999967</v>
      </c>
      <c r="L20" s="4">
        <f t="shared" si="8"/>
        <v>108.61904397499998</v>
      </c>
      <c r="M20" s="4">
        <f t="shared" si="8"/>
        <v>103.05666145874994</v>
      </c>
      <c r="N20" s="4">
        <f t="shared" si="8"/>
        <v>114.67455567660625</v>
      </c>
      <c r="O20" s="4">
        <f t="shared" si="8"/>
        <v>108.80207033507526</v>
      </c>
      <c r="P20" s="4">
        <f t="shared" si="8"/>
        <v>121.06766215557704</v>
      </c>
      <c r="Q20" s="4">
        <f t="shared" si="8"/>
        <v>114.8677857562557</v>
      </c>
      <c r="R20" s="4">
        <f t="shared" si="8"/>
        <v>127.81718432075047</v>
      </c>
      <c r="S20" s="4">
        <f t="shared" si="8"/>
        <v>121.27166481216693</v>
      </c>
      <c r="T20" s="4">
        <f t="shared" si="8"/>
        <v>134.94299234663231</v>
      </c>
      <c r="U20" s="4">
        <f t="shared" si="8"/>
        <v>128.03256012544523</v>
      </c>
      <c r="V20" s="4">
        <f t="shared" si="8"/>
        <v>142.46606416995704</v>
      </c>
      <c r="W20" s="4">
        <f t="shared" si="8"/>
        <v>135.17037535243878</v>
      </c>
      <c r="X20" s="4">
        <f t="shared" si="8"/>
        <v>150.40854724743213</v>
      </c>
      <c r="Y20" s="4">
        <f t="shared" si="8"/>
        <v>142.70612377833726</v>
      </c>
      <c r="Z20" s="4">
        <f t="shared" si="8"/>
        <v>158.79382375647646</v>
      </c>
      <c r="AA20" s="4">
        <f t="shared" si="8"/>
        <v>150.66199017897952</v>
      </c>
      <c r="AB20" s="4">
        <f t="shared" si="8"/>
        <v>167.64657943090003</v>
      </c>
      <c r="AC20" s="4">
        <f t="shared" si="8"/>
        <v>159.06139613145768</v>
      </c>
    </row>
    <row r="21" spans="1:29" x14ac:dyDescent="0.35">
      <c r="A21" t="s">
        <v>43</v>
      </c>
      <c r="B21" t="s">
        <v>44</v>
      </c>
      <c r="C21" t="s">
        <v>22</v>
      </c>
      <c r="D21" s="4">
        <f t="shared" ref="D21:AC21" si="9">D22-D19-D20</f>
        <v>0</v>
      </c>
      <c r="E21" s="4">
        <f t="shared" si="9"/>
        <v>0</v>
      </c>
      <c r="F21" s="4">
        <f t="shared" si="9"/>
        <v>0</v>
      </c>
      <c r="G21" s="4">
        <f t="shared" si="9"/>
        <v>0</v>
      </c>
      <c r="H21" s="4">
        <f t="shared" si="9"/>
        <v>0</v>
      </c>
      <c r="I21" s="4">
        <f t="shared" si="9"/>
        <v>0</v>
      </c>
      <c r="J21" s="4">
        <f t="shared" si="9"/>
        <v>0</v>
      </c>
      <c r="K21" s="4">
        <f t="shared" si="9"/>
        <v>0</v>
      </c>
      <c r="L21" s="4">
        <f t="shared" si="9"/>
        <v>0</v>
      </c>
      <c r="M21" s="4">
        <f t="shared" si="9"/>
        <v>0</v>
      </c>
      <c r="N21" s="4">
        <f t="shared" si="9"/>
        <v>0</v>
      </c>
      <c r="O21" s="4">
        <f t="shared" si="9"/>
        <v>0</v>
      </c>
      <c r="P21" s="4">
        <f t="shared" si="9"/>
        <v>0</v>
      </c>
      <c r="Q21" s="4">
        <f t="shared" si="9"/>
        <v>0</v>
      </c>
      <c r="R21" s="4">
        <f t="shared" si="9"/>
        <v>0</v>
      </c>
      <c r="S21" s="4">
        <f t="shared" si="9"/>
        <v>0</v>
      </c>
      <c r="T21" s="4">
        <f t="shared" si="9"/>
        <v>0</v>
      </c>
      <c r="U21" s="4">
        <f t="shared" si="9"/>
        <v>0</v>
      </c>
      <c r="V21" s="4">
        <f t="shared" si="9"/>
        <v>0</v>
      </c>
      <c r="W21" s="4">
        <f t="shared" si="9"/>
        <v>0</v>
      </c>
      <c r="X21" s="4">
        <f t="shared" si="9"/>
        <v>0</v>
      </c>
      <c r="Y21" s="4">
        <f t="shared" si="9"/>
        <v>0</v>
      </c>
      <c r="Z21" s="4">
        <f t="shared" si="9"/>
        <v>0</v>
      </c>
      <c r="AA21" s="4">
        <f t="shared" si="9"/>
        <v>0</v>
      </c>
      <c r="AB21" s="4">
        <f t="shared" si="9"/>
        <v>0</v>
      </c>
      <c r="AC21" s="4">
        <f t="shared" si="9"/>
        <v>0</v>
      </c>
    </row>
    <row r="22" spans="1:29" x14ac:dyDescent="0.35">
      <c r="A22" t="s">
        <v>45</v>
      </c>
      <c r="B22" s="20" t="s">
        <v>38</v>
      </c>
      <c r="C22" s="20" t="s">
        <v>22</v>
      </c>
      <c r="D22" s="21">
        <f t="shared" ref="D22:AC22" si="10">D9+D16</f>
        <v>229.18740000000003</v>
      </c>
      <c r="E22" s="21">
        <f t="shared" si="10"/>
        <v>214.3524000000001</v>
      </c>
      <c r="F22" s="21">
        <f t="shared" si="10"/>
        <v>199.65599999999995</v>
      </c>
      <c r="G22" s="21">
        <f t="shared" si="10"/>
        <v>161.64400000000006</v>
      </c>
      <c r="H22" s="21">
        <f t="shared" si="10"/>
        <v>173.48129999999998</v>
      </c>
      <c r="I22" s="21">
        <f t="shared" si="10"/>
        <v>151.41869999999994</v>
      </c>
      <c r="J22" s="21">
        <f t="shared" si="10"/>
        <v>181.37079999999997</v>
      </c>
      <c r="K22" s="21">
        <f t="shared" si="10"/>
        <v>177.4465185170634</v>
      </c>
      <c r="L22" s="21">
        <f t="shared" si="10"/>
        <v>201.38095322416103</v>
      </c>
      <c r="M22" s="21">
        <f t="shared" si="10"/>
        <v>187.3391619243896</v>
      </c>
      <c r="N22" s="21">
        <f t="shared" si="10"/>
        <v>212.60794136640811</v>
      </c>
      <c r="O22" s="21">
        <f t="shared" si="10"/>
        <v>197.78332020167448</v>
      </c>
      <c r="P22" s="21">
        <f t="shared" si="10"/>
        <v>224.46083409758523</v>
      </c>
      <c r="Q22" s="21">
        <f t="shared" si="10"/>
        <v>208.80974030291782</v>
      </c>
      <c r="R22" s="21">
        <f t="shared" si="10"/>
        <v>236.9745255985257</v>
      </c>
      <c r="S22" s="21">
        <f t="shared" si="10"/>
        <v>220.45088332480543</v>
      </c>
      <c r="T22" s="21">
        <f t="shared" si="10"/>
        <v>250.18585540064345</v>
      </c>
      <c r="U22" s="21">
        <f t="shared" si="10"/>
        <v>232.7410200701633</v>
      </c>
      <c r="V22" s="21">
        <f t="shared" si="10"/>
        <v>264.13371683922924</v>
      </c>
      <c r="W22" s="21">
        <f t="shared" si="10"/>
        <v>245.71633193907485</v>
      </c>
      <c r="X22" s="21">
        <f t="shared" si="10"/>
        <v>278.85917155301627</v>
      </c>
      <c r="Y22" s="21">
        <f t="shared" si="10"/>
        <v>259.41501744467826</v>
      </c>
      <c r="Z22" s="21">
        <f t="shared" si="10"/>
        <v>294.40557036709697</v>
      </c>
      <c r="AA22" s="21">
        <f t="shared" si="10"/>
        <v>273.87740466721914</v>
      </c>
      <c r="AB22" s="21">
        <f t="shared" si="10"/>
        <v>310.81868091506271</v>
      </c>
      <c r="AC22" s="21">
        <f t="shared" si="10"/>
        <v>289.14606997741657</v>
      </c>
    </row>
    <row r="23" spans="1:29" x14ac:dyDescent="0.35">
      <c r="B23" t="s">
        <v>352</v>
      </c>
      <c r="C23" t="s">
        <v>28</v>
      </c>
      <c r="D23" s="6"/>
      <c r="E23" s="6"/>
      <c r="F23" s="6">
        <f t="shared" ref="F23:AC23" si="11">IF(D22=0,"",F22/D22-1)</f>
        <v>-0.12885263325994389</v>
      </c>
      <c r="G23" s="6">
        <f t="shared" si="11"/>
        <v>-0.24589601049486742</v>
      </c>
      <c r="H23" s="6">
        <f t="shared" si="11"/>
        <v>-0.13109899026325267</v>
      </c>
      <c r="I23" s="6">
        <f t="shared" si="11"/>
        <v>-6.3258147534087983E-2</v>
      </c>
      <c r="J23" s="6">
        <f t="shared" si="11"/>
        <v>4.5477524090492771E-2</v>
      </c>
      <c r="K23" s="6">
        <f t="shared" si="11"/>
        <v>0.17189302587503041</v>
      </c>
      <c r="L23" s="6">
        <f t="shared" si="11"/>
        <v>0.11032731412201446</v>
      </c>
      <c r="M23" s="6">
        <f t="shared" si="11"/>
        <v>5.5749999999999522E-2</v>
      </c>
      <c r="N23" s="6">
        <f t="shared" si="11"/>
        <v>5.575000000000041E-2</v>
      </c>
      <c r="O23" s="6">
        <f t="shared" si="11"/>
        <v>5.5750000000000854E-2</v>
      </c>
      <c r="P23" s="6">
        <f t="shared" si="11"/>
        <v>5.57499999999993E-2</v>
      </c>
      <c r="Q23" s="6">
        <f t="shared" si="11"/>
        <v>5.5749999999999966E-2</v>
      </c>
      <c r="R23" s="6">
        <f t="shared" si="11"/>
        <v>5.575000000000041E-2</v>
      </c>
      <c r="S23" s="6">
        <f t="shared" si="11"/>
        <v>5.5749999999999744E-2</v>
      </c>
      <c r="T23" s="6">
        <f t="shared" si="11"/>
        <v>5.5749999999999744E-2</v>
      </c>
      <c r="U23" s="6">
        <f t="shared" si="11"/>
        <v>5.5749999999999744E-2</v>
      </c>
      <c r="V23" s="6">
        <f t="shared" si="11"/>
        <v>5.5749999999999744E-2</v>
      </c>
      <c r="W23" s="6">
        <f t="shared" si="11"/>
        <v>5.5749999999999744E-2</v>
      </c>
      <c r="X23" s="6">
        <f t="shared" si="11"/>
        <v>5.5749999999999966E-2</v>
      </c>
      <c r="Y23" s="6">
        <f t="shared" si="11"/>
        <v>5.5749999999999966E-2</v>
      </c>
      <c r="Z23" s="6">
        <f t="shared" si="11"/>
        <v>5.5750000000000188E-2</v>
      </c>
      <c r="AA23" s="6">
        <f t="shared" si="11"/>
        <v>5.5750000000000188E-2</v>
      </c>
      <c r="AB23" s="6">
        <f t="shared" si="11"/>
        <v>5.5750000000000188E-2</v>
      </c>
      <c r="AC23" s="6">
        <f t="shared" si="11"/>
        <v>5.5749999999999966E-2</v>
      </c>
    </row>
    <row r="24" spans="1:29" x14ac:dyDescent="0.35">
      <c r="B24" t="s">
        <v>47</v>
      </c>
      <c r="C24" t="s">
        <v>48</v>
      </c>
      <c r="D24" s="6">
        <f t="shared" ref="D24:AC24" si="12">IF(D9=0,"",D22/D9)</f>
        <v>0.35928421382661863</v>
      </c>
      <c r="E24" s="6">
        <f t="shared" si="12"/>
        <v>0.35313410214168056</v>
      </c>
      <c r="F24" s="6">
        <f t="shared" si="12"/>
        <v>0.35399999999999993</v>
      </c>
      <c r="G24" s="6">
        <f t="shared" si="12"/>
        <v>0.32309414351389176</v>
      </c>
      <c r="H24" s="6">
        <f t="shared" si="12"/>
        <v>0.35188904665314397</v>
      </c>
      <c r="I24" s="6">
        <f t="shared" si="12"/>
        <v>0.33271522742254445</v>
      </c>
      <c r="J24" s="6">
        <f t="shared" si="12"/>
        <v>0.33875756443780347</v>
      </c>
      <c r="K24" s="6">
        <f t="shared" si="12"/>
        <v>0.32856313501788653</v>
      </c>
      <c r="L24" s="6">
        <f t="shared" si="12"/>
        <v>0.33655783420846208</v>
      </c>
      <c r="M24" s="6">
        <f t="shared" si="12"/>
        <v>0.32856313501788642</v>
      </c>
      <c r="N24" s="6">
        <f t="shared" si="12"/>
        <v>0.33655783420846219</v>
      </c>
      <c r="O24" s="6">
        <f t="shared" si="12"/>
        <v>0.32856313501788664</v>
      </c>
      <c r="P24" s="6">
        <f t="shared" si="12"/>
        <v>0.33655783420846208</v>
      </c>
      <c r="Q24" s="6">
        <f t="shared" si="12"/>
        <v>0.32856313501788659</v>
      </c>
      <c r="R24" s="6">
        <f t="shared" si="12"/>
        <v>0.33655783420846214</v>
      </c>
      <c r="S24" s="6">
        <f t="shared" si="12"/>
        <v>0.32856313501788653</v>
      </c>
      <c r="T24" s="6">
        <f t="shared" si="12"/>
        <v>0.33655783420846208</v>
      </c>
      <c r="U24" s="6">
        <f t="shared" si="12"/>
        <v>0.32856313501788653</v>
      </c>
      <c r="V24" s="6">
        <f t="shared" si="12"/>
        <v>0.33655783420846208</v>
      </c>
      <c r="W24" s="6">
        <f t="shared" si="12"/>
        <v>0.32856313501788648</v>
      </c>
      <c r="X24" s="6">
        <f t="shared" si="12"/>
        <v>0.33655783420846208</v>
      </c>
      <c r="Y24" s="6">
        <f t="shared" si="12"/>
        <v>0.32856313501788648</v>
      </c>
      <c r="Z24" s="6">
        <f t="shared" si="12"/>
        <v>0.33655783420846214</v>
      </c>
      <c r="AA24" s="6">
        <f t="shared" si="12"/>
        <v>0.32856313501788659</v>
      </c>
      <c r="AB24" s="6">
        <f t="shared" si="12"/>
        <v>0.33655783420846219</v>
      </c>
      <c r="AC24" s="6">
        <f t="shared" si="12"/>
        <v>0.32856313501788659</v>
      </c>
    </row>
    <row r="25" spans="1:29" x14ac:dyDescent="0.35">
      <c r="B25" t="s">
        <v>353</v>
      </c>
      <c r="C25" t="s">
        <v>48</v>
      </c>
      <c r="D25" s="6">
        <f t="shared" ref="D25:AC25" si="13">IF(D7=0,"",D19/D7)</f>
        <v>0.32200000000000001</v>
      </c>
      <c r="E25" s="6">
        <f t="shared" si="13"/>
        <v>0.30068834882058626</v>
      </c>
      <c r="F25" s="6">
        <f t="shared" si="13"/>
        <v>0.35399999999999998</v>
      </c>
      <c r="G25" s="6">
        <f t="shared" si="13"/>
        <v>0.2483369863013698</v>
      </c>
      <c r="H25" s="6">
        <f t="shared" si="13"/>
        <v>0.28699999999999998</v>
      </c>
      <c r="I25" s="6">
        <f t="shared" si="13"/>
        <v>0.29508858858858861</v>
      </c>
      <c r="J25" s="6">
        <f t="shared" si="13"/>
        <v>0.29899999999999993</v>
      </c>
      <c r="K25" s="6">
        <f t="shared" si="13"/>
        <v>0.29508858858858855</v>
      </c>
      <c r="L25" s="6">
        <f t="shared" si="13"/>
        <v>0.29899999999999993</v>
      </c>
      <c r="M25" s="6">
        <f t="shared" si="13"/>
        <v>0.2950885885885885</v>
      </c>
      <c r="N25" s="6">
        <f t="shared" si="13"/>
        <v>0.29899999999999993</v>
      </c>
      <c r="O25" s="6">
        <f t="shared" si="13"/>
        <v>0.29508858858858855</v>
      </c>
      <c r="P25" s="6">
        <f t="shared" si="13"/>
        <v>0.29899999999999993</v>
      </c>
      <c r="Q25" s="6">
        <f t="shared" si="13"/>
        <v>0.2950885885885885</v>
      </c>
      <c r="R25" s="6">
        <f t="shared" si="13"/>
        <v>0.29899999999999993</v>
      </c>
      <c r="S25" s="6">
        <f t="shared" si="13"/>
        <v>0.29508858858858855</v>
      </c>
      <c r="T25" s="6">
        <f t="shared" si="13"/>
        <v>0.29899999999999988</v>
      </c>
      <c r="U25" s="6">
        <f t="shared" si="13"/>
        <v>0.29508858858858855</v>
      </c>
      <c r="V25" s="6">
        <f t="shared" si="13"/>
        <v>0.29899999999999988</v>
      </c>
      <c r="W25" s="6">
        <f t="shared" si="13"/>
        <v>0.29508858858858861</v>
      </c>
      <c r="X25" s="6">
        <f t="shared" si="13"/>
        <v>0.29899999999999999</v>
      </c>
      <c r="Y25" s="6">
        <f t="shared" si="13"/>
        <v>0.2950885885885885</v>
      </c>
      <c r="Z25" s="6">
        <f t="shared" si="13"/>
        <v>0.29899999999999999</v>
      </c>
      <c r="AA25" s="6">
        <f t="shared" si="13"/>
        <v>0.29508858858858861</v>
      </c>
      <c r="AB25" s="6">
        <f t="shared" si="13"/>
        <v>0.29899999999999993</v>
      </c>
      <c r="AC25" s="6">
        <f t="shared" si="13"/>
        <v>0.29508858858858855</v>
      </c>
    </row>
    <row r="26" spans="1:29" x14ac:dyDescent="0.35">
      <c r="B26" t="s">
        <v>354</v>
      </c>
      <c r="C26" t="s">
        <v>48</v>
      </c>
      <c r="D26" s="6">
        <f t="shared" ref="D26:AC26" si="14">IF(D8=0,"",D20/D8)</f>
        <v>0.39599999999999996</v>
      </c>
      <c r="E26" s="6">
        <f t="shared" si="14"/>
        <v>0.39798227383863088</v>
      </c>
      <c r="F26" s="6">
        <f t="shared" si="14"/>
        <v>0.35399999999999993</v>
      </c>
      <c r="G26" s="6">
        <f t="shared" si="14"/>
        <v>0.38129470316388214</v>
      </c>
      <c r="H26" s="6">
        <f t="shared" si="14"/>
        <v>0.4</v>
      </c>
      <c r="I26" s="6">
        <f t="shared" si="14"/>
        <v>0.36216216216216213</v>
      </c>
      <c r="J26" s="6">
        <f t="shared" si="14"/>
        <v>0.377</v>
      </c>
      <c r="K26" s="6">
        <f t="shared" si="14"/>
        <v>0.36216216216216218</v>
      </c>
      <c r="L26" s="6">
        <f t="shared" si="14"/>
        <v>0.37699999999999995</v>
      </c>
      <c r="M26" s="6">
        <f t="shared" si="14"/>
        <v>0.36216216216216213</v>
      </c>
      <c r="N26" s="6">
        <f t="shared" si="14"/>
        <v>0.377</v>
      </c>
      <c r="O26" s="6">
        <f t="shared" si="14"/>
        <v>0.36216216216216218</v>
      </c>
      <c r="P26" s="6">
        <f t="shared" si="14"/>
        <v>0.37699999999999995</v>
      </c>
      <c r="Q26" s="6">
        <f t="shared" si="14"/>
        <v>0.36216216216216213</v>
      </c>
      <c r="R26" s="6">
        <f t="shared" si="14"/>
        <v>0.377</v>
      </c>
      <c r="S26" s="6">
        <f t="shared" si="14"/>
        <v>0.36216216216216213</v>
      </c>
      <c r="T26" s="6">
        <f t="shared" si="14"/>
        <v>0.377</v>
      </c>
      <c r="U26" s="6">
        <f t="shared" si="14"/>
        <v>0.36216216216216213</v>
      </c>
      <c r="V26" s="6">
        <f t="shared" si="14"/>
        <v>0.377</v>
      </c>
      <c r="W26" s="6">
        <f t="shared" si="14"/>
        <v>0.36216216216216213</v>
      </c>
      <c r="X26" s="6">
        <f t="shared" si="14"/>
        <v>0.377</v>
      </c>
      <c r="Y26" s="6">
        <f t="shared" si="14"/>
        <v>0.36216216216216218</v>
      </c>
      <c r="Z26" s="6">
        <f t="shared" si="14"/>
        <v>0.37699999999999995</v>
      </c>
      <c r="AA26" s="6">
        <f t="shared" si="14"/>
        <v>0.36216216216216213</v>
      </c>
      <c r="AB26" s="6">
        <f t="shared" si="14"/>
        <v>0.377</v>
      </c>
      <c r="AC26" s="6">
        <f t="shared" si="14"/>
        <v>0.36216216216216218</v>
      </c>
    </row>
    <row r="28" spans="1:29" x14ac:dyDescent="0.35">
      <c r="B28" s="5" t="s">
        <v>49</v>
      </c>
    </row>
    <row r="29" spans="1:29" x14ac:dyDescent="0.35">
      <c r="A29" t="s">
        <v>50</v>
      </c>
      <c r="B29" t="s">
        <v>51</v>
      </c>
      <c r="C29" t="s">
        <v>22</v>
      </c>
      <c r="D29" s="19">
        <v>-70.7</v>
      </c>
      <c r="E29" s="4">
        <f>INDEX(Annual!$A:$R,MATCH($A29,Annual!$A:$A,0),MATCH(E$1,Annual!$A$1:$R$1,0))-D29</f>
        <v>-71.499999999999986</v>
      </c>
      <c r="F29" s="19">
        <v>-71.5</v>
      </c>
      <c r="G29" s="4">
        <f>INDEX(Annual!$A:$R,MATCH($A29,Annual!$A:$A,0),MATCH(G$1,Annual!$A$1:$R$1,0))-F29</f>
        <v>-67.800000000000011</v>
      </c>
      <c r="H29" s="19">
        <v>-73.900000000000006</v>
      </c>
      <c r="I29" s="4">
        <f>INDEX(Annual!$A:$R,MATCH($A29,Annual!$A:$A,0),MATCH(I$1,Annual!$A$1:$R$1,0))-H29</f>
        <v>-72.5</v>
      </c>
      <c r="J29" s="19">
        <v>-88.7</v>
      </c>
      <c r="K29" s="4">
        <f t="shared" ref="K29:AC29" si="15">IF(I33=0,0,K33*I29/I33)</f>
        <v>-75.475094410342209</v>
      </c>
      <c r="L29" s="4">
        <f t="shared" si="15"/>
        <v>-91.836993748019879</v>
      </c>
      <c r="M29" s="4">
        <f t="shared" si="15"/>
        <v>-77.568659631580047</v>
      </c>
      <c r="N29" s="4">
        <f t="shared" si="15"/>
        <v>-94.454950326474048</v>
      </c>
      <c r="O29" s="4">
        <f t="shared" si="15"/>
        <v>-79.726086831598622</v>
      </c>
      <c r="P29" s="4">
        <f t="shared" si="15"/>
        <v>-97.156309088601944</v>
      </c>
      <c r="Q29" s="4">
        <f t="shared" si="15"/>
        <v>-81.949614958657008</v>
      </c>
      <c r="R29" s="4">
        <f t="shared" si="15"/>
        <v>-99.9441559837543</v>
      </c>
      <c r="S29" s="4">
        <f t="shared" si="15"/>
        <v>-84.241574748453843</v>
      </c>
      <c r="T29" s="4">
        <f t="shared" si="15"/>
        <v>-102.82170990989786</v>
      </c>
      <c r="U29" s="4">
        <f t="shared" si="15"/>
        <v>-86.604393015428158</v>
      </c>
      <c r="V29" s="4">
        <f t="shared" si="15"/>
        <v>-105.7923291481752</v>
      </c>
      <c r="W29" s="4">
        <f t="shared" si="15"/>
        <v>-89.040597162654947</v>
      </c>
      <c r="X29" s="4">
        <f t="shared" si="15"/>
        <v>-108.85951813175653</v>
      </c>
      <c r="Y29" s="4">
        <f t="shared" si="15"/>
        <v>-91.552819922005085</v>
      </c>
      <c r="Z29" s="4">
        <f t="shared" si="15"/>
        <v>-112.02693456701181</v>
      </c>
      <c r="AA29" s="4">
        <f t="shared" si="15"/>
        <v>-94.143804336877423</v>
      </c>
      <c r="AB29" s="4">
        <f t="shared" si="15"/>
        <v>-115.29839692601786</v>
      </c>
      <c r="AC29" s="4">
        <f t="shared" si="15"/>
        <v>-96.816409000484256</v>
      </c>
    </row>
    <row r="30" spans="1:29" x14ac:dyDescent="0.35">
      <c r="A30" t="s">
        <v>52</v>
      </c>
      <c r="B30" t="s">
        <v>53</v>
      </c>
      <c r="C30" t="s">
        <v>22</v>
      </c>
      <c r="D30" s="19">
        <v>-13.3</v>
      </c>
      <c r="E30" s="4">
        <f>INDEX(Annual!$A:$R,MATCH($A30,Annual!$A:$A,0),MATCH(E$1,Annual!$A$1:$R$1,0))-D30</f>
        <v>-13.399999999999999</v>
      </c>
      <c r="F30" s="19">
        <v>-15</v>
      </c>
      <c r="G30" s="4">
        <f>INDEX(Annual!$A:$R,MATCH($A30,Annual!$A:$A,0),MATCH(G$1,Annual!$A$1:$R$1,0))-F30</f>
        <v>-12.5</v>
      </c>
      <c r="H30" s="19">
        <v>-11.6</v>
      </c>
      <c r="I30" s="4">
        <f>INDEX(Annual!$A:$R,MATCH($A30,Annual!$A:$A,0),MATCH(I$1,Annual!$A$1:$R$1,0))-H30</f>
        <v>-10.9</v>
      </c>
      <c r="J30" s="19">
        <v>-12.3</v>
      </c>
      <c r="K30" s="4">
        <f t="shared" ref="K30:AC30" si="16">IF(I33=0,0,K33*I30/I33)</f>
        <v>-11.347290056175588</v>
      </c>
      <c r="L30" s="4">
        <f t="shared" si="16"/>
        <v>-12.735005897414258</v>
      </c>
      <c r="M30" s="4">
        <f t="shared" si="16"/>
        <v>-11.662046758403068</v>
      </c>
      <c r="N30" s="4">
        <f t="shared" si="16"/>
        <v>-13.098037080221319</v>
      </c>
      <c r="O30" s="4">
        <f t="shared" si="16"/>
        <v>-11.986404778819653</v>
      </c>
      <c r="P30" s="4">
        <f t="shared" si="16"/>
        <v>-13.472633616570509</v>
      </c>
      <c r="Q30" s="4">
        <f t="shared" si="16"/>
        <v>-12.320700731715329</v>
      </c>
      <c r="R30" s="4">
        <f t="shared" si="16"/>
        <v>-13.859223434049358</v>
      </c>
      <c r="S30" s="4">
        <f t="shared" si="16"/>
        <v>-12.665285031146851</v>
      </c>
      <c r="T30" s="4">
        <f t="shared" si="16"/>
        <v>-14.258252896186516</v>
      </c>
      <c r="U30" s="4">
        <f t="shared" si="16"/>
        <v>-13.020522536112646</v>
      </c>
      <c r="V30" s="4">
        <f t="shared" si="16"/>
        <v>-14.670187694730046</v>
      </c>
      <c r="W30" s="4">
        <f t="shared" si="16"/>
        <v>-13.386793228592259</v>
      </c>
      <c r="X30" s="4">
        <f t="shared" si="16"/>
        <v>-15.095513788281911</v>
      </c>
      <c r="Y30" s="4">
        <f t="shared" si="16"/>
        <v>-13.764492926204902</v>
      </c>
      <c r="Z30" s="4">
        <f t="shared" si="16"/>
        <v>-15.534738389788563</v>
      </c>
      <c r="AA30" s="4">
        <f t="shared" si="16"/>
        <v>-14.154034031337433</v>
      </c>
      <c r="AB30" s="4">
        <f t="shared" si="16"/>
        <v>-15.988391005524464</v>
      </c>
      <c r="AC30" s="4">
        <f t="shared" si="16"/>
        <v>-14.555846318693495</v>
      </c>
    </row>
    <row r="31" spans="1:29" x14ac:dyDescent="0.35">
      <c r="A31" t="s">
        <v>54</v>
      </c>
      <c r="B31" t="s">
        <v>55</v>
      </c>
      <c r="C31" t="s">
        <v>22</v>
      </c>
      <c r="D31" s="19">
        <v>-4.9000000000000004</v>
      </c>
      <c r="E31" s="4">
        <f>INDEX(Annual!$A:$R,MATCH($A31,Annual!$A:$A,0),MATCH(E$1,Annual!$A$1:$R$1,0))-D31</f>
        <v>-6.1</v>
      </c>
      <c r="F31" s="19">
        <v>-7</v>
      </c>
      <c r="G31" s="4">
        <f>INDEX(Annual!$A:$R,MATCH($A31,Annual!$A:$A,0),MATCH(G$1,Annual!$A$1:$R$1,0))-F31</f>
        <v>-5.8000000000000007</v>
      </c>
      <c r="H31" s="19">
        <v>-7.2</v>
      </c>
      <c r="I31" s="4">
        <f>INDEX(Annual!$A:$R,MATCH($A31,Annual!$A:$A,0),MATCH(I$1,Annual!$A$1:$R$1,0))-H31</f>
        <v>-6.9999999999999991</v>
      </c>
      <c r="J31" s="19">
        <v>-8.3000000000000007</v>
      </c>
      <c r="K31" s="4">
        <f t="shared" ref="K31:AC31" si="17">IF(I33=0,0,K33*I31/I33)</f>
        <v>-7.2872504947916603</v>
      </c>
      <c r="L31" s="4">
        <f t="shared" si="17"/>
        <v>-8.5935405649218151</v>
      </c>
      <c r="M31" s="4">
        <f t="shared" si="17"/>
        <v>-7.4893878264973823</v>
      </c>
      <c r="N31" s="4">
        <f t="shared" si="17"/>
        <v>-8.8385128264908079</v>
      </c>
      <c r="O31" s="4">
        <f t="shared" si="17"/>
        <v>-7.6976911423612444</v>
      </c>
      <c r="P31" s="4">
        <f t="shared" si="17"/>
        <v>-9.0912893510191228</v>
      </c>
      <c r="Q31" s="4">
        <f t="shared" si="17"/>
        <v>-7.9123766166979168</v>
      </c>
      <c r="R31" s="4">
        <f t="shared" si="17"/>
        <v>-9.3521589026511922</v>
      </c>
      <c r="S31" s="4">
        <f t="shared" si="17"/>
        <v>-8.1336692860576107</v>
      </c>
      <c r="T31" s="4">
        <f t="shared" si="17"/>
        <v>-9.6214226860445589</v>
      </c>
      <c r="U31" s="4">
        <f t="shared" si="17"/>
        <v>-8.3618034635585801</v>
      </c>
      <c r="V31" s="4">
        <f t="shared" si="17"/>
        <v>-9.8993949484763721</v>
      </c>
      <c r="W31" s="4">
        <f t="shared" si="17"/>
        <v>-8.5970231743253027</v>
      </c>
      <c r="X31" s="4">
        <f t="shared" si="17"/>
        <v>-10.186403613230883</v>
      </c>
      <c r="Y31" s="4">
        <f t="shared" si="17"/>
        <v>-8.8395826131591093</v>
      </c>
      <c r="Z31" s="4">
        <f t="shared" si="17"/>
        <v>-10.482790945954884</v>
      </c>
      <c r="AA31" s="4">
        <f t="shared" si="17"/>
        <v>-9.0897466256295427</v>
      </c>
      <c r="AB31" s="4">
        <f t="shared" si="17"/>
        <v>-10.78891425576041</v>
      </c>
      <c r="AC31" s="4">
        <f t="shared" si="17"/>
        <v>-9.3477912138398569</v>
      </c>
    </row>
    <row r="32" spans="1:29" x14ac:dyDescent="0.35">
      <c r="A32" t="s">
        <v>56</v>
      </c>
      <c r="B32" t="s">
        <v>57</v>
      </c>
      <c r="C32" t="s">
        <v>22</v>
      </c>
      <c r="D32" s="19">
        <v>-25.1</v>
      </c>
      <c r="E32" s="4">
        <f>INDEX(Annual!$A:$R,MATCH($A32,Annual!$A:$A,0),MATCH(E$1,Annual!$A$1:$R$1,0))-D32</f>
        <v>-20.399999999999999</v>
      </c>
      <c r="F32" s="19">
        <v>-24.5</v>
      </c>
      <c r="G32" s="4">
        <f>INDEX(Annual!$A:$R,MATCH($A32,Annual!$A:$A,0),MATCH(G$1,Annual!$A$1:$R$1,0))-F32</f>
        <v>-9.7000000000000028</v>
      </c>
      <c r="H32" s="19">
        <v>-23.8</v>
      </c>
      <c r="I32" s="4">
        <f>INDEX(Annual!$A:$R,MATCH($A32,Annual!$A:$A,0),MATCH(I$1,Annual!$A$1:$R$1,0))-H32</f>
        <v>-5.5999999999999979</v>
      </c>
      <c r="J32" s="19">
        <v>-14.7</v>
      </c>
      <c r="K32" s="4">
        <f t="shared" ref="K32:AC32" si="18">IF(I33=0,0,K33*I32/I33)</f>
        <v>-5.8298003958333267</v>
      </c>
      <c r="L32" s="4">
        <f t="shared" si="18"/>
        <v>-15.219885096909721</v>
      </c>
      <c r="M32" s="4">
        <f t="shared" si="18"/>
        <v>-5.991510261197905</v>
      </c>
      <c r="N32" s="4">
        <f t="shared" si="18"/>
        <v>-15.653751632459624</v>
      </c>
      <c r="O32" s="4">
        <f t="shared" si="18"/>
        <v>-6.158152913888995</v>
      </c>
      <c r="P32" s="4">
        <f t="shared" si="18"/>
        <v>-16.101440175901338</v>
      </c>
      <c r="Q32" s="4">
        <f t="shared" si="18"/>
        <v>-6.3299012933583327</v>
      </c>
      <c r="R32" s="4">
        <f t="shared" si="18"/>
        <v>-16.563462152888256</v>
      </c>
      <c r="S32" s="4">
        <f t="shared" si="18"/>
        <v>-6.506935428846087</v>
      </c>
      <c r="T32" s="4">
        <f t="shared" si="18"/>
        <v>-17.04035102227169</v>
      </c>
      <c r="U32" s="4">
        <f t="shared" si="18"/>
        <v>-6.6894427708468625</v>
      </c>
      <c r="V32" s="4">
        <f t="shared" si="18"/>
        <v>-17.532663342482252</v>
      </c>
      <c r="W32" s="4">
        <f t="shared" si="18"/>
        <v>-6.8776185394602409</v>
      </c>
      <c r="X32" s="4">
        <f t="shared" si="18"/>
        <v>-18.040979893312532</v>
      </c>
      <c r="Y32" s="4">
        <f t="shared" si="18"/>
        <v>-7.0716660905272857</v>
      </c>
      <c r="Z32" s="4">
        <f t="shared" si="18"/>
        <v>-18.565906856088773</v>
      </c>
      <c r="AA32" s="4">
        <f t="shared" si="18"/>
        <v>-7.271797300503632</v>
      </c>
      <c r="AB32" s="4">
        <f t="shared" si="18"/>
        <v>-19.1080770553829</v>
      </c>
      <c r="AC32" s="4">
        <f t="shared" si="18"/>
        <v>-7.4782329710718836</v>
      </c>
    </row>
    <row r="33" spans="1:29" x14ac:dyDescent="0.35">
      <c r="A33" t="s">
        <v>58</v>
      </c>
      <c r="B33" s="20" t="s">
        <v>59</v>
      </c>
      <c r="C33" s="20" t="s">
        <v>22</v>
      </c>
      <c r="D33" s="21">
        <f t="shared" ref="D33:J33" si="19">SUM(D29:D32)</f>
        <v>-114</v>
      </c>
      <c r="E33" s="21">
        <f t="shared" si="19"/>
        <v>-111.39999999999998</v>
      </c>
      <c r="F33" s="21">
        <f t="shared" si="19"/>
        <v>-118</v>
      </c>
      <c r="G33" s="21">
        <f t="shared" si="19"/>
        <v>-95.800000000000011</v>
      </c>
      <c r="H33" s="21">
        <f t="shared" si="19"/>
        <v>-116.5</v>
      </c>
      <c r="I33" s="21">
        <f t="shared" si="19"/>
        <v>-96</v>
      </c>
      <c r="J33" s="21">
        <f t="shared" si="19"/>
        <v>-124</v>
      </c>
      <c r="K33" s="21">
        <f t="shared" ref="K33:AC33" si="20">K42-K22</f>
        <v>-99.939435357142784</v>
      </c>
      <c r="L33" s="21">
        <f t="shared" si="20"/>
        <v>-128.38542530726568</v>
      </c>
      <c r="M33" s="21">
        <f t="shared" si="20"/>
        <v>-102.71160447767841</v>
      </c>
      <c r="N33" s="21">
        <f t="shared" si="20"/>
        <v>-132.04525186564581</v>
      </c>
      <c r="O33" s="21">
        <f t="shared" si="20"/>
        <v>-105.56833566666852</v>
      </c>
      <c r="P33" s="21">
        <f t="shared" si="20"/>
        <v>-135.82167223209294</v>
      </c>
      <c r="Q33" s="21">
        <f t="shared" si="20"/>
        <v>-108.5125936004286</v>
      </c>
      <c r="R33" s="21">
        <f t="shared" si="20"/>
        <v>-139.71900047334313</v>
      </c>
      <c r="S33" s="21">
        <f t="shared" si="20"/>
        <v>-111.5474644945044</v>
      </c>
      <c r="T33" s="21">
        <f t="shared" si="20"/>
        <v>-143.74173651440066</v>
      </c>
      <c r="U33" s="21">
        <f t="shared" si="20"/>
        <v>-114.67616178594625</v>
      </c>
      <c r="V33" s="21">
        <f t="shared" si="20"/>
        <v>-147.8945751338639</v>
      </c>
      <c r="W33" s="21">
        <f t="shared" si="20"/>
        <v>-117.90203210503275</v>
      </c>
      <c r="X33" s="21">
        <f t="shared" si="20"/>
        <v>-152.18241542658188</v>
      </c>
      <c r="Y33" s="21">
        <f t="shared" si="20"/>
        <v>-121.22856155189638</v>
      </c>
      <c r="Z33" s="21">
        <f t="shared" si="20"/>
        <v>-156.61037075884406</v>
      </c>
      <c r="AA33" s="21">
        <f t="shared" si="20"/>
        <v>-124.65938229434803</v>
      </c>
      <c r="AB33" s="21">
        <f t="shared" si="20"/>
        <v>-161.18377924268566</v>
      </c>
      <c r="AC33" s="21">
        <f t="shared" si="20"/>
        <v>-128.1982795040895</v>
      </c>
    </row>
    <row r="34" spans="1:29" x14ac:dyDescent="0.35">
      <c r="B34" t="s">
        <v>355</v>
      </c>
      <c r="C34" t="s">
        <v>28</v>
      </c>
      <c r="D34" s="6"/>
      <c r="E34" s="6"/>
      <c r="F34" s="6">
        <f t="shared" ref="F34:AC34" si="21">IF(D33=0,"",F33/D33-1)</f>
        <v>3.5087719298245723E-2</v>
      </c>
      <c r="G34" s="6">
        <f t="shared" si="21"/>
        <v>-0.14003590664272858</v>
      </c>
      <c r="H34" s="6">
        <f t="shared" si="21"/>
        <v>-1.2711864406779627E-2</v>
      </c>
      <c r="I34" s="6">
        <f t="shared" si="21"/>
        <v>2.0876826722338038E-3</v>
      </c>
      <c r="J34" s="6">
        <f t="shared" si="21"/>
        <v>6.4377682403433445E-2</v>
      </c>
      <c r="K34" s="6">
        <f t="shared" si="21"/>
        <v>4.103578497023741E-2</v>
      </c>
      <c r="L34" s="6">
        <f t="shared" si="21"/>
        <v>3.5366333123110216E-2</v>
      </c>
      <c r="M34" s="6">
        <f t="shared" si="21"/>
        <v>2.7738490923317816E-2</v>
      </c>
      <c r="N34" s="6">
        <f t="shared" si="21"/>
        <v>2.8506557887089112E-2</v>
      </c>
      <c r="O34" s="6">
        <f t="shared" si="21"/>
        <v>2.7813129816416593E-2</v>
      </c>
      <c r="P34" s="6">
        <f t="shared" si="21"/>
        <v>2.8599440821163169E-2</v>
      </c>
      <c r="Q34" s="6">
        <f t="shared" si="21"/>
        <v>2.788959317362516E-2</v>
      </c>
      <c r="R34" s="6">
        <f t="shared" si="21"/>
        <v>2.8694450430491125E-2</v>
      </c>
      <c r="S34" s="6">
        <f t="shared" si="21"/>
        <v>2.7967914076876488E-2</v>
      </c>
      <c r="T34" s="6">
        <f t="shared" si="21"/>
        <v>2.8791617657077495E-2</v>
      </c>
      <c r="U34" s="6">
        <f t="shared" si="21"/>
        <v>2.8048125572553761E-2</v>
      </c>
      <c r="V34" s="6">
        <f t="shared" si="21"/>
        <v>2.8890972936362003E-2</v>
      </c>
      <c r="W34" s="6">
        <f t="shared" si="21"/>
        <v>2.8130260629998016E-2</v>
      </c>
      <c r="X34" s="6">
        <f t="shared" si="21"/>
        <v>2.8992546135224506E-2</v>
      </c>
      <c r="Y34" s="6">
        <f t="shared" si="21"/>
        <v>2.8214352097851947E-2</v>
      </c>
      <c r="Z34" s="6">
        <f t="shared" si="21"/>
        <v>2.9096366487876946E-2</v>
      </c>
      <c r="AA34" s="6">
        <f t="shared" si="21"/>
        <v>2.830043265821458E-2</v>
      </c>
      <c r="AB34" s="6">
        <f t="shared" si="21"/>
        <v>2.9202462529661855E-2</v>
      </c>
      <c r="AC34" s="6">
        <f t="shared" si="21"/>
        <v>2.8388534778596597E-2</v>
      </c>
    </row>
    <row r="35" spans="1:29" x14ac:dyDescent="0.35">
      <c r="B35" t="s">
        <v>356</v>
      </c>
      <c r="C35" t="s">
        <v>48</v>
      </c>
      <c r="D35" s="6">
        <f t="shared" ref="D35:AC35" si="22">IF(D22=0,"",-D33/D22)</f>
        <v>0.4974095434565774</v>
      </c>
      <c r="E35" s="6">
        <f t="shared" si="22"/>
        <v>0.51970493449105271</v>
      </c>
      <c r="F35" s="6">
        <f t="shared" si="22"/>
        <v>0.59101654846335716</v>
      </c>
      <c r="G35" s="6">
        <f t="shared" si="22"/>
        <v>0.59266041424364635</v>
      </c>
      <c r="H35" s="6">
        <f t="shared" si="22"/>
        <v>0.67154212010170555</v>
      </c>
      <c r="I35" s="6">
        <f t="shared" si="22"/>
        <v>0.63400359400787376</v>
      </c>
      <c r="J35" s="6">
        <f t="shared" si="22"/>
        <v>0.68368226859009285</v>
      </c>
      <c r="K35" s="6">
        <f t="shared" si="22"/>
        <v>0.56320876956248955</v>
      </c>
      <c r="L35" s="6">
        <f t="shared" si="22"/>
        <v>0.6375251643801555</v>
      </c>
      <c r="M35" s="6">
        <f t="shared" si="22"/>
        <v>0.54826552773377402</v>
      </c>
      <c r="N35" s="6">
        <f t="shared" si="22"/>
        <v>0.6210739402159926</v>
      </c>
      <c r="O35" s="6">
        <f t="shared" si="22"/>
        <v>0.53375752595832271</v>
      </c>
      <c r="P35" s="6">
        <f t="shared" si="22"/>
        <v>0.60510187792068848</v>
      </c>
      <c r="Q35" s="6">
        <f t="shared" si="22"/>
        <v>0.51967208734137915</v>
      </c>
      <c r="R35" s="6">
        <f t="shared" si="22"/>
        <v>0.58959502132330621</v>
      </c>
      <c r="S35" s="6">
        <f t="shared" si="22"/>
        <v>0.50599690421813304</v>
      </c>
      <c r="T35" s="6">
        <f t="shared" si="22"/>
        <v>0.57453982074332322</v>
      </c>
      <c r="U35" s="6">
        <f t="shared" si="22"/>
        <v>0.49272002739944759</v>
      </c>
      <c r="V35" s="6">
        <f t="shared" si="22"/>
        <v>0.55992312115110687</v>
      </c>
      <c r="W35" s="6">
        <f t="shared" si="22"/>
        <v>0.47982985573082076</v>
      </c>
      <c r="X35" s="6">
        <f t="shared" si="22"/>
        <v>0.54573215067322678</v>
      </c>
      <c r="Y35" s="6">
        <f t="shared" si="22"/>
        <v>0.46731512595545499</v>
      </c>
      <c r="Z35" s="6">
        <f t="shared" si="22"/>
        <v>0.53195450943256672</v>
      </c>
      <c r="AA35" s="6">
        <f t="shared" si="22"/>
        <v>0.45516490287257616</v>
      </c>
      <c r="AB35" s="6">
        <f t="shared" si="22"/>
        <v>0.51857815871347923</v>
      </c>
      <c r="AC35" s="6">
        <f t="shared" si="22"/>
        <v>0.44336856978240197</v>
      </c>
    </row>
    <row r="37" spans="1:29" x14ac:dyDescent="0.35">
      <c r="B37" s="5" t="s">
        <v>61</v>
      </c>
    </row>
    <row r="38" spans="1:29" x14ac:dyDescent="0.35">
      <c r="A38" t="s">
        <v>62</v>
      </c>
      <c r="B38" t="s">
        <v>63</v>
      </c>
      <c r="C38" t="s">
        <v>22</v>
      </c>
      <c r="D38" s="19">
        <v>64.3</v>
      </c>
      <c r="E38" s="4">
        <f>INDEX(Annual!$A:$R,MATCH($A38,Annual!$A:$A,0),MATCH(E$1,Annual!$A$1:$R$1,0))-D38</f>
        <v>48.900000000000006</v>
      </c>
      <c r="F38" s="19">
        <v>37.799999999999997</v>
      </c>
      <c r="G38" s="4">
        <f>INDEX(Annual!$A:$R,MATCH($A38,Annual!$A:$A,0),MATCH(G$1,Annual!$A$1:$R$1,0))-F38</f>
        <v>31</v>
      </c>
      <c r="H38" s="19">
        <v>22</v>
      </c>
      <c r="I38" s="4">
        <f>INDEX(Annual!$A:$R,MATCH($A38,Annual!$A:$A,0),MATCH(I$1,Annual!$A$1:$R$1,0))-H38</f>
        <v>22.1</v>
      </c>
      <c r="J38" s="19">
        <v>33.9</v>
      </c>
      <c r="K38" s="4">
        <f t="shared" ref="K38:AC38" si="23">K103</f>
        <v>42.051706017063481</v>
      </c>
      <c r="L38" s="4">
        <f t="shared" si="23"/>
        <v>47.059721749161085</v>
      </c>
      <c r="M38" s="4">
        <f t="shared" si="23"/>
        <v>45.557828778139786</v>
      </c>
      <c r="N38" s="4">
        <f t="shared" si="23"/>
        <v>51.088643502301807</v>
      </c>
      <c r="O38" s="4">
        <f t="shared" si="23"/>
        <v>49.288461386911706</v>
      </c>
      <c r="P38" s="4">
        <f t="shared" si="23"/>
        <v>55.377311199820753</v>
      </c>
      <c r="Q38" s="4">
        <f t="shared" si="23"/>
        <v>53.256846354982429</v>
      </c>
      <c r="R38" s="4">
        <f t="shared" si="23"/>
        <v>59.94108401703302</v>
      </c>
      <c r="S38" s="4">
        <f t="shared" si="23"/>
        <v>57.47698261616685</v>
      </c>
      <c r="T38" s="4">
        <f t="shared" si="23"/>
        <v>64.796199361750439</v>
      </c>
      <c r="U38" s="4">
        <f t="shared" si="23"/>
        <v>61.96366815083465</v>
      </c>
      <c r="V38" s="4">
        <f t="shared" si="23"/>
        <v>69.959822384705021</v>
      </c>
      <c r="W38" s="4">
        <f t="shared" si="23"/>
        <v>66.732544997905606</v>
      </c>
      <c r="X38" s="4">
        <f t="shared" si="23"/>
        <v>75.450098263902774</v>
      </c>
      <c r="Y38" s="4">
        <f t="shared" si="23"/>
        <v>71.800146787892317</v>
      </c>
      <c r="Z38" s="4">
        <f t="shared" si="23"/>
        <v>81.28620741789706</v>
      </c>
      <c r="AA38" s="4">
        <f t="shared" si="23"/>
        <v>77.18394893782957</v>
      </c>
      <c r="AB38" s="4">
        <f t="shared" si="23"/>
        <v>87.488423811621061</v>
      </c>
      <c r="AC38" s="4">
        <f t="shared" si="23"/>
        <v>82.902421656788675</v>
      </c>
    </row>
    <row r="39" spans="1:29" x14ac:dyDescent="0.35">
      <c r="A39" t="s">
        <v>64</v>
      </c>
      <c r="B39" t="s">
        <v>65</v>
      </c>
      <c r="C39" t="s">
        <v>22</v>
      </c>
      <c r="D39" s="19">
        <v>66.599999999999994</v>
      </c>
      <c r="E39" s="4">
        <f>INDEX(Annual!$A:$R,MATCH($A39,Annual!$A:$A,0),MATCH(E$1,Annual!$A$1:$R$1,0))-D39</f>
        <v>64.400000000000006</v>
      </c>
      <c r="F39" s="19">
        <v>53</v>
      </c>
      <c r="G39" s="4">
        <f>INDEX(Annual!$A:$R,MATCH($A39,Annual!$A:$A,0),MATCH(G$1,Annual!$A$1:$R$1,0))-F39</f>
        <v>46.5</v>
      </c>
      <c r="H39" s="19">
        <v>44.4</v>
      </c>
      <c r="I39" s="4">
        <f>INDEX(Annual!$A:$R,MATCH($A39,Annual!$A:$A,0),MATCH(I$1,Annual!$A$1:$R$1,0))-H39</f>
        <v>40.500000000000007</v>
      </c>
      <c r="J39" s="19">
        <v>36.5</v>
      </c>
      <c r="K39" s="4">
        <f t="shared" ref="K39:AC39" si="24">K116</f>
        <v>44.355644999999988</v>
      </c>
      <c r="L39" s="4">
        <f t="shared" si="24"/>
        <v>40.576161475000006</v>
      </c>
      <c r="M39" s="4">
        <f t="shared" si="24"/>
        <v>48.466186458749981</v>
      </c>
      <c r="N39" s="4">
        <f t="shared" si="24"/>
        <v>44.930601114106267</v>
      </c>
      <c r="O39" s="4">
        <f t="shared" si="24"/>
        <v>52.846833460075288</v>
      </c>
      <c r="P39" s="4">
        <f t="shared" si="24"/>
        <v>49.580108729014583</v>
      </c>
      <c r="Q39" s="4">
        <f t="shared" si="24"/>
        <v>57.513667959380754</v>
      </c>
      <c r="R39" s="4">
        <f t="shared" si="24"/>
        <v>54.54244205852396</v>
      </c>
      <c r="S39" s="4">
        <f t="shared" si="24"/>
        <v>62.48369407037012</v>
      </c>
      <c r="T39" s="4">
        <f t="shared" si="24"/>
        <v>59.836381527850122</v>
      </c>
      <c r="U39" s="4">
        <f t="shared" si="24"/>
        <v>67.774890115103503</v>
      </c>
      <c r="V39" s="4">
        <f t="shared" si="24"/>
        <v>65.4817880807053</v>
      </c>
      <c r="W39" s="4">
        <f t="shared" si="24"/>
        <v>73.406263591838524</v>
      </c>
      <c r="X39" s="4">
        <f t="shared" si="24"/>
        <v>71.499664255949099</v>
      </c>
      <c r="Y39" s="4">
        <f t="shared" si="24"/>
        <v>79.397909223721996</v>
      </c>
      <c r="Z39" s="4">
        <f t="shared" si="24"/>
        <v>77.912218690206387</v>
      </c>
      <c r="AA39" s="4">
        <f t="shared" si="24"/>
        <v>85.771070260498874</v>
      </c>
      <c r="AB39" s="4">
        <f t="shared" si="24"/>
        <v>84.742934237973188</v>
      </c>
      <c r="AC39" s="4">
        <f t="shared" si="24"/>
        <v>92.548203215014993</v>
      </c>
    </row>
    <row r="40" spans="1:29" x14ac:dyDescent="0.35">
      <c r="A40" t="s">
        <v>66</v>
      </c>
      <c r="B40" t="s">
        <v>67</v>
      </c>
      <c r="C40" t="s">
        <v>22</v>
      </c>
      <c r="D40" s="19">
        <v>-15.7</v>
      </c>
      <c r="E40" s="4">
        <f>INDEX(Annual!$A:$R,MATCH($A40,Annual!$A:$A,0),MATCH(E$1,Annual!$A$1:$R$1,0))-D40</f>
        <v>-9.6000000000000014</v>
      </c>
      <c r="F40" s="19">
        <v>-8.9</v>
      </c>
      <c r="G40" s="4">
        <f>INDEX(Annual!$A:$R,MATCH($A40,Annual!$A:$A,0),MATCH(G$1,Annual!$A$1:$R$1,0))-F40</f>
        <v>-11.799999999999999</v>
      </c>
      <c r="H40" s="19">
        <v>-9.5</v>
      </c>
      <c r="I40" s="4">
        <f>INDEX(Annual!$A:$R,MATCH($A40,Annual!$A:$A,0),MATCH(I$1,Annual!$A$1:$R$1,0))-H40</f>
        <v>-7.5</v>
      </c>
      <c r="J40" s="19">
        <v>-13.1</v>
      </c>
      <c r="K40" s="4">
        <f t="shared" ref="K40:AC40" si="25">-K9*K41</f>
        <v>-8.9002678571428557</v>
      </c>
      <c r="L40" s="4">
        <f t="shared" si="25"/>
        <v>-14.64035530726572</v>
      </c>
      <c r="M40" s="4">
        <f t="shared" si="25"/>
        <v>-9.3964577901785695</v>
      </c>
      <c r="N40" s="4">
        <f t="shared" si="25"/>
        <v>-15.456555115645786</v>
      </c>
      <c r="O40" s="4">
        <f t="shared" si="25"/>
        <v>-9.9203103119810248</v>
      </c>
      <c r="P40" s="4">
        <f t="shared" si="25"/>
        <v>-16.318258063343034</v>
      </c>
      <c r="Q40" s="4">
        <f t="shared" si="25"/>
        <v>-10.473367611873968</v>
      </c>
      <c r="R40" s="4">
        <f t="shared" si="25"/>
        <v>-17.228000950374412</v>
      </c>
      <c r="S40" s="4">
        <f t="shared" si="25"/>
        <v>-11.057257856235941</v>
      </c>
      <c r="T40" s="4">
        <f t="shared" si="25"/>
        <v>-18.188462003357785</v>
      </c>
      <c r="U40" s="4">
        <f t="shared" si="25"/>
        <v>-11.673699981721093</v>
      </c>
      <c r="V40" s="4">
        <f t="shared" si="25"/>
        <v>-19.202468760044976</v>
      </c>
      <c r="W40" s="4">
        <f t="shared" si="25"/>
        <v>-12.324508755702041</v>
      </c>
      <c r="X40" s="4">
        <f t="shared" si="25"/>
        <v>-20.273006393417482</v>
      </c>
      <c r="Y40" s="4">
        <f t="shared" si="25"/>
        <v>-13.01160011883243</v>
      </c>
      <c r="Z40" s="4">
        <f t="shared" si="25"/>
        <v>-21.403226499850508</v>
      </c>
      <c r="AA40" s="4">
        <f t="shared" si="25"/>
        <v>-13.736996825457338</v>
      </c>
      <c r="AB40" s="4">
        <f t="shared" si="25"/>
        <v>-22.596456377217173</v>
      </c>
      <c r="AC40" s="4">
        <f t="shared" si="25"/>
        <v>-14.502834398476583</v>
      </c>
    </row>
    <row r="41" spans="1:29" x14ac:dyDescent="0.35">
      <c r="B41" s="25" t="s">
        <v>357</v>
      </c>
      <c r="C41" t="s">
        <v>48</v>
      </c>
      <c r="D41" s="6">
        <f t="shared" ref="D41:J41" si="26">IF(D9=0,"",-D40/D9)</f>
        <v>2.4612008151747921E-2</v>
      </c>
      <c r="E41" s="6">
        <f t="shared" si="26"/>
        <v>1.5815485996705108E-2</v>
      </c>
      <c r="F41" s="6">
        <f t="shared" si="26"/>
        <v>1.5780141843971633E-2</v>
      </c>
      <c r="G41" s="6">
        <f t="shared" si="26"/>
        <v>2.3585848490905455E-2</v>
      </c>
      <c r="H41" s="6">
        <f t="shared" si="26"/>
        <v>1.9269776876267748E-2</v>
      </c>
      <c r="I41" s="6">
        <f t="shared" si="26"/>
        <v>1.6479894528675019E-2</v>
      </c>
      <c r="J41" s="6">
        <f t="shared" si="26"/>
        <v>2.4467687710123271E-2</v>
      </c>
      <c r="K41" s="26">
        <f t="shared" ref="K41:AC41" si="27">I41</f>
        <v>1.6479894528675019E-2</v>
      </c>
      <c r="L41" s="26">
        <f t="shared" si="27"/>
        <v>2.4467687710123271E-2</v>
      </c>
      <c r="M41" s="26">
        <f t="shared" si="27"/>
        <v>1.6479894528675019E-2</v>
      </c>
      <c r="N41" s="26">
        <f t="shared" si="27"/>
        <v>2.4467687710123271E-2</v>
      </c>
      <c r="O41" s="26">
        <f t="shared" si="27"/>
        <v>1.6479894528675019E-2</v>
      </c>
      <c r="P41" s="26">
        <f t="shared" si="27"/>
        <v>2.4467687710123271E-2</v>
      </c>
      <c r="Q41" s="26">
        <f t="shared" si="27"/>
        <v>1.6479894528675019E-2</v>
      </c>
      <c r="R41" s="26">
        <f t="shared" si="27"/>
        <v>2.4467687710123271E-2</v>
      </c>
      <c r="S41" s="26">
        <f t="shared" si="27"/>
        <v>1.6479894528675019E-2</v>
      </c>
      <c r="T41" s="26">
        <f t="shared" si="27"/>
        <v>2.4467687710123271E-2</v>
      </c>
      <c r="U41" s="26">
        <f t="shared" si="27"/>
        <v>1.6479894528675019E-2</v>
      </c>
      <c r="V41" s="26">
        <f t="shared" si="27"/>
        <v>2.4467687710123271E-2</v>
      </c>
      <c r="W41" s="26">
        <f t="shared" si="27"/>
        <v>1.6479894528675019E-2</v>
      </c>
      <c r="X41" s="26">
        <f t="shared" si="27"/>
        <v>2.4467687710123271E-2</v>
      </c>
      <c r="Y41" s="26">
        <f t="shared" si="27"/>
        <v>1.6479894528675019E-2</v>
      </c>
      <c r="Z41" s="26">
        <f t="shared" si="27"/>
        <v>2.4467687710123271E-2</v>
      </c>
      <c r="AA41" s="26">
        <f t="shared" si="27"/>
        <v>1.6479894528675019E-2</v>
      </c>
      <c r="AB41" s="26">
        <f t="shared" si="27"/>
        <v>2.4467687710123271E-2</v>
      </c>
      <c r="AC41" s="26">
        <f t="shared" si="27"/>
        <v>1.6479894528675019E-2</v>
      </c>
    </row>
    <row r="42" spans="1:29" x14ac:dyDescent="0.35">
      <c r="A42" t="s">
        <v>68</v>
      </c>
      <c r="B42" s="20" t="s">
        <v>69</v>
      </c>
      <c r="C42" s="20" t="s">
        <v>22</v>
      </c>
      <c r="D42" s="21">
        <f t="shared" ref="D42:AC42" si="28">SUM(D38:D40)</f>
        <v>115.19999999999997</v>
      </c>
      <c r="E42" s="21">
        <f t="shared" si="28"/>
        <v>103.70000000000002</v>
      </c>
      <c r="F42" s="21">
        <f t="shared" si="28"/>
        <v>81.899999999999991</v>
      </c>
      <c r="G42" s="21">
        <f t="shared" si="28"/>
        <v>65.7</v>
      </c>
      <c r="H42" s="21">
        <f t="shared" si="28"/>
        <v>56.900000000000006</v>
      </c>
      <c r="I42" s="21">
        <f t="shared" si="28"/>
        <v>55.100000000000009</v>
      </c>
      <c r="J42" s="21">
        <f t="shared" si="28"/>
        <v>57.300000000000004</v>
      </c>
      <c r="K42" s="21">
        <f t="shared" si="28"/>
        <v>77.507083159920612</v>
      </c>
      <c r="L42" s="21">
        <f t="shared" si="28"/>
        <v>72.995527916895369</v>
      </c>
      <c r="M42" s="21">
        <f t="shared" si="28"/>
        <v>84.627557446711194</v>
      </c>
      <c r="N42" s="21">
        <f t="shared" si="28"/>
        <v>80.562689500762289</v>
      </c>
      <c r="O42" s="21">
        <f t="shared" si="28"/>
        <v>92.214984535005968</v>
      </c>
      <c r="P42" s="21">
        <f t="shared" si="28"/>
        <v>88.639161865492298</v>
      </c>
      <c r="Q42" s="21">
        <f t="shared" si="28"/>
        <v>100.29714670248921</v>
      </c>
      <c r="R42" s="21">
        <f t="shared" si="28"/>
        <v>97.255525125182572</v>
      </c>
      <c r="S42" s="21">
        <f t="shared" si="28"/>
        <v>108.90341883030104</v>
      </c>
      <c r="T42" s="21">
        <f t="shared" si="28"/>
        <v>106.44411888624278</v>
      </c>
      <c r="U42" s="21">
        <f t="shared" si="28"/>
        <v>118.06485828421705</v>
      </c>
      <c r="V42" s="21">
        <f t="shared" si="28"/>
        <v>116.23914170536534</v>
      </c>
      <c r="W42" s="21">
        <f t="shared" si="28"/>
        <v>127.8142998340421</v>
      </c>
      <c r="X42" s="21">
        <f t="shared" si="28"/>
        <v>126.67675612643438</v>
      </c>
      <c r="Y42" s="21">
        <f t="shared" si="28"/>
        <v>138.18645589278188</v>
      </c>
      <c r="Z42" s="21">
        <f t="shared" si="28"/>
        <v>137.79519960825291</v>
      </c>
      <c r="AA42" s="21">
        <f t="shared" si="28"/>
        <v>149.2180223728711</v>
      </c>
      <c r="AB42" s="21">
        <f t="shared" si="28"/>
        <v>149.63490167237705</v>
      </c>
      <c r="AC42" s="21">
        <f t="shared" si="28"/>
        <v>160.94779047332707</v>
      </c>
    </row>
    <row r="43" spans="1:29" x14ac:dyDescent="0.35">
      <c r="B43" t="s">
        <v>358</v>
      </c>
      <c r="C43" t="s">
        <v>28</v>
      </c>
      <c r="D43" s="6"/>
      <c r="E43" s="6"/>
      <c r="F43" s="6">
        <f t="shared" ref="F43:AC43" si="29">IF(D42=0,"",F42/D42-1)</f>
        <v>-0.28906249999999989</v>
      </c>
      <c r="G43" s="6">
        <f t="shared" si="29"/>
        <v>-0.36644165863066547</v>
      </c>
      <c r="H43" s="6">
        <f t="shared" si="29"/>
        <v>-0.30525030525030505</v>
      </c>
      <c r="I43" s="6">
        <f t="shared" si="29"/>
        <v>-0.1613394216133941</v>
      </c>
      <c r="J43" s="6">
        <f t="shared" si="29"/>
        <v>7.0298769771528491E-3</v>
      </c>
      <c r="K43" s="6">
        <f t="shared" si="29"/>
        <v>0.40666212631434839</v>
      </c>
      <c r="L43" s="6">
        <f t="shared" si="29"/>
        <v>0.2739184627730431</v>
      </c>
      <c r="M43" s="6">
        <f t="shared" si="29"/>
        <v>9.186869117624874E-2</v>
      </c>
      <c r="N43" s="6">
        <f t="shared" si="29"/>
        <v>0.10366609845581287</v>
      </c>
      <c r="O43" s="6">
        <f t="shared" si="29"/>
        <v>8.9656694783758484E-2</v>
      </c>
      <c r="P43" s="6">
        <f t="shared" si="29"/>
        <v>0.10025077880069522</v>
      </c>
      <c r="Q43" s="6">
        <f t="shared" si="29"/>
        <v>8.764478146623933E-2</v>
      </c>
      <c r="R43" s="6">
        <f t="shared" si="29"/>
        <v>9.7207183352719273E-2</v>
      </c>
      <c r="S43" s="6">
        <f t="shared" si="29"/>
        <v>8.5807746389242157E-2</v>
      </c>
      <c r="T43" s="6">
        <f t="shared" si="29"/>
        <v>9.447888692424522E-2</v>
      </c>
      <c r="U43" s="6">
        <f t="shared" si="29"/>
        <v>8.412444303692479E-2</v>
      </c>
      <c r="V43" s="6">
        <f t="shared" si="29"/>
        <v>9.2020328803609441E-2</v>
      </c>
      <c r="W43" s="6">
        <f t="shared" si="29"/>
        <v>8.2576997859560075E-2</v>
      </c>
      <c r="X43" s="6">
        <f t="shared" si="29"/>
        <v>8.9794317713783212E-2</v>
      </c>
      <c r="Y43" s="6">
        <f t="shared" si="29"/>
        <v>8.1150200503443681E-2</v>
      </c>
      <c r="Z43" s="6">
        <f t="shared" si="29"/>
        <v>8.7770194168228954E-2</v>
      </c>
      <c r="AA43" s="6">
        <f t="shared" si="29"/>
        <v>7.9831025470749051E-2</v>
      </c>
      <c r="AB43" s="6">
        <f t="shared" si="29"/>
        <v>8.5922456644237366E-2</v>
      </c>
      <c r="AC43" s="6">
        <f t="shared" si="29"/>
        <v>7.8608253305657794E-2</v>
      </c>
    </row>
    <row r="44" spans="1:29" x14ac:dyDescent="0.35">
      <c r="B44" t="s">
        <v>71</v>
      </c>
      <c r="C44" t="s">
        <v>48</v>
      </c>
      <c r="D44" s="6">
        <f t="shared" ref="D44:AC44" si="30">IF(D9=0,"",D42/D9)</f>
        <v>0.1805925693682395</v>
      </c>
      <c r="E44" s="6">
        <f t="shared" si="30"/>
        <v>0.17084019769357497</v>
      </c>
      <c r="F44" s="6">
        <f t="shared" si="30"/>
        <v>0.14521276595744678</v>
      </c>
      <c r="G44" s="6">
        <f t="shared" si="30"/>
        <v>0.13132120727563462</v>
      </c>
      <c r="H44" s="6">
        <f t="shared" si="30"/>
        <v>0.1154158215010142</v>
      </c>
      <c r="I44" s="6">
        <f t="shared" si="30"/>
        <v>0.12107229180399916</v>
      </c>
      <c r="J44" s="6">
        <f t="shared" si="30"/>
        <v>0.10702278670153158</v>
      </c>
      <c r="K44" s="6">
        <f t="shared" si="30"/>
        <v>0.14351349602086855</v>
      </c>
      <c r="L44" s="6">
        <f t="shared" si="30"/>
        <v>0.12199374563128318</v>
      </c>
      <c r="M44" s="6">
        <f t="shared" si="30"/>
        <v>0.14842329440344168</v>
      </c>
      <c r="N44" s="6">
        <f t="shared" si="30"/>
        <v>0.12753053400605177</v>
      </c>
      <c r="O44" s="6">
        <f t="shared" si="30"/>
        <v>0.15319008894962913</v>
      </c>
      <c r="P44" s="6">
        <f t="shared" si="30"/>
        <v>0.13290605670000194</v>
      </c>
      <c r="Q44" s="6">
        <f t="shared" si="30"/>
        <v>0.15781804481971409</v>
      </c>
      <c r="R44" s="6">
        <f t="shared" si="30"/>
        <v>0.13812501077179817</v>
      </c>
      <c r="S44" s="6">
        <f t="shared" si="30"/>
        <v>0.16231120585863149</v>
      </c>
      <c r="T44" s="6">
        <f t="shared" si="30"/>
        <v>0.14319195647257119</v>
      </c>
      <c r="U44" s="6">
        <f t="shared" si="30"/>
        <v>0.16667349812942509</v>
      </c>
      <c r="V44" s="6">
        <f t="shared" si="30"/>
        <v>0.14811132123060322</v>
      </c>
      <c r="W44" s="6">
        <f t="shared" si="30"/>
        <v>0.17090873334378784</v>
      </c>
      <c r="X44" s="6">
        <f t="shared" si="30"/>
        <v>0.15288740351995475</v>
      </c>
      <c r="Y44" s="6">
        <f t="shared" si="30"/>
        <v>0.17502061219268369</v>
      </c>
      <c r="Z44" s="6">
        <f t="shared" si="30"/>
        <v>0.15752437661641255</v>
      </c>
      <c r="AA44" s="6">
        <f t="shared" si="30"/>
        <v>0.17901272757996112</v>
      </c>
      <c r="AB44" s="6">
        <f t="shared" si="30"/>
        <v>0.16202629224404147</v>
      </c>
      <c r="AC44" s="6">
        <f t="shared" si="30"/>
        <v>0.18288856776178397</v>
      </c>
    </row>
    <row r="45" spans="1:29" x14ac:dyDescent="0.35">
      <c r="B45" t="s">
        <v>359</v>
      </c>
      <c r="C45" t="s">
        <v>48</v>
      </c>
      <c r="D45" s="6">
        <f t="shared" ref="D45:AC45" si="31">IF(D7=0,"",D38/D7)</f>
        <v>0.20315955766192731</v>
      </c>
      <c r="E45" s="6">
        <f t="shared" si="31"/>
        <v>0.17476769120800575</v>
      </c>
      <c r="F45" s="6">
        <f t="shared" si="31"/>
        <v>0.14982164090368608</v>
      </c>
      <c r="G45" s="6">
        <f t="shared" si="31"/>
        <v>0.14155251141552511</v>
      </c>
      <c r="H45" s="6">
        <f t="shared" si="31"/>
        <v>0.10481181515007146</v>
      </c>
      <c r="I45" s="6">
        <f t="shared" si="31"/>
        <v>0.11061061061061063</v>
      </c>
      <c r="J45" s="6">
        <f t="shared" si="31"/>
        <v>0.12914285714285714</v>
      </c>
      <c r="K45" s="6">
        <f t="shared" si="31"/>
        <v>0.15543889964783544</v>
      </c>
      <c r="L45" s="6">
        <f t="shared" si="31"/>
        <v>0.15168787400876421</v>
      </c>
      <c r="M45" s="6">
        <f t="shared" si="31"/>
        <v>0.15950636631601275</v>
      </c>
      <c r="N45" s="6">
        <f t="shared" si="31"/>
        <v>0.15597851845511085</v>
      </c>
      <c r="O45" s="6">
        <f t="shared" si="31"/>
        <v>0.16345536308123346</v>
      </c>
      <c r="P45" s="6">
        <f t="shared" si="31"/>
        <v>0.1601441926748649</v>
      </c>
      <c r="Q45" s="6">
        <f t="shared" si="31"/>
        <v>0.16728934052319525</v>
      </c>
      <c r="R45" s="6">
        <f t="shared" si="31"/>
        <v>0.16418853657753874</v>
      </c>
      <c r="S45" s="6">
        <f t="shared" si="31"/>
        <v>0.17101164871927468</v>
      </c>
      <c r="T45" s="6">
        <f t="shared" si="31"/>
        <v>0.16811508405586284</v>
      </c>
      <c r="U45" s="6">
        <f t="shared" si="31"/>
        <v>0.17462554017177898</v>
      </c>
      <c r="V45" s="6">
        <f t="shared" si="31"/>
        <v>0.17192726607365325</v>
      </c>
      <c r="W45" s="6">
        <f t="shared" si="31"/>
        <v>0.1781341726499385</v>
      </c>
      <c r="X45" s="6">
        <f t="shared" si="31"/>
        <v>0.17562841366374102</v>
      </c>
      <c r="Y45" s="6">
        <f t="shared" si="31"/>
        <v>0.18154061194912249</v>
      </c>
      <c r="Z45" s="6">
        <f t="shared" si="31"/>
        <v>0.17922176083858352</v>
      </c>
      <c r="AA45" s="6">
        <f t="shared" si="31"/>
        <v>0.18484783456968942</v>
      </c>
      <c r="AB45" s="6">
        <f t="shared" si="31"/>
        <v>0.18271044741610051</v>
      </c>
      <c r="AC45" s="6">
        <f t="shared" si="31"/>
        <v>0.1880587303178127</v>
      </c>
    </row>
    <row r="46" spans="1:29" x14ac:dyDescent="0.35">
      <c r="B46" t="s">
        <v>360</v>
      </c>
      <c r="C46" t="s">
        <v>48</v>
      </c>
      <c r="D46" s="6">
        <f t="shared" ref="D46:AC46" si="32">IF(D8=0,"",D39/D8)</f>
        <v>0.20721841941505911</v>
      </c>
      <c r="E46" s="6">
        <f t="shared" si="32"/>
        <v>0.19682151589242053</v>
      </c>
      <c r="F46" s="6">
        <f t="shared" si="32"/>
        <v>0.1700352903432788</v>
      </c>
      <c r="G46" s="6">
        <f t="shared" si="32"/>
        <v>0.16530394596516174</v>
      </c>
      <c r="H46" s="6">
        <f t="shared" si="32"/>
        <v>0.15683504062168843</v>
      </c>
      <c r="I46" s="6">
        <f t="shared" si="32"/>
        <v>0.15863689776733261</v>
      </c>
      <c r="J46" s="6">
        <f t="shared" si="32"/>
        <v>0.13374862587028216</v>
      </c>
      <c r="K46" s="6">
        <f t="shared" si="32"/>
        <v>0.16456481808951207</v>
      </c>
      <c r="L46" s="6">
        <f t="shared" si="32"/>
        <v>0.14083361734978853</v>
      </c>
      <c r="M46" s="6">
        <f t="shared" si="32"/>
        <v>0.17032008053823003</v>
      </c>
      <c r="N46" s="6">
        <f t="shared" si="32"/>
        <v>0.14771224985416365</v>
      </c>
      <c r="O46" s="6">
        <f t="shared" si="32"/>
        <v>0.17590771398358729</v>
      </c>
      <c r="P46" s="6">
        <f t="shared" si="32"/>
        <v>0.15439053383899387</v>
      </c>
      <c r="Q46" s="6">
        <f t="shared" si="32"/>
        <v>0.18133260082373998</v>
      </c>
      <c r="R46" s="6">
        <f t="shared" si="32"/>
        <v>0.16087430469805236</v>
      </c>
      <c r="S46" s="6">
        <f t="shared" si="32"/>
        <v>0.18659948125107267</v>
      </c>
      <c r="T46" s="6">
        <f t="shared" si="32"/>
        <v>0.16716922786218674</v>
      </c>
      <c r="U46" s="6">
        <f t="shared" si="32"/>
        <v>0.19171295739411409</v>
      </c>
      <c r="V46" s="6">
        <f t="shared" si="32"/>
        <v>0.17328080374969584</v>
      </c>
      <c r="W46" s="6">
        <f t="shared" si="32"/>
        <v>0.19667749733881454</v>
      </c>
      <c r="X46" s="6">
        <f t="shared" si="32"/>
        <v>0.17921437257252021</v>
      </c>
      <c r="Y46" s="6">
        <f t="shared" si="32"/>
        <v>0.20149743903269848</v>
      </c>
      <c r="Z46" s="6">
        <f t="shared" si="32"/>
        <v>0.18497511900244687</v>
      </c>
      <c r="AA46" s="6">
        <f t="shared" si="32"/>
        <v>0.20617699407530415</v>
      </c>
      <c r="AB46" s="6">
        <f t="shared" si="32"/>
        <v>0.19056807670140472</v>
      </c>
      <c r="AC46" s="6">
        <f t="shared" si="32"/>
        <v>0.21072025139822237</v>
      </c>
    </row>
    <row r="48" spans="1:29" x14ac:dyDescent="0.35">
      <c r="A48" t="s">
        <v>75</v>
      </c>
      <c r="B48" t="s">
        <v>361</v>
      </c>
      <c r="C48" t="s">
        <v>22</v>
      </c>
      <c r="D48" s="19">
        <v>0</v>
      </c>
      <c r="E48" s="4">
        <f>INDEX(Annual!$A:$R,MATCH($A48,Annual!$A:$A,0),MATCH(E$1,Annual!$A$1:$R$1,0))-D48</f>
        <v>-10.199999999999999</v>
      </c>
      <c r="F48" s="19">
        <v>0</v>
      </c>
      <c r="G48" s="4">
        <f>INDEX(Annual!$A:$R,MATCH($A48,Annual!$A:$A,0),MATCH(G$1,Annual!$A$1:$R$1,0))-F48</f>
        <v>0</v>
      </c>
      <c r="H48" s="19">
        <v>0</v>
      </c>
      <c r="I48" s="4">
        <f>INDEX(Annual!$A:$R,MATCH($A48,Annual!$A:$A,0),MATCH(I$1,Annual!$A$1:$R$1,0))-H48</f>
        <v>-3.1</v>
      </c>
      <c r="J48" s="19">
        <v>-1</v>
      </c>
      <c r="K48" s="4">
        <f>0</f>
        <v>0</v>
      </c>
      <c r="L48" s="4">
        <f>0</f>
        <v>0</v>
      </c>
      <c r="M48" s="4">
        <f>0</f>
        <v>0</v>
      </c>
      <c r="N48" s="4">
        <f>0</f>
        <v>0</v>
      </c>
      <c r="O48" s="4">
        <f>0</f>
        <v>0</v>
      </c>
      <c r="P48" s="4">
        <f>0</f>
        <v>0</v>
      </c>
      <c r="Q48" s="4">
        <f>0</f>
        <v>0</v>
      </c>
      <c r="R48" s="4">
        <f>0</f>
        <v>0</v>
      </c>
      <c r="S48" s="4">
        <f>0</f>
        <v>0</v>
      </c>
      <c r="T48" s="4">
        <f>0</f>
        <v>0</v>
      </c>
      <c r="U48" s="4">
        <f>0</f>
        <v>0</v>
      </c>
      <c r="V48" s="4">
        <f>0</f>
        <v>0</v>
      </c>
      <c r="W48" s="4">
        <f>0</f>
        <v>0</v>
      </c>
      <c r="X48" s="4">
        <f>0</f>
        <v>0</v>
      </c>
      <c r="Y48" s="4">
        <f>0</f>
        <v>0</v>
      </c>
      <c r="Z48" s="4">
        <f>0</f>
        <v>0</v>
      </c>
      <c r="AA48" s="4">
        <f>0</f>
        <v>0</v>
      </c>
      <c r="AB48" s="4">
        <f>0</f>
        <v>0</v>
      </c>
      <c r="AC48" s="4">
        <f>0</f>
        <v>0</v>
      </c>
    </row>
    <row r="49" spans="1:29" x14ac:dyDescent="0.35">
      <c r="A49" t="s">
        <v>77</v>
      </c>
      <c r="B49" s="20" t="s">
        <v>78</v>
      </c>
      <c r="C49" s="20" t="s">
        <v>22</v>
      </c>
      <c r="D49" s="21">
        <f t="shared" ref="D49:AC49" si="33">D42+D48</f>
        <v>115.19999999999997</v>
      </c>
      <c r="E49" s="21">
        <f t="shared" si="33"/>
        <v>93.500000000000014</v>
      </c>
      <c r="F49" s="21">
        <f t="shared" si="33"/>
        <v>81.899999999999991</v>
      </c>
      <c r="G49" s="21">
        <f t="shared" si="33"/>
        <v>65.7</v>
      </c>
      <c r="H49" s="21">
        <f t="shared" si="33"/>
        <v>56.900000000000006</v>
      </c>
      <c r="I49" s="21">
        <f t="shared" si="33"/>
        <v>52.000000000000007</v>
      </c>
      <c r="J49" s="21">
        <f t="shared" si="33"/>
        <v>56.300000000000004</v>
      </c>
      <c r="K49" s="21">
        <f t="shared" si="33"/>
        <v>77.507083159920612</v>
      </c>
      <c r="L49" s="21">
        <f t="shared" si="33"/>
        <v>72.995527916895369</v>
      </c>
      <c r="M49" s="21">
        <f t="shared" si="33"/>
        <v>84.627557446711194</v>
      </c>
      <c r="N49" s="21">
        <f t="shared" si="33"/>
        <v>80.562689500762289</v>
      </c>
      <c r="O49" s="21">
        <f t="shared" si="33"/>
        <v>92.214984535005968</v>
      </c>
      <c r="P49" s="21">
        <f t="shared" si="33"/>
        <v>88.639161865492298</v>
      </c>
      <c r="Q49" s="21">
        <f t="shared" si="33"/>
        <v>100.29714670248921</v>
      </c>
      <c r="R49" s="21">
        <f t="shared" si="33"/>
        <v>97.255525125182572</v>
      </c>
      <c r="S49" s="21">
        <f t="shared" si="33"/>
        <v>108.90341883030104</v>
      </c>
      <c r="T49" s="21">
        <f t="shared" si="33"/>
        <v>106.44411888624278</v>
      </c>
      <c r="U49" s="21">
        <f t="shared" si="33"/>
        <v>118.06485828421705</v>
      </c>
      <c r="V49" s="21">
        <f t="shared" si="33"/>
        <v>116.23914170536534</v>
      </c>
      <c r="W49" s="21">
        <f t="shared" si="33"/>
        <v>127.8142998340421</v>
      </c>
      <c r="X49" s="21">
        <f t="shared" si="33"/>
        <v>126.67675612643438</v>
      </c>
      <c r="Y49" s="21">
        <f t="shared" si="33"/>
        <v>138.18645589278188</v>
      </c>
      <c r="Z49" s="21">
        <f t="shared" si="33"/>
        <v>137.79519960825291</v>
      </c>
      <c r="AA49" s="21">
        <f t="shared" si="33"/>
        <v>149.2180223728711</v>
      </c>
      <c r="AB49" s="21">
        <f t="shared" si="33"/>
        <v>149.63490167237705</v>
      </c>
      <c r="AC49" s="21">
        <f t="shared" si="33"/>
        <v>160.94779047332707</v>
      </c>
    </row>
    <row r="51" spans="1:29" x14ac:dyDescent="0.35">
      <c r="B51" s="5" t="s">
        <v>79</v>
      </c>
    </row>
    <row r="52" spans="1:29" x14ac:dyDescent="0.35">
      <c r="A52" t="s">
        <v>80</v>
      </c>
      <c r="B52" t="s">
        <v>81</v>
      </c>
      <c r="C52" t="s">
        <v>22</v>
      </c>
      <c r="D52" s="46">
        <f>Inputs!D10</f>
        <v>-6.7</v>
      </c>
      <c r="E52" s="4">
        <f>INDEX(Annual!$A:$R,MATCH($A52,Annual!$A:$A,0),MATCH(E$1,Annual!$A$1:$R$1,0))-D52</f>
        <v>-8.3999999999999986</v>
      </c>
      <c r="F52" s="46">
        <f>Inputs!E10</f>
        <v>-7.8</v>
      </c>
      <c r="G52" s="4">
        <f>INDEX(Annual!$A:$R,MATCH($A52,Annual!$A:$A,0),MATCH(G$1,Annual!$A$1:$R$1,0))-F52</f>
        <v>-10.399999999999999</v>
      </c>
      <c r="H52" s="46">
        <f>Inputs!F10</f>
        <v>-9.1</v>
      </c>
      <c r="I52" s="4">
        <f>INDEX(Annual!$A:$R,MATCH($A52,Annual!$A:$A,0),MATCH(I$1,Annual!$A$1:$R$1,0))-H52</f>
        <v>-9.1</v>
      </c>
      <c r="J52" s="54">
        <f>Inputs!G10</f>
        <v>-9.6999999999999993</v>
      </c>
      <c r="K52" s="4">
        <f t="shared" ref="K52:AC52" si="34">IF(I54=0,0,K54*I52/I54)</f>
        <v>-10.798991666666664</v>
      </c>
      <c r="L52" s="4">
        <f t="shared" si="34"/>
        <v>-10.840568433624236</v>
      </c>
      <c r="M52" s="4">
        <f t="shared" si="34"/>
        <v>-11.401035452083331</v>
      </c>
      <c r="N52" s="4">
        <f t="shared" si="34"/>
        <v>-11.444930123798787</v>
      </c>
      <c r="O52" s="4">
        <f t="shared" si="34"/>
        <v>-12.036643178536979</v>
      </c>
      <c r="P52" s="4">
        <f t="shared" si="34"/>
        <v>-12.082984978200567</v>
      </c>
      <c r="Q52" s="4">
        <f t="shared" si="34"/>
        <v>-12.707686035740416</v>
      </c>
      <c r="R52" s="4">
        <f t="shared" si="34"/>
        <v>-12.756611390735252</v>
      </c>
      <c r="S52" s="4">
        <f t="shared" si="34"/>
        <v>-13.416139532232942</v>
      </c>
      <c r="T52" s="4">
        <f t="shared" si="34"/>
        <v>-13.467792475768741</v>
      </c>
      <c r="U52" s="4">
        <f t="shared" si="34"/>
        <v>-14.164089311154926</v>
      </c>
      <c r="V52" s="4">
        <f t="shared" si="34"/>
        <v>-14.218621906292846</v>
      </c>
      <c r="W52" s="4">
        <f t="shared" si="34"/>
        <v>-14.95373729025181</v>
      </c>
      <c r="X52" s="4">
        <f t="shared" si="34"/>
        <v>-15.011310077568671</v>
      </c>
      <c r="Y52" s="4">
        <f t="shared" si="34"/>
        <v>-15.787408144183349</v>
      </c>
      <c r="Z52" s="4">
        <f t="shared" si="34"/>
        <v>-15.848190614393125</v>
      </c>
      <c r="AA52" s="4">
        <f t="shared" si="34"/>
        <v>-16.667556148221571</v>
      </c>
      <c r="AB52" s="4">
        <f t="shared" si="34"/>
        <v>-16.731727241145542</v>
      </c>
      <c r="AC52" s="4">
        <f t="shared" si="34"/>
        <v>-17.596772403484923</v>
      </c>
    </row>
    <row r="53" spans="1:29" x14ac:dyDescent="0.35">
      <c r="A53" t="s">
        <v>82</v>
      </c>
      <c r="B53" t="s">
        <v>83</v>
      </c>
      <c r="C53" t="s">
        <v>22</v>
      </c>
      <c r="D53" s="19">
        <v>-14.3</v>
      </c>
      <c r="E53" s="4">
        <f>INDEX(Annual!$A:$R,MATCH($A53,Annual!$A:$A,0),MATCH(E$1,Annual!$A$1:$R$1,0))-D53</f>
        <v>-15.099999999999998</v>
      </c>
      <c r="F53" s="19">
        <v>-14.9</v>
      </c>
      <c r="G53" s="4">
        <f>INDEX(Annual!$A:$R,MATCH($A53,Annual!$A:$A,0),MATCH(G$1,Annual!$A$1:$R$1,0))-F53</f>
        <v>-15.499999999999998</v>
      </c>
      <c r="H53" s="19">
        <v>-15.8</v>
      </c>
      <c r="I53" s="4">
        <f>INDEX(Annual!$A:$R,MATCH($A53,Annual!$A:$A,0),MATCH(I$1,Annual!$A$1:$R$1,0))-H53</f>
        <v>-16.499999999999996</v>
      </c>
      <c r="J53" s="19">
        <v>-17.8</v>
      </c>
      <c r="K53" s="4">
        <f t="shared" ref="K53:AC53" si="35">K54-K52</f>
        <v>-19.580589285714275</v>
      </c>
      <c r="L53" s="4">
        <f t="shared" si="35"/>
        <v>-19.893001867887776</v>
      </c>
      <c r="M53" s="4">
        <f t="shared" si="35"/>
        <v>-20.672207138392846</v>
      </c>
      <c r="N53" s="4">
        <f t="shared" si="35"/>
        <v>-21.00203672202252</v>
      </c>
      <c r="O53" s="4">
        <f t="shared" si="35"/>
        <v>-21.824682686358251</v>
      </c>
      <c r="P53" s="4">
        <f t="shared" si="35"/>
        <v>-22.172900269275271</v>
      </c>
      <c r="Q53" s="4">
        <f t="shared" si="35"/>
        <v>-23.04140874612272</v>
      </c>
      <c r="R53" s="4">
        <f t="shared" si="35"/>
        <v>-23.409039459287371</v>
      </c>
      <c r="S53" s="4">
        <f t="shared" si="35"/>
        <v>-24.325967283719059</v>
      </c>
      <c r="T53" s="4">
        <f t="shared" si="35"/>
        <v>-24.714093409142642</v>
      </c>
      <c r="U53" s="4">
        <f t="shared" si="35"/>
        <v>-25.682139959786397</v>
      </c>
      <c r="V53" s="4">
        <f t="shared" si="35"/>
        <v>-26.091904116702338</v>
      </c>
      <c r="W53" s="4">
        <f t="shared" si="35"/>
        <v>-27.113919262544485</v>
      </c>
      <c r="X53" s="4">
        <f t="shared" si="35"/>
        <v>-27.546527771208488</v>
      </c>
      <c r="Y53" s="4">
        <f t="shared" si="35"/>
        <v>-28.625520261431337</v>
      </c>
      <c r="Z53" s="4">
        <f t="shared" si="35"/>
        <v>-29.082246694453367</v>
      </c>
      <c r="AA53" s="4">
        <f t="shared" si="35"/>
        <v>-30.221393016006132</v>
      </c>
      <c r="AB53" s="4">
        <f t="shared" si="35"/>
        <v>-30.703581947669143</v>
      </c>
      <c r="AC53" s="4">
        <f t="shared" si="35"/>
        <v>-31.906235676648468</v>
      </c>
    </row>
    <row r="54" spans="1:29" x14ac:dyDescent="0.35">
      <c r="A54" t="s">
        <v>84</v>
      </c>
      <c r="B54" s="20" t="s">
        <v>85</v>
      </c>
      <c r="C54" s="20" t="s">
        <v>22</v>
      </c>
      <c r="D54" s="21">
        <f t="shared" ref="D54:J54" si="36">D52+D53</f>
        <v>-21</v>
      </c>
      <c r="E54" s="21">
        <f t="shared" si="36"/>
        <v>-23.499999999999996</v>
      </c>
      <c r="F54" s="21">
        <f t="shared" si="36"/>
        <v>-22.7</v>
      </c>
      <c r="G54" s="21">
        <f t="shared" si="36"/>
        <v>-25.9</v>
      </c>
      <c r="H54" s="21">
        <f t="shared" si="36"/>
        <v>-24.9</v>
      </c>
      <c r="I54" s="21">
        <f t="shared" si="36"/>
        <v>-25.599999999999994</v>
      </c>
      <c r="J54" s="21">
        <f t="shared" si="36"/>
        <v>-27.5</v>
      </c>
      <c r="K54" s="21">
        <f t="shared" ref="K54:AC54" si="37">-K9*K55</f>
        <v>-30.379580952380941</v>
      </c>
      <c r="L54" s="21">
        <f t="shared" si="37"/>
        <v>-30.73357030151201</v>
      </c>
      <c r="M54" s="21">
        <f t="shared" si="37"/>
        <v>-32.073242590476177</v>
      </c>
      <c r="N54" s="21">
        <f t="shared" si="37"/>
        <v>-32.446966845821308</v>
      </c>
      <c r="O54" s="21">
        <f t="shared" si="37"/>
        <v>-33.861325864895228</v>
      </c>
      <c r="P54" s="21">
        <f t="shared" si="37"/>
        <v>-34.255885247475838</v>
      </c>
      <c r="Q54" s="21">
        <f t="shared" si="37"/>
        <v>-35.749094781863135</v>
      </c>
      <c r="R54" s="21">
        <f t="shared" si="37"/>
        <v>-36.165650850022622</v>
      </c>
      <c r="S54" s="21">
        <f t="shared" si="37"/>
        <v>-37.742106815951999</v>
      </c>
      <c r="T54" s="21">
        <f t="shared" si="37"/>
        <v>-38.181885884911381</v>
      </c>
      <c r="U54" s="21">
        <f t="shared" si="37"/>
        <v>-39.846229270941322</v>
      </c>
      <c r="V54" s="21">
        <f t="shared" si="37"/>
        <v>-40.310526022995184</v>
      </c>
      <c r="W54" s="21">
        <f t="shared" si="37"/>
        <v>-42.067656552796294</v>
      </c>
      <c r="X54" s="21">
        <f t="shared" si="37"/>
        <v>-42.557837848777162</v>
      </c>
      <c r="Y54" s="21">
        <f t="shared" si="37"/>
        <v>-44.412928405614686</v>
      </c>
      <c r="Z54" s="21">
        <f t="shared" si="37"/>
        <v>-44.930437308846493</v>
      </c>
      <c r="AA54" s="21">
        <f t="shared" si="37"/>
        <v>-46.888949164227704</v>
      </c>
      <c r="AB54" s="21">
        <f t="shared" si="37"/>
        <v>-47.435309188814685</v>
      </c>
      <c r="AC54" s="21">
        <f t="shared" si="37"/>
        <v>-49.503008080133391</v>
      </c>
    </row>
    <row r="55" spans="1:29" x14ac:dyDescent="0.35">
      <c r="B55" s="25" t="s">
        <v>86</v>
      </c>
      <c r="C55" t="s">
        <v>48</v>
      </c>
      <c r="D55" s="6">
        <f t="shared" ref="D55:J55" si="38">IF(D9=0,"",-D54/D9)</f>
        <v>3.2920520457751998E-2</v>
      </c>
      <c r="E55" s="6">
        <f t="shared" si="38"/>
        <v>3.8714991762767707E-2</v>
      </c>
      <c r="F55" s="6">
        <f t="shared" si="38"/>
        <v>4.0248226950354606E-2</v>
      </c>
      <c r="G55" s="6">
        <f t="shared" si="38"/>
        <v>5.1768938636817904E-2</v>
      </c>
      <c r="H55" s="6">
        <f t="shared" si="38"/>
        <v>5.050709939148073E-2</v>
      </c>
      <c r="I55" s="6">
        <f t="shared" si="38"/>
        <v>5.6251373324544052E-2</v>
      </c>
      <c r="J55" s="6">
        <f t="shared" si="38"/>
        <v>5.1363466567052672E-2</v>
      </c>
      <c r="K55" s="26">
        <f t="shared" ref="K55:AC55" si="39">I55</f>
        <v>5.6251373324544052E-2</v>
      </c>
      <c r="L55" s="26">
        <f t="shared" si="39"/>
        <v>5.1363466567052672E-2</v>
      </c>
      <c r="M55" s="26">
        <f t="shared" si="39"/>
        <v>5.6251373324544052E-2</v>
      </c>
      <c r="N55" s="26">
        <f t="shared" si="39"/>
        <v>5.1363466567052672E-2</v>
      </c>
      <c r="O55" s="26">
        <f t="shared" si="39"/>
        <v>5.6251373324544052E-2</v>
      </c>
      <c r="P55" s="26">
        <f t="shared" si="39"/>
        <v>5.1363466567052672E-2</v>
      </c>
      <c r="Q55" s="26">
        <f t="shared" si="39"/>
        <v>5.6251373324544052E-2</v>
      </c>
      <c r="R55" s="26">
        <f t="shared" si="39"/>
        <v>5.1363466567052672E-2</v>
      </c>
      <c r="S55" s="26">
        <f t="shared" si="39"/>
        <v>5.6251373324544052E-2</v>
      </c>
      <c r="T55" s="26">
        <f t="shared" si="39"/>
        <v>5.1363466567052672E-2</v>
      </c>
      <c r="U55" s="26">
        <f t="shared" si="39"/>
        <v>5.6251373324544052E-2</v>
      </c>
      <c r="V55" s="26">
        <f t="shared" si="39"/>
        <v>5.1363466567052672E-2</v>
      </c>
      <c r="W55" s="26">
        <f t="shared" si="39"/>
        <v>5.6251373324544052E-2</v>
      </c>
      <c r="X55" s="26">
        <f t="shared" si="39"/>
        <v>5.1363466567052672E-2</v>
      </c>
      <c r="Y55" s="26">
        <f t="shared" si="39"/>
        <v>5.6251373324544052E-2</v>
      </c>
      <c r="Z55" s="26">
        <f t="shared" si="39"/>
        <v>5.1363466567052672E-2</v>
      </c>
      <c r="AA55" s="26">
        <f t="shared" si="39"/>
        <v>5.6251373324544052E-2</v>
      </c>
      <c r="AB55" s="26">
        <f t="shared" si="39"/>
        <v>5.1363466567052672E-2</v>
      </c>
      <c r="AC55" s="26">
        <f t="shared" si="39"/>
        <v>5.6251373324544052E-2</v>
      </c>
    </row>
    <row r="57" spans="1:29" x14ac:dyDescent="0.35">
      <c r="B57" s="5" t="s">
        <v>89</v>
      </c>
    </row>
    <row r="58" spans="1:29" x14ac:dyDescent="0.35">
      <c r="A58" t="s">
        <v>90</v>
      </c>
      <c r="B58" s="20" t="s">
        <v>91</v>
      </c>
      <c r="C58" s="20" t="s">
        <v>22</v>
      </c>
      <c r="D58" s="21">
        <f t="shared" ref="D58:AC58" si="40">D42+D54</f>
        <v>94.199999999999974</v>
      </c>
      <c r="E58" s="21">
        <f t="shared" si="40"/>
        <v>80.200000000000017</v>
      </c>
      <c r="F58" s="21">
        <f t="shared" si="40"/>
        <v>59.199999999999989</v>
      </c>
      <c r="G58" s="21">
        <f t="shared" si="40"/>
        <v>39.800000000000004</v>
      </c>
      <c r="H58" s="21">
        <f t="shared" si="40"/>
        <v>32.000000000000007</v>
      </c>
      <c r="I58" s="21">
        <f t="shared" si="40"/>
        <v>29.500000000000014</v>
      </c>
      <c r="J58" s="21">
        <f t="shared" si="40"/>
        <v>29.800000000000004</v>
      </c>
      <c r="K58" s="21">
        <f t="shared" si="40"/>
        <v>47.127502207539671</v>
      </c>
      <c r="L58" s="21">
        <f t="shared" si="40"/>
        <v>42.261957615383359</v>
      </c>
      <c r="M58" s="21">
        <f t="shared" si="40"/>
        <v>52.554314856235017</v>
      </c>
      <c r="N58" s="21">
        <f t="shared" si="40"/>
        <v>48.115722654940981</v>
      </c>
      <c r="O58" s="21">
        <f t="shared" si="40"/>
        <v>58.35365867011074</v>
      </c>
      <c r="P58" s="21">
        <f t="shared" si="40"/>
        <v>54.38327661801646</v>
      </c>
      <c r="Q58" s="21">
        <f t="shared" si="40"/>
        <v>64.548051920626079</v>
      </c>
      <c r="R58" s="21">
        <f t="shared" si="40"/>
        <v>61.08987427515995</v>
      </c>
      <c r="S58" s="21">
        <f t="shared" si="40"/>
        <v>71.161312014349036</v>
      </c>
      <c r="T58" s="21">
        <f t="shared" si="40"/>
        <v>68.262233001331396</v>
      </c>
      <c r="U58" s="21">
        <f t="shared" si="40"/>
        <v>78.218629013275731</v>
      </c>
      <c r="V58" s="21">
        <f t="shared" si="40"/>
        <v>75.92861568237015</v>
      </c>
      <c r="W58" s="21">
        <f t="shared" si="40"/>
        <v>85.746643281245809</v>
      </c>
      <c r="X58" s="21">
        <f t="shared" si="40"/>
        <v>84.11891827765723</v>
      </c>
      <c r="Y58" s="21">
        <f t="shared" si="40"/>
        <v>93.7735274871672</v>
      </c>
      <c r="Z58" s="21">
        <f t="shared" si="40"/>
        <v>92.864762299406422</v>
      </c>
      <c r="AA58" s="21">
        <f t="shared" si="40"/>
        <v>102.32907320864339</v>
      </c>
      <c r="AB58" s="21">
        <f t="shared" si="40"/>
        <v>102.19959248356237</v>
      </c>
      <c r="AC58" s="21">
        <f t="shared" si="40"/>
        <v>111.44478239319369</v>
      </c>
    </row>
    <row r="59" spans="1:29" x14ac:dyDescent="0.35">
      <c r="B59" t="s">
        <v>362</v>
      </c>
      <c r="C59" t="s">
        <v>28</v>
      </c>
      <c r="D59" s="6"/>
      <c r="E59" s="6"/>
      <c r="F59" s="6">
        <f t="shared" ref="F59:AC59" si="41">IF(D58=0,"",F58/D58-1)</f>
        <v>-0.37154989384288739</v>
      </c>
      <c r="G59" s="6">
        <f t="shared" si="41"/>
        <v>-0.50374064837905241</v>
      </c>
      <c r="H59" s="6">
        <f t="shared" si="41"/>
        <v>-0.45945945945945921</v>
      </c>
      <c r="I59" s="6">
        <f t="shared" si="41"/>
        <v>-0.25879396984924596</v>
      </c>
      <c r="J59" s="6">
        <f t="shared" si="41"/>
        <v>-6.8750000000000089E-2</v>
      </c>
      <c r="K59" s="6">
        <f t="shared" si="41"/>
        <v>0.5975424477132083</v>
      </c>
      <c r="L59" s="6">
        <f t="shared" si="41"/>
        <v>0.41818649716051515</v>
      </c>
      <c r="M59" s="6">
        <f t="shared" si="41"/>
        <v>0.11515171385058331</v>
      </c>
      <c r="N59" s="6">
        <f t="shared" si="41"/>
        <v>0.13851145024637601</v>
      </c>
      <c r="O59" s="6">
        <f t="shared" si="41"/>
        <v>0.11034952752671434</v>
      </c>
      <c r="P59" s="6">
        <f t="shared" si="41"/>
        <v>0.13025999854606507</v>
      </c>
      <c r="Q59" s="6">
        <f t="shared" si="41"/>
        <v>0.10615261136467802</v>
      </c>
      <c r="R59" s="6">
        <f t="shared" si="41"/>
        <v>0.12332095589329906</v>
      </c>
      <c r="S59" s="6">
        <f t="shared" si="41"/>
        <v>0.10245483631101981</v>
      </c>
      <c r="T59" s="6">
        <f t="shared" si="41"/>
        <v>0.11740667027510709</v>
      </c>
      <c r="U59" s="6">
        <f t="shared" si="41"/>
        <v>9.9173508738900962E-2</v>
      </c>
      <c r="V59" s="6">
        <f t="shared" si="41"/>
        <v>0.1123078215283293</v>
      </c>
      <c r="W59" s="6">
        <f t="shared" si="41"/>
        <v>9.624323978744731E-2</v>
      </c>
      <c r="X59" s="6">
        <f t="shared" si="41"/>
        <v>0.10786845672979628</v>
      </c>
      <c r="Y59" s="6">
        <f t="shared" si="41"/>
        <v>9.361164354380036E-2</v>
      </c>
      <c r="Z59" s="6">
        <f t="shared" si="41"/>
        <v>0.10397000105114484</v>
      </c>
      <c r="AA59" s="6">
        <f t="shared" si="41"/>
        <v>9.1236257723663172E-2</v>
      </c>
      <c r="AB59" s="6">
        <f t="shared" si="41"/>
        <v>0.10052069216587678</v>
      </c>
      <c r="AC59" s="6">
        <f t="shared" si="41"/>
        <v>8.9082299865687942E-2</v>
      </c>
    </row>
    <row r="60" spans="1:29" x14ac:dyDescent="0.35">
      <c r="B60" t="s">
        <v>93</v>
      </c>
      <c r="C60" t="s">
        <v>48</v>
      </c>
      <c r="D60" s="6">
        <f t="shared" ref="D60:AC60" si="42">IF(D9=0,"",D58/D9)</f>
        <v>0.14767204891048749</v>
      </c>
      <c r="E60" s="6">
        <f t="shared" si="42"/>
        <v>0.13212520593080729</v>
      </c>
      <c r="F60" s="6">
        <f t="shared" si="42"/>
        <v>0.10496453900709218</v>
      </c>
      <c r="G60" s="6">
        <f t="shared" si="42"/>
        <v>7.9552268638816717E-2</v>
      </c>
      <c r="H60" s="6">
        <f t="shared" si="42"/>
        <v>6.4908722109533482E-2</v>
      </c>
      <c r="I60" s="6">
        <f t="shared" si="42"/>
        <v>6.4820918479455106E-2</v>
      </c>
      <c r="J60" s="6">
        <f t="shared" si="42"/>
        <v>5.5659320134478905E-2</v>
      </c>
      <c r="K60" s="6">
        <f t="shared" si="42"/>
        <v>8.7262122696324496E-2</v>
      </c>
      <c r="L60" s="6">
        <f t="shared" si="42"/>
        <v>7.06302790642305E-2</v>
      </c>
      <c r="M60" s="6">
        <f t="shared" si="42"/>
        <v>9.2171921078897615E-2</v>
      </c>
      <c r="N60" s="6">
        <f t="shared" si="42"/>
        <v>7.6167067438999106E-2</v>
      </c>
      <c r="O60" s="6">
        <f t="shared" si="42"/>
        <v>9.6938715625085076E-2</v>
      </c>
      <c r="P60" s="6">
        <f t="shared" si="42"/>
        <v>8.1542590132949261E-2</v>
      </c>
      <c r="Q60" s="6">
        <f t="shared" si="42"/>
        <v>0.10156667149517003</v>
      </c>
      <c r="R60" s="6">
        <f t="shared" si="42"/>
        <v>8.6761544204745494E-2</v>
      </c>
      <c r="S60" s="6">
        <f t="shared" si="42"/>
        <v>0.10605983253408745</v>
      </c>
      <c r="T60" s="6">
        <f t="shared" si="42"/>
        <v>9.1828489905518521E-2</v>
      </c>
      <c r="U60" s="6">
        <f t="shared" si="42"/>
        <v>0.11042212480488102</v>
      </c>
      <c r="V60" s="6">
        <f t="shared" si="42"/>
        <v>9.6747854663550556E-2</v>
      </c>
      <c r="W60" s="6">
        <f t="shared" si="42"/>
        <v>0.11465736001924379</v>
      </c>
      <c r="X60" s="6">
        <f t="shared" si="42"/>
        <v>0.1015239369529021</v>
      </c>
      <c r="Y60" s="6">
        <f t="shared" si="42"/>
        <v>0.11876923886813966</v>
      </c>
      <c r="Z60" s="6">
        <f t="shared" si="42"/>
        <v>0.10616091004935987</v>
      </c>
      <c r="AA60" s="6">
        <f t="shared" si="42"/>
        <v>0.12276135425541705</v>
      </c>
      <c r="AB60" s="6">
        <f t="shared" si="42"/>
        <v>0.11066282567698878</v>
      </c>
      <c r="AC60" s="6">
        <f t="shared" si="42"/>
        <v>0.12663719443723995</v>
      </c>
    </row>
    <row r="62" spans="1:29" x14ac:dyDescent="0.35">
      <c r="B62" s="5" t="s">
        <v>94</v>
      </c>
    </row>
    <row r="63" spans="1:29" x14ac:dyDescent="0.35">
      <c r="A63" t="s">
        <v>95</v>
      </c>
      <c r="B63" t="s">
        <v>96</v>
      </c>
      <c r="C63" t="s">
        <v>22</v>
      </c>
      <c r="D63" s="19">
        <v>0</v>
      </c>
      <c r="E63" s="4">
        <f>INDEX(Annual!$A:$R,MATCH($A63,Annual!$A:$A,0),MATCH(E$1,Annual!$A$1:$R$1,0))-D63</f>
        <v>0.1</v>
      </c>
      <c r="F63" s="19">
        <v>0.2</v>
      </c>
      <c r="G63" s="4">
        <f>INDEX(Annual!$A:$R,MATCH($A63,Annual!$A:$A,0),MATCH(G$1,Annual!$A$1:$R$1,0))-F63</f>
        <v>9.9999999999999978E-2</v>
      </c>
      <c r="H63" s="19">
        <v>0.1</v>
      </c>
      <c r="I63" s="4">
        <f>INDEX(Annual!$A:$R,MATCH($A63,Annual!$A:$A,0),MATCH(I$1,Annual!$A$1:$R$1,0))-H63</f>
        <v>0.1</v>
      </c>
      <c r="J63" s="19">
        <v>1.2</v>
      </c>
      <c r="K63" s="4">
        <f>INDEX(Annual!$110:$110,MATCH(K$1-1,Annual!$1:$1,0))*K67-J63</f>
        <v>-1.0556016597510374</v>
      </c>
      <c r="L63" s="4">
        <f>INDEX(Annual!$110:$110,MATCH(L$1-1,Annual!$1:$1,0))*L67/2</f>
        <v>0.10380300588867046</v>
      </c>
      <c r="M63" s="4">
        <f>INDEX(Annual!$110:$110,MATCH(M$1-1,Annual!$1:$1,0))*M67-L63</f>
        <v>0.10380300588867054</v>
      </c>
      <c r="N63" s="4">
        <f>INDEX(Annual!$110:$110,MATCH(N$1-1,Annual!$1:$1,0))*N67/2</f>
        <v>9.0033144510995644E-2</v>
      </c>
      <c r="O63" s="4">
        <f>INDEX(Annual!$110:$110,MATCH(O$1-1,Annual!$1:$1,0))*O67-N63</f>
        <v>9.0033144510995727E-2</v>
      </c>
      <c r="P63" s="4">
        <f>INDEX(Annual!$110:$110,MATCH(P$1-1,Annual!$1:$1,0))*P67/2</f>
        <v>0.14332787969994584</v>
      </c>
      <c r="Q63" s="4">
        <f>INDEX(Annual!$110:$110,MATCH(Q$1-1,Annual!$1:$1,0))*Q67-P63</f>
        <v>0.14332787969994595</v>
      </c>
      <c r="R63" s="4">
        <f>INDEX(Annual!$110:$110,MATCH(R$1-1,Annual!$1:$1,0))*R67/2</f>
        <v>0.22086340308938132</v>
      </c>
      <c r="S63" s="4">
        <f>INDEX(Annual!$110:$110,MATCH(S$1-1,Annual!$1:$1,0))*S67-R63</f>
        <v>0.22086340308938149</v>
      </c>
      <c r="T63" s="4">
        <f>INDEX(Annual!$110:$110,MATCH(T$1-1,Annual!$1:$1,0))*T67/2</f>
        <v>0.32390772062656248</v>
      </c>
      <c r="U63" s="4">
        <f>INDEX(Annual!$110:$110,MATCH(U$1-1,Annual!$1:$1,0))*U67-T63</f>
        <v>0.32390772062656281</v>
      </c>
      <c r="V63" s="4">
        <f>INDEX(Annual!$110:$110,MATCH(V$1-1,Annual!$1:$1,0))*V67/2</f>
        <v>0.45386117285708399</v>
      </c>
      <c r="W63" s="4">
        <f>INDEX(Annual!$110:$110,MATCH(W$1-1,Annual!$1:$1,0))*W67-V63</f>
        <v>0.45386117285708433</v>
      </c>
      <c r="X63" s="4">
        <f>INDEX(Annual!$110:$110,MATCH(X$1-1,Annual!$1:$1,0))*X67/2</f>
        <v>0.61225722337853206</v>
      </c>
      <c r="Y63" s="4">
        <f>INDEX(Annual!$110:$110,MATCH(Y$1-1,Annual!$1:$1,0))*Y67-X63</f>
        <v>0.6122572233785325</v>
      </c>
      <c r="Z63" s="4">
        <f>INDEX(Annual!$110:$110,MATCH(Z$1-1,Annual!$1:$1,0))*Z67/2</f>
        <v>0.80076415740463913</v>
      </c>
      <c r="AA63" s="4">
        <f>INDEX(Annual!$110:$110,MATCH(AA$1-1,Annual!$1:$1,0))*AA67-Z63</f>
        <v>0.8007641574046398</v>
      </c>
      <c r="AB63" s="4">
        <f>INDEX(Annual!$110:$110,MATCH(AB$1-1,Annual!$1:$1,0))*AB67/2</f>
        <v>1.0211876320994375</v>
      </c>
      <c r="AC63" s="4">
        <f>INDEX(Annual!$110:$110,MATCH(AC$1-1,Annual!$1:$1,0))*AC67-AB63</f>
        <v>1.0211876320994384</v>
      </c>
    </row>
    <row r="64" spans="1:29" x14ac:dyDescent="0.35">
      <c r="A64" t="s">
        <v>97</v>
      </c>
      <c r="B64" t="s">
        <v>98</v>
      </c>
      <c r="C64" t="s">
        <v>22</v>
      </c>
      <c r="D64" s="46">
        <f>Inputs!D13</f>
        <v>-8</v>
      </c>
      <c r="E64" s="4">
        <f>INDEX(Annual!$A:$R,MATCH($A64,Annual!$A:$A,0),MATCH(E$1,Annual!$A$1:$R$1,0))-D64</f>
        <v>-8.3999999999999986</v>
      </c>
      <c r="F64" s="46">
        <f>Inputs!E13</f>
        <v>-8.3000000000000007</v>
      </c>
      <c r="G64" s="4">
        <f>INDEX(Annual!$A:$R,MATCH($A64,Annual!$A:$A,0),MATCH(G$1,Annual!$A$1:$R$1,0))-F64</f>
        <v>-8.6999999999999993</v>
      </c>
      <c r="H64" s="46">
        <f>Inputs!F13</f>
        <v>-8.5</v>
      </c>
      <c r="I64" s="4">
        <f>INDEX(Annual!$A:$R,MATCH($A64,Annual!$A:$A,0),MATCH(I$1,Annual!$A$1:$R$1,0))-H64</f>
        <v>-9.5</v>
      </c>
      <c r="J64" s="54">
        <f>Inputs!G13</f>
        <v>-10.4</v>
      </c>
      <c r="K64" s="4">
        <f>-INDEX(Annual!$127:$127,MATCH(K$1-1,Annual!$1:$1,0))*K68-J64</f>
        <v>-7.6133000000000006</v>
      </c>
      <c r="L64" s="4">
        <f>-INDEX(Annual!$127:$127,MATCH(L$1-1,Annual!$1:$1,0))*L68/2</f>
        <v>-8.8587639183352973</v>
      </c>
      <c r="M64" s="4">
        <f>-INDEX(Annual!$127:$127,MATCH(M$1-1,Annual!$1:$1,0))*M68-L64</f>
        <v>-8.8587639183352973</v>
      </c>
      <c r="N64" s="4">
        <f>-INDEX(Annual!$127:$127,MATCH(N$1-1,Annual!$1:$1,0))*N68/2</f>
        <v>-8.7296321375648613</v>
      </c>
      <c r="O64" s="4">
        <f>-INDEX(Annual!$127:$127,MATCH(O$1-1,Annual!$1:$1,0))*O68-N64</f>
        <v>-8.7296321375648613</v>
      </c>
      <c r="P64" s="4">
        <f>-INDEX(Annual!$127:$127,MATCH(P$1-1,Annual!$1:$1,0))*P68/2</f>
        <v>-8.6168763148583647</v>
      </c>
      <c r="Q64" s="4">
        <f>-INDEX(Annual!$127:$127,MATCH(Q$1-1,Annual!$1:$1,0))*Q68-P64</f>
        <v>-8.6168763148583647</v>
      </c>
      <c r="R64" s="4">
        <f>-INDEX(Annual!$127:$127,MATCH(R$1-1,Annual!$1:$1,0))*R68/2</f>
        <v>-8.5184197189811552</v>
      </c>
      <c r="S64" s="4">
        <f>-INDEX(Annual!$127:$127,MATCH(S$1-1,Annual!$1:$1,0))*S68-R64</f>
        <v>-8.5184197189811552</v>
      </c>
      <c r="T64" s="4">
        <f>-INDEX(Annual!$127:$127,MATCH(T$1-1,Annual!$1:$1,0))*T68/2</f>
        <v>-8.4324489811598315</v>
      </c>
      <c r="U64" s="4">
        <f>-INDEX(Annual!$127:$127,MATCH(U$1-1,Annual!$1:$1,0))*U68-T64</f>
        <v>-8.4324489811598315</v>
      </c>
      <c r="V64" s="4">
        <f>-INDEX(Annual!$127:$127,MATCH(V$1-1,Annual!$1:$1,0))*V68/2</f>
        <v>-8.3573806965447464</v>
      </c>
      <c r="W64" s="4">
        <f>-INDEX(Annual!$127:$127,MATCH(W$1-1,Annual!$1:$1,0))*W68-V64</f>
        <v>-8.3573806965447464</v>
      </c>
      <c r="X64" s="4">
        <f>-INDEX(Annual!$127:$127,MATCH(X$1-1,Annual!$1:$1,0))*X68/2</f>
        <v>-8.2918322611368342</v>
      </c>
      <c r="Y64" s="4">
        <f>-INDEX(Annual!$127:$127,MATCH(Y$1-1,Annual!$1:$1,0))*Y68-X64</f>
        <v>-8.2918322611368342</v>
      </c>
      <c r="Z64" s="4">
        <f>-INDEX(Annual!$127:$127,MATCH(Z$1-1,Annual!$1:$1,0))*Z68/2</f>
        <v>-8.2345964070546991</v>
      </c>
      <c r="AA64" s="4">
        <f>-INDEX(Annual!$127:$127,MATCH(AA$1-1,Annual!$1:$1,0))*AA68-Z64</f>
        <v>-8.2345964070546991</v>
      </c>
      <c r="AB64" s="4">
        <f>-INDEX(Annual!$127:$127,MATCH(AB$1-1,Annual!$1:$1,0))*AB68/2</f>
        <v>-8.1846189671337477</v>
      </c>
      <c r="AC64" s="4">
        <f>-INDEX(Annual!$127:$127,MATCH(AC$1-1,Annual!$1:$1,0))*AC68-AB64</f>
        <v>-8.1846189671337477</v>
      </c>
    </row>
    <row r="65" spans="1:29" x14ac:dyDescent="0.35">
      <c r="A65" t="s">
        <v>99</v>
      </c>
      <c r="B65" t="s">
        <v>100</v>
      </c>
      <c r="C65" t="s">
        <v>22</v>
      </c>
      <c r="D65" s="46">
        <f>Inputs!D14</f>
        <v>-9.3000000000000007</v>
      </c>
      <c r="E65" s="4">
        <f>INDEX(Annual!$A:$R,MATCH($A65,Annual!$A:$A,0),MATCH(E$1,Annual!$A$1:$R$1,0))-D65</f>
        <v>-12.899999999999999</v>
      </c>
      <c r="F65" s="46">
        <f>Inputs!E14</f>
        <v>-12.4</v>
      </c>
      <c r="G65" s="4">
        <f>INDEX(Annual!$A:$R,MATCH($A65,Annual!$A:$A,0),MATCH(G$1,Annual!$A$1:$R$1,0))-F65</f>
        <v>-10.999999999999998</v>
      </c>
      <c r="H65" s="46">
        <f>Inputs!F14</f>
        <v>-9.8000000000000007</v>
      </c>
      <c r="I65" s="4">
        <f>INDEX(Annual!$A:$R,MATCH($A65,Annual!$A:$A,0),MATCH(I$1,Annual!$A$1:$R$1,0))-H65</f>
        <v>-8.5</v>
      </c>
      <c r="J65" s="54">
        <f>Inputs!G14</f>
        <v>-7.3</v>
      </c>
      <c r="K65" s="4">
        <f>-((INDEX(Annual!$128:$128,MATCH(K$1-1,Annual!$1:$1,0))+INDEX(Annual!$128:$128,MATCH(K$1,Annual!$1:$1,0)))/2)*K69-J65</f>
        <v>-10.438704636456094</v>
      </c>
      <c r="L65" s="4">
        <f>-((INDEX(Annual!$128:$128,MATCH(L$1-1,Annual!$1:$1,0))+INDEX(Annual!$128:$128,MATCH(L$1,Annual!$1:$1,0)))/2)*L69/2</f>
        <v>-9.5555756930242559</v>
      </c>
      <c r="M65" s="4">
        <f>-((INDEX(Annual!$128:$128,MATCH(M$1-1,Annual!$1:$1,0))+INDEX(Annual!$128:$128,MATCH(M$1,Annual!$1:$1,0)))/2)*M69-L65</f>
        <v>-9.5555756930242559</v>
      </c>
      <c r="N65" s="4">
        <f>-((INDEX(Annual!$128:$128,MATCH(N$1-1,Annual!$1:$1,0))+INDEX(Annual!$128:$128,MATCH(N$1,Annual!$1:$1,0)))/2)*N69/2</f>
        <v>-9.8251210722585771</v>
      </c>
      <c r="O65" s="4">
        <f>-((INDEX(Annual!$128:$128,MATCH(O$1-1,Annual!$1:$1,0))+INDEX(Annual!$128:$128,MATCH(O$1,Annual!$1:$1,0)))/2)*O69-N65</f>
        <v>-9.8251210722585771</v>
      </c>
      <c r="P65" s="4">
        <f>-((INDEX(Annual!$128:$128,MATCH(P$1-1,Annual!$1:$1,0))+INDEX(Annual!$128:$128,MATCH(P$1,Annual!$1:$1,0)))/2)*P69/2</f>
        <v>-10.109693606385211</v>
      </c>
      <c r="Q65" s="4">
        <f>-((INDEX(Annual!$128:$128,MATCH(Q$1-1,Annual!$1:$1,0))+INDEX(Annual!$128:$128,MATCH(Q$1,Annual!$1:$1,0)))/2)*Q69-P65</f>
        <v>-10.109693606385211</v>
      </c>
      <c r="R65" s="4">
        <f>-((INDEX(Annual!$128:$128,MATCH(R$1-1,Annual!$1:$1,0))+INDEX(Annual!$128:$128,MATCH(R$1,Annual!$1:$1,0)))/2)*R69/2</f>
        <v>-10.410131059289405</v>
      </c>
      <c r="S65" s="4">
        <f>-((INDEX(Annual!$128:$128,MATCH(S$1-1,Annual!$1:$1,0))+INDEX(Annual!$128:$128,MATCH(S$1,Annual!$1:$1,0)))/2)*S69-R65</f>
        <v>-10.410131059289405</v>
      </c>
      <c r="T65" s="4">
        <f>-((INDEX(Annual!$128:$128,MATCH(T$1-1,Annual!$1:$1,0))+INDEX(Annual!$128:$128,MATCH(T$1,Annual!$1:$1,0)))/2)*T69/2</f>
        <v>-10.727317900193007</v>
      </c>
      <c r="U65" s="4">
        <f>-((INDEX(Annual!$128:$128,MATCH(U$1-1,Annual!$1:$1,0))+INDEX(Annual!$128:$128,MATCH(U$1,Annual!$1:$1,0)))/2)*U69-T65</f>
        <v>-10.727317900193007</v>
      </c>
      <c r="V65" s="4">
        <f>-((INDEX(Annual!$128:$128,MATCH(V$1-1,Annual!$1:$1,0))+INDEX(Annual!$128:$128,MATCH(V$1,Annual!$1:$1,0)))/2)*V69/2</f>
        <v>-11.062187907476984</v>
      </c>
      <c r="W65" s="4">
        <f>-((INDEX(Annual!$128:$128,MATCH(W$1-1,Annual!$1:$1,0))+INDEX(Annual!$128:$128,MATCH(W$1,Annual!$1:$1,0)))/2)*W69-V65</f>
        <v>-11.062187907476984</v>
      </c>
      <c r="X65" s="4">
        <f>-((INDEX(Annual!$128:$128,MATCH(X$1-1,Annual!$1:$1,0))+INDEX(Annual!$128:$128,MATCH(X$1,Annual!$1:$1,0)))/2)*X69/2</f>
        <v>-11.415726917667044</v>
      </c>
      <c r="Y65" s="4">
        <f>-((INDEX(Annual!$128:$128,MATCH(Y$1-1,Annual!$1:$1,0))+INDEX(Annual!$128:$128,MATCH(Y$1,Annual!$1:$1,0)))/2)*Y69-X65</f>
        <v>-11.415726917667044</v>
      </c>
      <c r="Z65" s="4">
        <f>-((INDEX(Annual!$128:$128,MATCH(Z$1-1,Annual!$1:$1,0))+INDEX(Annual!$128:$128,MATCH(Z$1,Annual!$1:$1,0)))/2)*Z69/2</f>
        <v>-11.788975727675201</v>
      </c>
      <c r="AA65" s="4">
        <f>-((INDEX(Annual!$128:$128,MATCH(AA$1-1,Annual!$1:$1,0))+INDEX(Annual!$128:$128,MATCH(AA$1,Annual!$1:$1,0)))/2)*AA69-Z65</f>
        <v>-11.788975727675201</v>
      </c>
      <c r="AB65" s="4">
        <f>-((INDEX(Annual!$128:$128,MATCH(AB$1-1,Annual!$1:$1,0))+INDEX(Annual!$128:$128,MATCH(AB$1,Annual!$1:$1,0)))/2)*AB69/2</f>
        <v>-12.18303315884131</v>
      </c>
      <c r="AC65" s="4">
        <f>-((INDEX(Annual!$128:$128,MATCH(AC$1-1,Annual!$1:$1,0))+INDEX(Annual!$128:$128,MATCH(AC$1,Annual!$1:$1,0)))/2)*AC69-AB65</f>
        <v>-12.18303315884131</v>
      </c>
    </row>
    <row r="66" spans="1:29" x14ac:dyDescent="0.35">
      <c r="A66" t="s">
        <v>101</v>
      </c>
      <c r="B66" s="20" t="s">
        <v>102</v>
      </c>
      <c r="C66" s="20" t="s">
        <v>22</v>
      </c>
      <c r="D66" s="21">
        <f t="shared" ref="D66:AC66" si="43">SUM(D63:D65)</f>
        <v>-17.3</v>
      </c>
      <c r="E66" s="21">
        <f t="shared" si="43"/>
        <v>-21.199999999999996</v>
      </c>
      <c r="F66" s="21">
        <f t="shared" si="43"/>
        <v>-20.5</v>
      </c>
      <c r="G66" s="21">
        <f t="shared" si="43"/>
        <v>-19.599999999999998</v>
      </c>
      <c r="H66" s="21">
        <f t="shared" si="43"/>
        <v>-18.200000000000003</v>
      </c>
      <c r="I66" s="21">
        <f t="shared" si="43"/>
        <v>-17.899999999999999</v>
      </c>
      <c r="J66" s="21">
        <f t="shared" si="43"/>
        <v>-16.5</v>
      </c>
      <c r="K66" s="21">
        <f t="shared" si="43"/>
        <v>-19.10760629620713</v>
      </c>
      <c r="L66" s="21">
        <f t="shared" si="43"/>
        <v>-18.310536605470883</v>
      </c>
      <c r="M66" s="21">
        <f t="shared" si="43"/>
        <v>-18.310536605470883</v>
      </c>
      <c r="N66" s="21">
        <f t="shared" si="43"/>
        <v>-18.464720065312441</v>
      </c>
      <c r="O66" s="21">
        <f t="shared" si="43"/>
        <v>-18.464720065312441</v>
      </c>
      <c r="P66" s="21">
        <f t="shared" si="43"/>
        <v>-18.583242041543627</v>
      </c>
      <c r="Q66" s="21">
        <f t="shared" si="43"/>
        <v>-18.583242041543627</v>
      </c>
      <c r="R66" s="21">
        <f t="shared" si="43"/>
        <v>-18.70768737518118</v>
      </c>
      <c r="S66" s="21">
        <f t="shared" si="43"/>
        <v>-18.70768737518118</v>
      </c>
      <c r="T66" s="21">
        <f t="shared" si="43"/>
        <v>-18.835859160726276</v>
      </c>
      <c r="U66" s="21">
        <f t="shared" si="43"/>
        <v>-18.835859160726276</v>
      </c>
      <c r="V66" s="21">
        <f t="shared" si="43"/>
        <v>-18.965707431164645</v>
      </c>
      <c r="W66" s="21">
        <f t="shared" si="43"/>
        <v>-18.965707431164645</v>
      </c>
      <c r="X66" s="21">
        <f t="shared" si="43"/>
        <v>-19.095301955425345</v>
      </c>
      <c r="Y66" s="21">
        <f t="shared" si="43"/>
        <v>-19.095301955425345</v>
      </c>
      <c r="Z66" s="21">
        <f t="shared" si="43"/>
        <v>-19.22280797732526</v>
      </c>
      <c r="AA66" s="21">
        <f t="shared" si="43"/>
        <v>-19.22280797732526</v>
      </c>
      <c r="AB66" s="21">
        <f t="shared" si="43"/>
        <v>-19.346464493875622</v>
      </c>
      <c r="AC66" s="21">
        <f t="shared" si="43"/>
        <v>-19.346464493875619</v>
      </c>
    </row>
    <row r="67" spans="1:29" x14ac:dyDescent="0.35">
      <c r="B67" s="25" t="s">
        <v>103</v>
      </c>
      <c r="C67" t="s">
        <v>48</v>
      </c>
      <c r="D67" s="6" t="str">
        <f>IFERROR(IF(INDEX(Annual!$110:$110,MATCH(D$1-1,Annual!$1:$1,0))=0,"",INDEX(Annual!$59:$59,MATCH(D$1,Annual!$1:$1,0))/INDEX(Annual!$110:$110,MATCH(D$1-1,Annual!$1:$1,0))),"")</f>
        <v/>
      </c>
      <c r="E67" s="6" t="str">
        <f>IFERROR(IF(INDEX(Annual!$110:$110,MATCH(E$1-1,Annual!$1:$1,0))=0,"",INDEX(Annual!$59:$59,MATCH(E$1,Annual!$1:$1,0))/INDEX(Annual!$110:$110,MATCH(E$1-1,Annual!$1:$1,0))),"")</f>
        <v/>
      </c>
      <c r="F67" s="6">
        <f>IFERROR(IF(INDEX(Annual!$110:$110,MATCH(F$1-1,Annual!$1:$1,0))=0,"",INDEX(Annual!$59:$59,MATCH(F$1,Annual!$1:$1,0))/INDEX(Annual!$110:$110,MATCH(F$1-1,Annual!$1:$1,0))),"")</f>
        <v>1.4778325123152709E-2</v>
      </c>
      <c r="G67" s="6">
        <f>IFERROR(IF(INDEX(Annual!$110:$110,MATCH(G$1-1,Annual!$1:$1,0))=0,"",INDEX(Annual!$59:$59,MATCH(G$1,Annual!$1:$1,0))/INDEX(Annual!$110:$110,MATCH(G$1-1,Annual!$1:$1,0))),"")</f>
        <v>1.4778325123152709E-2</v>
      </c>
      <c r="H67" s="6">
        <f>IFERROR(IF(INDEX(Annual!$110:$110,MATCH(H$1-1,Annual!$1:$1,0))=0,"",INDEX(Annual!$59:$59,MATCH(H$1,Annual!$1:$1,0))/INDEX(Annual!$110:$110,MATCH(H$1-1,Annual!$1:$1,0))),"")</f>
        <v>8.2987551867219917E-3</v>
      </c>
      <c r="I67" s="6">
        <f>IFERROR(IF(INDEX(Annual!$110:$110,MATCH(I$1-1,Annual!$1:$1,0))=0,"",INDEX(Annual!$59:$59,MATCH(I$1,Annual!$1:$1,0))/INDEX(Annual!$110:$110,MATCH(I$1-1,Annual!$1:$1,0))),"")</f>
        <v>8.2987551867219917E-3</v>
      </c>
      <c r="J67" s="6">
        <f>IFERROR(IF(INDEX(Annual!$110:$110,MATCH(J$1-1,Annual!$1:$1,0))=0,"",INDEX(Annual!$59:$59,MATCH(J$1,Annual!$1:$1,0))/INDEX(Annual!$110:$110,MATCH(J$1-1,Annual!$1:$1,0))),"")</f>
        <v>8.2987551867219882E-3</v>
      </c>
      <c r="K67" s="26">
        <f t="shared" ref="K67:T69" si="44">I67</f>
        <v>8.2987551867219917E-3</v>
      </c>
      <c r="L67" s="26">
        <f t="shared" si="44"/>
        <v>8.2987551867219882E-3</v>
      </c>
      <c r="M67" s="26">
        <f t="shared" si="44"/>
        <v>8.2987551867219917E-3</v>
      </c>
      <c r="N67" s="26">
        <f t="shared" si="44"/>
        <v>8.2987551867219882E-3</v>
      </c>
      <c r="O67" s="26">
        <f t="shared" si="44"/>
        <v>8.2987551867219917E-3</v>
      </c>
      <c r="P67" s="26">
        <f t="shared" si="44"/>
        <v>8.2987551867219882E-3</v>
      </c>
      <c r="Q67" s="26">
        <f t="shared" si="44"/>
        <v>8.2987551867219917E-3</v>
      </c>
      <c r="R67" s="26">
        <f t="shared" si="44"/>
        <v>8.2987551867219882E-3</v>
      </c>
      <c r="S67" s="26">
        <f t="shared" si="44"/>
        <v>8.2987551867219917E-3</v>
      </c>
      <c r="T67" s="26">
        <f t="shared" si="44"/>
        <v>8.2987551867219882E-3</v>
      </c>
      <c r="U67" s="26">
        <f t="shared" ref="U67:AC69" si="45">S67</f>
        <v>8.2987551867219917E-3</v>
      </c>
      <c r="V67" s="26">
        <f t="shared" si="45"/>
        <v>8.2987551867219882E-3</v>
      </c>
      <c r="W67" s="26">
        <f t="shared" si="45"/>
        <v>8.2987551867219917E-3</v>
      </c>
      <c r="X67" s="26">
        <f t="shared" si="45"/>
        <v>8.2987551867219882E-3</v>
      </c>
      <c r="Y67" s="26">
        <f t="shared" si="45"/>
        <v>8.2987551867219917E-3</v>
      </c>
      <c r="Z67" s="26">
        <f t="shared" si="45"/>
        <v>8.2987551867219882E-3</v>
      </c>
      <c r="AA67" s="26">
        <f t="shared" si="45"/>
        <v>8.2987551867219917E-3</v>
      </c>
      <c r="AB67" s="26">
        <f t="shared" si="45"/>
        <v>8.2987551867219882E-3</v>
      </c>
      <c r="AC67" s="26">
        <f t="shared" si="45"/>
        <v>8.2987551867219917E-3</v>
      </c>
    </row>
    <row r="68" spans="1:29" x14ac:dyDescent="0.35">
      <c r="B68" s="25" t="s">
        <v>104</v>
      </c>
      <c r="C68" t="s">
        <v>48</v>
      </c>
      <c r="D68" s="6"/>
      <c r="E68" s="6"/>
      <c r="F68" s="6"/>
      <c r="G68" s="6"/>
      <c r="H68" s="6"/>
      <c r="I68" s="6">
        <v>6.0999999999999999E-2</v>
      </c>
      <c r="J68" s="6">
        <v>6.0999999999999999E-2</v>
      </c>
      <c r="K68" s="26">
        <f t="shared" si="44"/>
        <v>6.0999999999999999E-2</v>
      </c>
      <c r="L68" s="26">
        <f t="shared" si="44"/>
        <v>6.0999999999999999E-2</v>
      </c>
      <c r="M68" s="26">
        <f t="shared" si="44"/>
        <v>6.0999999999999999E-2</v>
      </c>
      <c r="N68" s="26">
        <f t="shared" si="44"/>
        <v>6.0999999999999999E-2</v>
      </c>
      <c r="O68" s="26">
        <f t="shared" si="44"/>
        <v>6.0999999999999999E-2</v>
      </c>
      <c r="P68" s="26">
        <f t="shared" si="44"/>
        <v>6.0999999999999999E-2</v>
      </c>
      <c r="Q68" s="26">
        <f t="shared" si="44"/>
        <v>6.0999999999999999E-2</v>
      </c>
      <c r="R68" s="26">
        <f t="shared" si="44"/>
        <v>6.0999999999999999E-2</v>
      </c>
      <c r="S68" s="26">
        <f t="shared" si="44"/>
        <v>6.0999999999999999E-2</v>
      </c>
      <c r="T68" s="26">
        <f t="shared" si="44"/>
        <v>6.0999999999999999E-2</v>
      </c>
      <c r="U68" s="26">
        <f t="shared" si="45"/>
        <v>6.0999999999999999E-2</v>
      </c>
      <c r="V68" s="26">
        <f t="shared" si="45"/>
        <v>6.0999999999999999E-2</v>
      </c>
      <c r="W68" s="26">
        <f t="shared" si="45"/>
        <v>6.0999999999999999E-2</v>
      </c>
      <c r="X68" s="26">
        <f t="shared" si="45"/>
        <v>6.0999999999999999E-2</v>
      </c>
      <c r="Y68" s="26">
        <f t="shared" si="45"/>
        <v>6.0999999999999999E-2</v>
      </c>
      <c r="Z68" s="26">
        <f t="shared" si="45"/>
        <v>6.0999999999999999E-2</v>
      </c>
      <c r="AA68" s="26">
        <f t="shared" si="45"/>
        <v>6.0999999999999999E-2</v>
      </c>
      <c r="AB68" s="26">
        <f t="shared" si="45"/>
        <v>6.0999999999999999E-2</v>
      </c>
      <c r="AC68" s="26">
        <f t="shared" si="45"/>
        <v>6.0999999999999999E-2</v>
      </c>
    </row>
    <row r="69" spans="1:29" x14ac:dyDescent="0.35">
      <c r="B69" s="25" t="s">
        <v>105</v>
      </c>
      <c r="C69" t="s">
        <v>48</v>
      </c>
      <c r="D69" s="6" t="str">
        <f>IFERROR(IF((INDEX(Annual!$128:$128,MATCH(D$1-1,Annual!$1:$1,0))+INDEX(Annual!$128:$128,MATCH(D$1,Annual!$1:$1,0)))=0,"",-INDEX(Annual!$61:$61,MATCH(D$1,Annual!$1:$1,0))/((INDEX(Annual!$128:$128,MATCH(D$1-1,Annual!$1:$1,0))+INDEX(Annual!$128:$128,MATCH(D$1,Annual!$1:$1,0)))/2)),"")</f>
        <v/>
      </c>
      <c r="E69" s="6" t="str">
        <f>IFERROR(IF((INDEX(Annual!$128:$128,MATCH(E$1-1,Annual!$1:$1,0))+INDEX(Annual!$128:$128,MATCH(E$1,Annual!$1:$1,0)))=0,"",-INDEX(Annual!$61:$61,MATCH(E$1,Annual!$1:$1,0))/((INDEX(Annual!$128:$128,MATCH(E$1-1,Annual!$1:$1,0))+INDEX(Annual!$128:$128,MATCH(E$1,Annual!$1:$1,0)))/2)),"")</f>
        <v/>
      </c>
      <c r="F69" s="6">
        <f>IFERROR(IF((INDEX(Annual!$128:$128,MATCH(F$1-1,Annual!$1:$1,0))+INDEX(Annual!$128:$128,MATCH(F$1,Annual!$1:$1,0)))=0,"",-INDEX(Annual!$61:$61,MATCH(F$1,Annual!$1:$1,0))/((INDEX(Annual!$128:$128,MATCH(F$1-1,Annual!$1:$1,0))+INDEX(Annual!$128:$128,MATCH(F$1,Annual!$1:$1,0)))/2)),"")</f>
        <v>7.0919836338839221E-2</v>
      </c>
      <c r="G69" s="6">
        <f>IFERROR(IF((INDEX(Annual!$128:$128,MATCH(G$1-1,Annual!$1:$1,0))+INDEX(Annual!$128:$128,MATCH(G$1,Annual!$1:$1,0)))=0,"",-INDEX(Annual!$61:$61,MATCH(G$1,Annual!$1:$1,0))/((INDEX(Annual!$128:$128,MATCH(G$1-1,Annual!$1:$1,0))+INDEX(Annual!$128:$128,MATCH(G$1,Annual!$1:$1,0)))/2)),"")</f>
        <v>7.0919836338839221E-2</v>
      </c>
      <c r="H69" s="6">
        <f>IFERROR(IF((INDEX(Annual!$128:$128,MATCH(H$1-1,Annual!$1:$1,0))+INDEX(Annual!$128:$128,MATCH(H$1,Annual!$1:$1,0)))=0,"",-INDEX(Annual!$61:$61,MATCH(H$1,Annual!$1:$1,0))/((INDEX(Annual!$128:$128,MATCH(H$1-1,Annual!$1:$1,0))+INDEX(Annual!$128:$128,MATCH(H$1,Annual!$1:$1,0)))/2)),"")</f>
        <v>6.6593886462882113E-2</v>
      </c>
      <c r="I69" s="6">
        <f>IFERROR(IF((INDEX(Annual!$128:$128,MATCH(I$1-1,Annual!$1:$1,0))+INDEX(Annual!$128:$128,MATCH(I$1,Annual!$1:$1,0)))=0,"",-INDEX(Annual!$61:$61,MATCH(I$1,Annual!$1:$1,0))/((INDEX(Annual!$128:$128,MATCH(I$1-1,Annual!$1:$1,0))+INDEX(Annual!$128:$128,MATCH(I$1,Annual!$1:$1,0)))/2)),"")</f>
        <v>6.6593886462882113E-2</v>
      </c>
      <c r="J69" s="6">
        <f>IFERROR(IF((INDEX(Annual!$128:$128,MATCH(J$1-1,Annual!$1:$1,0))+INDEX(Annual!$128:$128,MATCH(J$1,Annual!$1:$1,0)))=0,"",-INDEX(Annual!$61:$61,MATCH(J$1,Annual!$1:$1,0))/((INDEX(Annual!$128:$128,MATCH(J$1-1,Annual!$1:$1,0))+INDEX(Annual!$128:$128,MATCH(J$1,Annual!$1:$1,0)))/2)),"")</f>
        <v>6.6593886462882113E-2</v>
      </c>
      <c r="K69" s="26">
        <f t="shared" si="44"/>
        <v>6.6593886462882113E-2</v>
      </c>
      <c r="L69" s="26">
        <f t="shared" si="44"/>
        <v>6.6593886462882113E-2</v>
      </c>
      <c r="M69" s="26">
        <f t="shared" si="44"/>
        <v>6.6593886462882113E-2</v>
      </c>
      <c r="N69" s="26">
        <f t="shared" si="44"/>
        <v>6.6593886462882113E-2</v>
      </c>
      <c r="O69" s="26">
        <f t="shared" si="44"/>
        <v>6.6593886462882113E-2</v>
      </c>
      <c r="P69" s="26">
        <f t="shared" si="44"/>
        <v>6.6593886462882113E-2</v>
      </c>
      <c r="Q69" s="26">
        <f t="shared" si="44"/>
        <v>6.6593886462882113E-2</v>
      </c>
      <c r="R69" s="26">
        <f t="shared" si="44"/>
        <v>6.6593886462882113E-2</v>
      </c>
      <c r="S69" s="26">
        <f t="shared" si="44"/>
        <v>6.6593886462882113E-2</v>
      </c>
      <c r="T69" s="26">
        <f t="shared" si="44"/>
        <v>6.6593886462882113E-2</v>
      </c>
      <c r="U69" s="26">
        <f t="shared" si="45"/>
        <v>6.6593886462882113E-2</v>
      </c>
      <c r="V69" s="26">
        <f t="shared" si="45"/>
        <v>6.6593886462882113E-2</v>
      </c>
      <c r="W69" s="26">
        <f t="shared" si="45"/>
        <v>6.6593886462882113E-2</v>
      </c>
      <c r="X69" s="26">
        <f t="shared" si="45"/>
        <v>6.6593886462882113E-2</v>
      </c>
      <c r="Y69" s="26">
        <f t="shared" si="45"/>
        <v>6.6593886462882113E-2</v>
      </c>
      <c r="Z69" s="26">
        <f t="shared" si="45"/>
        <v>6.6593886462882113E-2</v>
      </c>
      <c r="AA69" s="26">
        <f t="shared" si="45"/>
        <v>6.6593886462882113E-2</v>
      </c>
      <c r="AB69" s="26">
        <f t="shared" si="45"/>
        <v>6.6593886462882113E-2</v>
      </c>
      <c r="AC69" s="26">
        <f t="shared" si="45"/>
        <v>6.6593886462882113E-2</v>
      </c>
    </row>
    <row r="71" spans="1:29" x14ac:dyDescent="0.35">
      <c r="A71" t="s">
        <v>107</v>
      </c>
      <c r="B71" s="20" t="s">
        <v>108</v>
      </c>
      <c r="C71" s="20" t="s">
        <v>22</v>
      </c>
      <c r="D71" s="21">
        <f t="shared" ref="D71:AC71" si="46">D58+D66</f>
        <v>76.899999999999977</v>
      </c>
      <c r="E71" s="21">
        <f t="shared" si="46"/>
        <v>59.000000000000021</v>
      </c>
      <c r="F71" s="21">
        <f t="shared" si="46"/>
        <v>38.699999999999989</v>
      </c>
      <c r="G71" s="21">
        <f t="shared" si="46"/>
        <v>20.200000000000006</v>
      </c>
      <c r="H71" s="21">
        <f t="shared" si="46"/>
        <v>13.800000000000004</v>
      </c>
      <c r="I71" s="21">
        <f t="shared" si="46"/>
        <v>11.600000000000016</v>
      </c>
      <c r="J71" s="21">
        <f t="shared" si="46"/>
        <v>13.300000000000004</v>
      </c>
      <c r="K71" s="21">
        <f t="shared" si="46"/>
        <v>28.01989591133254</v>
      </c>
      <c r="L71" s="21">
        <f t="shared" si="46"/>
        <v>23.951421009912476</v>
      </c>
      <c r="M71" s="21">
        <f t="shared" si="46"/>
        <v>34.243778250764137</v>
      </c>
      <c r="N71" s="21">
        <f t="shared" si="46"/>
        <v>29.65100258962854</v>
      </c>
      <c r="O71" s="21">
        <f t="shared" si="46"/>
        <v>39.888938604798298</v>
      </c>
      <c r="P71" s="21">
        <f t="shared" si="46"/>
        <v>35.800034576472832</v>
      </c>
      <c r="Q71" s="21">
        <f t="shared" si="46"/>
        <v>45.964809879082452</v>
      </c>
      <c r="R71" s="21">
        <f t="shared" si="46"/>
        <v>42.38218689997877</v>
      </c>
      <c r="S71" s="21">
        <f t="shared" si="46"/>
        <v>52.453624639167856</v>
      </c>
      <c r="T71" s="21">
        <f t="shared" si="46"/>
        <v>49.426373840605123</v>
      </c>
      <c r="U71" s="21">
        <f t="shared" si="46"/>
        <v>59.382769852549458</v>
      </c>
      <c r="V71" s="21">
        <f t="shared" si="46"/>
        <v>56.962908251205505</v>
      </c>
      <c r="W71" s="21">
        <f t="shared" si="46"/>
        <v>66.780935850081164</v>
      </c>
      <c r="X71" s="21">
        <f t="shared" si="46"/>
        <v>65.023616322231888</v>
      </c>
      <c r="Y71" s="21">
        <f t="shared" si="46"/>
        <v>74.678225531741859</v>
      </c>
      <c r="Z71" s="21">
        <f t="shared" si="46"/>
        <v>73.641954322081162</v>
      </c>
      <c r="AA71" s="21">
        <f t="shared" si="46"/>
        <v>83.106265231318133</v>
      </c>
      <c r="AB71" s="21">
        <f t="shared" si="46"/>
        <v>82.853127989686755</v>
      </c>
      <c r="AC71" s="21">
        <f t="shared" si="46"/>
        <v>92.098317899318076</v>
      </c>
    </row>
    <row r="72" spans="1:29" x14ac:dyDescent="0.35">
      <c r="A72" t="s">
        <v>109</v>
      </c>
      <c r="B72" t="s">
        <v>110</v>
      </c>
      <c r="C72" t="s">
        <v>22</v>
      </c>
      <c r="D72" s="19">
        <v>-22.4</v>
      </c>
      <c r="E72" s="4">
        <f>INDEX(Annual!$A:$R,MATCH($A72,Annual!$A:$A,0),MATCH(E$1,Annual!$A$1:$R$1,0))-D72</f>
        <v>-14.600000000000001</v>
      </c>
      <c r="F72" s="19">
        <v>-12.4</v>
      </c>
      <c r="G72" s="4">
        <f>INDEX(Annual!$A:$R,MATCH($A72,Annual!$A:$A,0),MATCH(G$1,Annual!$A$1:$R$1,0))-F72</f>
        <v>-6.4999999999999982</v>
      </c>
      <c r="H72" s="19">
        <v>-4.5999999999999996</v>
      </c>
      <c r="I72" s="4">
        <f>INDEX(Annual!$A:$R,MATCH($A72,Annual!$A:$A,0),MATCH(I$1,Annual!$A$1:$R$1,0))-H72</f>
        <v>-3</v>
      </c>
      <c r="J72" s="19">
        <v>-3.6</v>
      </c>
      <c r="K72" s="4">
        <f t="shared" ref="K72:AC72" si="47">-K71*K73</f>
        <v>-7.2465248046549569</v>
      </c>
      <c r="L72" s="4">
        <f t="shared" si="47"/>
        <v>-6.4830914011793155</v>
      </c>
      <c r="M72" s="4">
        <f t="shared" si="47"/>
        <v>-8.8561495476114018</v>
      </c>
      <c r="N72" s="4">
        <f t="shared" si="47"/>
        <v>-8.0258352874182499</v>
      </c>
      <c r="O72" s="4">
        <f t="shared" si="47"/>
        <v>-10.316104811585753</v>
      </c>
      <c r="P72" s="4">
        <f t="shared" si="47"/>
        <v>-9.6902349229550495</v>
      </c>
      <c r="Q72" s="4">
        <f t="shared" si="47"/>
        <v>-11.887450830797169</v>
      </c>
      <c r="R72" s="4">
        <f t="shared" si="47"/>
        <v>-11.471870138340115</v>
      </c>
      <c r="S72" s="4">
        <f t="shared" si="47"/>
        <v>-13.565592579095116</v>
      </c>
      <c r="T72" s="4">
        <f t="shared" si="47"/>
        <v>-13.378567355351759</v>
      </c>
      <c r="U72" s="4">
        <f t="shared" si="47"/>
        <v>-15.357612892900701</v>
      </c>
      <c r="V72" s="4">
        <f t="shared" si="47"/>
        <v>-15.418531556717275</v>
      </c>
      <c r="W72" s="4">
        <f t="shared" si="47"/>
        <v>-17.270931685365795</v>
      </c>
      <c r="X72" s="4">
        <f t="shared" si="47"/>
        <v>-17.600377350378551</v>
      </c>
      <c r="Y72" s="4">
        <f t="shared" si="47"/>
        <v>-19.313334189243555</v>
      </c>
      <c r="Z72" s="4">
        <f t="shared" si="47"/>
        <v>-19.933160568382867</v>
      </c>
      <c r="AA72" s="4">
        <f t="shared" si="47"/>
        <v>-21.492999628789143</v>
      </c>
      <c r="AB72" s="4">
        <f t="shared" si="47"/>
        <v>-22.426410583674606</v>
      </c>
      <c r="AC72" s="4">
        <f t="shared" si="47"/>
        <v>-23.818530491202917</v>
      </c>
    </row>
    <row r="73" spans="1:29" x14ac:dyDescent="0.35">
      <c r="B73" s="25" t="s">
        <v>289</v>
      </c>
      <c r="C73" t="s">
        <v>48</v>
      </c>
      <c r="D73" s="6">
        <f t="shared" ref="D73:J73" si="48">IF(D71=0,"",-D72/D71)</f>
        <v>0.29128738621586481</v>
      </c>
      <c r="E73" s="6">
        <f t="shared" si="48"/>
        <v>0.247457627118644</v>
      </c>
      <c r="F73" s="6">
        <f t="shared" si="48"/>
        <v>0.32041343669250655</v>
      </c>
      <c r="G73" s="6">
        <f t="shared" si="48"/>
        <v>0.32178217821782157</v>
      </c>
      <c r="H73" s="6">
        <f t="shared" si="48"/>
        <v>0.3333333333333332</v>
      </c>
      <c r="I73" s="6">
        <f t="shared" si="48"/>
        <v>0.25862068965517204</v>
      </c>
      <c r="J73" s="6">
        <f t="shared" si="48"/>
        <v>0.27067669172932324</v>
      </c>
      <c r="K73" s="26">
        <f t="shared" ref="K73:AC73" si="49">I73</f>
        <v>0.25862068965517204</v>
      </c>
      <c r="L73" s="26">
        <f t="shared" si="49"/>
        <v>0.27067669172932324</v>
      </c>
      <c r="M73" s="26">
        <f t="shared" si="49"/>
        <v>0.25862068965517204</v>
      </c>
      <c r="N73" s="26">
        <f t="shared" si="49"/>
        <v>0.27067669172932324</v>
      </c>
      <c r="O73" s="26">
        <f t="shared" si="49"/>
        <v>0.25862068965517204</v>
      </c>
      <c r="P73" s="26">
        <f t="shared" si="49"/>
        <v>0.27067669172932324</v>
      </c>
      <c r="Q73" s="26">
        <f t="shared" si="49"/>
        <v>0.25862068965517204</v>
      </c>
      <c r="R73" s="26">
        <f t="shared" si="49"/>
        <v>0.27067669172932324</v>
      </c>
      <c r="S73" s="26">
        <f t="shared" si="49"/>
        <v>0.25862068965517204</v>
      </c>
      <c r="T73" s="26">
        <f t="shared" si="49"/>
        <v>0.27067669172932324</v>
      </c>
      <c r="U73" s="26">
        <f t="shared" si="49"/>
        <v>0.25862068965517204</v>
      </c>
      <c r="V73" s="26">
        <f t="shared" si="49"/>
        <v>0.27067669172932324</v>
      </c>
      <c r="W73" s="26">
        <f t="shared" si="49"/>
        <v>0.25862068965517204</v>
      </c>
      <c r="X73" s="26">
        <f t="shared" si="49"/>
        <v>0.27067669172932324</v>
      </c>
      <c r="Y73" s="26">
        <f t="shared" si="49"/>
        <v>0.25862068965517204</v>
      </c>
      <c r="Z73" s="26">
        <f t="shared" si="49"/>
        <v>0.27067669172932324</v>
      </c>
      <c r="AA73" s="26">
        <f t="shared" si="49"/>
        <v>0.25862068965517204</v>
      </c>
      <c r="AB73" s="26">
        <f t="shared" si="49"/>
        <v>0.27067669172932324</v>
      </c>
      <c r="AC73" s="26">
        <f t="shared" si="49"/>
        <v>0.25862068965517204</v>
      </c>
    </row>
    <row r="74" spans="1:29" x14ac:dyDescent="0.35">
      <c r="A74" t="s">
        <v>112</v>
      </c>
      <c r="B74" s="62" t="s">
        <v>113</v>
      </c>
      <c r="C74" t="s">
        <v>22</v>
      </c>
      <c r="D74" s="19">
        <v>0</v>
      </c>
      <c r="E74" s="4">
        <f>INDEX(Annual!$A:$R,MATCH($A74,Annual!$A:$A,0),MATCH(E$1,Annual!$A$1:$R$1,0))-D74</f>
        <v>0</v>
      </c>
      <c r="F74" s="19">
        <v>0</v>
      </c>
      <c r="G74" s="4">
        <f>INDEX(Annual!$A:$R,MATCH($A74,Annual!$A:$A,0),MATCH(G$1,Annual!$A$1:$R$1,0))-F74</f>
        <v>0</v>
      </c>
      <c r="H74" s="19">
        <v>0</v>
      </c>
      <c r="I74" s="4">
        <f>INDEX(Annual!$A:$R,MATCH($A74,Annual!$A:$A,0),MATCH(I$1,Annual!$A$1:$R$1,0))-H74</f>
        <v>0</v>
      </c>
      <c r="J74" s="19">
        <v>-0.4</v>
      </c>
      <c r="K74" s="40">
        <f>J74</f>
        <v>-0.4</v>
      </c>
      <c r="L74" s="40">
        <f t="shared" ref="L74:AC74" si="50">L38/J38*J74</f>
        <v>-0.55527695279246125</v>
      </c>
      <c r="M74" s="40">
        <f t="shared" si="50"/>
        <v>-0.43335058758047645</v>
      </c>
      <c r="N74" s="40">
        <f t="shared" si="50"/>
        <v>-0.60281585253453462</v>
      </c>
      <c r="O74" s="40">
        <f t="shared" si="50"/>
        <v>-0.46883673510807616</v>
      </c>
      <c r="P74" s="40">
        <f t="shared" si="50"/>
        <v>-0.65341960117782605</v>
      </c>
      <c r="Q74" s="40">
        <f t="shared" si="50"/>
        <v>-0.50658440666708926</v>
      </c>
      <c r="R74" s="40">
        <f t="shared" si="50"/>
        <v>-0.70726942792959324</v>
      </c>
      <c r="S74" s="40">
        <f t="shared" si="50"/>
        <v>-0.54672676150493571</v>
      </c>
      <c r="T74" s="40">
        <f t="shared" si="50"/>
        <v>-0.76455692462242419</v>
      </c>
      <c r="U74" s="40">
        <f t="shared" si="50"/>
        <v>-0.58940455947914605</v>
      </c>
      <c r="V74" s="40">
        <f t="shared" si="50"/>
        <v>-0.82548462990802407</v>
      </c>
      <c r="W74" s="40">
        <f t="shared" si="50"/>
        <v>-0.63476658921592644</v>
      </c>
      <c r="X74" s="40">
        <f t="shared" si="50"/>
        <v>-0.89026664618174389</v>
      </c>
      <c r="Y74" s="40">
        <f t="shared" si="50"/>
        <v>-0.6829701202491778</v>
      </c>
      <c r="Z74" s="40">
        <f t="shared" si="50"/>
        <v>-0.95912929106663225</v>
      </c>
      <c r="AA74" s="40">
        <f t="shared" si="50"/>
        <v>-0.73418138047964399</v>
      </c>
      <c r="AB74" s="40">
        <f t="shared" si="50"/>
        <v>-1.0323117853878594</v>
      </c>
      <c r="AC74" s="40">
        <f t="shared" si="50"/>
        <v>-0.78857606036862338</v>
      </c>
    </row>
    <row r="75" spans="1:29" x14ac:dyDescent="0.35">
      <c r="A75" t="s">
        <v>114</v>
      </c>
      <c r="B75" s="20" t="s">
        <v>115</v>
      </c>
      <c r="C75" s="20" t="s">
        <v>22</v>
      </c>
      <c r="D75" s="21">
        <f t="shared" ref="D75:AC75" si="51">D71+D72+D74</f>
        <v>54.499999999999979</v>
      </c>
      <c r="E75" s="21">
        <f t="shared" si="51"/>
        <v>44.40000000000002</v>
      </c>
      <c r="F75" s="21">
        <f t="shared" si="51"/>
        <v>26.29999999999999</v>
      </c>
      <c r="G75" s="21">
        <f t="shared" si="51"/>
        <v>13.700000000000008</v>
      </c>
      <c r="H75" s="21">
        <f t="shared" si="51"/>
        <v>9.2000000000000046</v>
      </c>
      <c r="I75" s="21">
        <f t="shared" si="51"/>
        <v>8.6000000000000156</v>
      </c>
      <c r="J75" s="21">
        <f t="shared" si="51"/>
        <v>9.3000000000000043</v>
      </c>
      <c r="K75" s="21">
        <f t="shared" si="51"/>
        <v>20.373371106677585</v>
      </c>
      <c r="L75" s="21">
        <f t="shared" si="51"/>
        <v>16.9130526559407</v>
      </c>
      <c r="M75" s="21">
        <f t="shared" si="51"/>
        <v>24.954278115572258</v>
      </c>
      <c r="N75" s="21">
        <f t="shared" si="51"/>
        <v>21.022351449675757</v>
      </c>
      <c r="O75" s="21">
        <f t="shared" si="51"/>
        <v>29.103997058104468</v>
      </c>
      <c r="P75" s="21">
        <f t="shared" si="51"/>
        <v>25.456380052339956</v>
      </c>
      <c r="Q75" s="21">
        <f t="shared" si="51"/>
        <v>33.570774641618193</v>
      </c>
      <c r="R75" s="21">
        <f t="shared" si="51"/>
        <v>30.203047333709062</v>
      </c>
      <c r="S75" s="21">
        <f t="shared" si="51"/>
        <v>38.341305298567804</v>
      </c>
      <c r="T75" s="21">
        <f t="shared" si="51"/>
        <v>35.283249560630935</v>
      </c>
      <c r="U75" s="21">
        <f t="shared" si="51"/>
        <v>43.435752400169605</v>
      </c>
      <c r="V75" s="21">
        <f t="shared" si="51"/>
        <v>40.718892064580203</v>
      </c>
      <c r="W75" s="21">
        <f t="shared" si="51"/>
        <v>48.87523757549944</v>
      </c>
      <c r="X75" s="21">
        <f t="shared" si="51"/>
        <v>46.532972325671594</v>
      </c>
      <c r="Y75" s="21">
        <f t="shared" si="51"/>
        <v>54.681921222249123</v>
      </c>
      <c r="Z75" s="21">
        <f t="shared" si="51"/>
        <v>52.749664462631664</v>
      </c>
      <c r="AA75" s="21">
        <f t="shared" si="51"/>
        <v>60.879084222049343</v>
      </c>
      <c r="AB75" s="21">
        <f t="shared" si="51"/>
        <v>59.394405620624283</v>
      </c>
      <c r="AC75" s="21">
        <f t="shared" si="51"/>
        <v>67.491211347746528</v>
      </c>
    </row>
    <row r="76" spans="1:29" x14ac:dyDescent="0.35">
      <c r="A76" t="s">
        <v>116</v>
      </c>
      <c r="B76" t="s">
        <v>117</v>
      </c>
      <c r="C76" t="s">
        <v>22</v>
      </c>
      <c r="D76" s="19">
        <v>0</v>
      </c>
      <c r="E76" s="4">
        <f>INDEX(Annual!$A:$R,MATCH($A76,Annual!$A:$A,0),MATCH(E$1,Annual!$A$1:$R$1,0))-D76</f>
        <v>-7.2</v>
      </c>
      <c r="F76" s="19">
        <v>0</v>
      </c>
      <c r="G76" s="4">
        <f>INDEX(Annual!$A:$R,MATCH($A76,Annual!$A:$A,0),MATCH(G$1,Annual!$A$1:$R$1,0))-F76</f>
        <v>0</v>
      </c>
      <c r="H76" s="19">
        <v>0</v>
      </c>
      <c r="I76" s="4">
        <f>INDEX(Annual!$A:$R,MATCH($A76,Annual!$A:$A,0),MATCH(I$1,Annual!$A$1:$R$1,0))-H76</f>
        <v>-2.2000000000000002</v>
      </c>
      <c r="J76" s="19">
        <v>-0.7</v>
      </c>
      <c r="K76" s="4">
        <f>0</f>
        <v>0</v>
      </c>
      <c r="L76" s="4">
        <f>0</f>
        <v>0</v>
      </c>
      <c r="M76" s="4">
        <f>0</f>
        <v>0</v>
      </c>
      <c r="N76" s="4">
        <f>0</f>
        <v>0</v>
      </c>
      <c r="O76" s="4">
        <f>0</f>
        <v>0</v>
      </c>
      <c r="P76" s="4">
        <f>0</f>
        <v>0</v>
      </c>
      <c r="Q76" s="4">
        <f>0</f>
        <v>0</v>
      </c>
      <c r="R76" s="4">
        <f>0</f>
        <v>0</v>
      </c>
      <c r="S76" s="4">
        <f>0</f>
        <v>0</v>
      </c>
      <c r="T76" s="4">
        <f>0</f>
        <v>0</v>
      </c>
      <c r="U76" s="4">
        <f>0</f>
        <v>0</v>
      </c>
      <c r="V76" s="4">
        <f>0</f>
        <v>0</v>
      </c>
      <c r="W76" s="4">
        <f>0</f>
        <v>0</v>
      </c>
      <c r="X76" s="4">
        <f>0</f>
        <v>0</v>
      </c>
      <c r="Y76" s="4">
        <f>0</f>
        <v>0</v>
      </c>
      <c r="Z76" s="4">
        <f>0</f>
        <v>0</v>
      </c>
      <c r="AA76" s="4">
        <f>0</f>
        <v>0</v>
      </c>
      <c r="AB76" s="4">
        <f>0</f>
        <v>0</v>
      </c>
      <c r="AC76" s="4">
        <f>0</f>
        <v>0</v>
      </c>
    </row>
    <row r="77" spans="1:29" x14ac:dyDescent="0.35">
      <c r="A77" t="s">
        <v>118</v>
      </c>
      <c r="B77" s="20" t="s">
        <v>119</v>
      </c>
      <c r="C77" s="20" t="s">
        <v>22</v>
      </c>
      <c r="D77" s="21">
        <f t="shared" ref="D77:AC77" si="52">D75+D76</f>
        <v>54.499999999999979</v>
      </c>
      <c r="E77" s="21">
        <f t="shared" si="52"/>
        <v>37.200000000000017</v>
      </c>
      <c r="F77" s="21">
        <f t="shared" si="52"/>
        <v>26.29999999999999</v>
      </c>
      <c r="G77" s="21">
        <f t="shared" si="52"/>
        <v>13.700000000000008</v>
      </c>
      <c r="H77" s="21">
        <f t="shared" si="52"/>
        <v>9.2000000000000046</v>
      </c>
      <c r="I77" s="21">
        <f t="shared" si="52"/>
        <v>6.4000000000000155</v>
      </c>
      <c r="J77" s="21">
        <f t="shared" si="52"/>
        <v>8.600000000000005</v>
      </c>
      <c r="K77" s="21">
        <f t="shared" si="52"/>
        <v>20.373371106677585</v>
      </c>
      <c r="L77" s="21">
        <f t="shared" si="52"/>
        <v>16.9130526559407</v>
      </c>
      <c r="M77" s="21">
        <f t="shared" si="52"/>
        <v>24.954278115572258</v>
      </c>
      <c r="N77" s="21">
        <f t="shared" si="52"/>
        <v>21.022351449675757</v>
      </c>
      <c r="O77" s="21">
        <f t="shared" si="52"/>
        <v>29.103997058104468</v>
      </c>
      <c r="P77" s="21">
        <f t="shared" si="52"/>
        <v>25.456380052339956</v>
      </c>
      <c r="Q77" s="21">
        <f t="shared" si="52"/>
        <v>33.570774641618193</v>
      </c>
      <c r="R77" s="21">
        <f t="shared" si="52"/>
        <v>30.203047333709062</v>
      </c>
      <c r="S77" s="21">
        <f t="shared" si="52"/>
        <v>38.341305298567804</v>
      </c>
      <c r="T77" s="21">
        <f t="shared" si="52"/>
        <v>35.283249560630935</v>
      </c>
      <c r="U77" s="21">
        <f t="shared" si="52"/>
        <v>43.435752400169605</v>
      </c>
      <c r="V77" s="21">
        <f t="shared" si="52"/>
        <v>40.718892064580203</v>
      </c>
      <c r="W77" s="21">
        <f t="shared" si="52"/>
        <v>48.87523757549944</v>
      </c>
      <c r="X77" s="21">
        <f t="shared" si="52"/>
        <v>46.532972325671594</v>
      </c>
      <c r="Y77" s="21">
        <f t="shared" si="52"/>
        <v>54.681921222249123</v>
      </c>
      <c r="Z77" s="21">
        <f t="shared" si="52"/>
        <v>52.749664462631664</v>
      </c>
      <c r="AA77" s="21">
        <f t="shared" si="52"/>
        <v>60.879084222049343</v>
      </c>
      <c r="AB77" s="21">
        <f t="shared" si="52"/>
        <v>59.394405620624283</v>
      </c>
      <c r="AC77" s="21">
        <f t="shared" si="52"/>
        <v>67.491211347746528</v>
      </c>
    </row>
    <row r="78" spans="1:29" x14ac:dyDescent="0.35">
      <c r="B78" t="s">
        <v>363</v>
      </c>
      <c r="C78" t="s">
        <v>28</v>
      </c>
      <c r="D78" s="6"/>
      <c r="E78" s="6"/>
      <c r="F78" s="6">
        <f t="shared" ref="F78:AC78" si="53">IF(D75=0,"",F75/D75-1)</f>
        <v>-0.51743119266055038</v>
      </c>
      <c r="G78" s="6">
        <f t="shared" si="53"/>
        <v>-0.69144144144144137</v>
      </c>
      <c r="H78" s="6">
        <f t="shared" si="53"/>
        <v>-0.65019011406844074</v>
      </c>
      <c r="I78" s="6">
        <f t="shared" si="53"/>
        <v>-0.37226277372262695</v>
      </c>
      <c r="J78" s="6">
        <f t="shared" si="53"/>
        <v>1.0869565217391353E-2</v>
      </c>
      <c r="K78" s="6">
        <f t="shared" si="53"/>
        <v>1.3689966403113427</v>
      </c>
      <c r="L78" s="6">
        <f t="shared" si="53"/>
        <v>0.81860781246674108</v>
      </c>
      <c r="M78" s="6">
        <f t="shared" si="53"/>
        <v>0.22484776745627699</v>
      </c>
      <c r="N78" s="6">
        <f t="shared" si="53"/>
        <v>0.24296612074294388</v>
      </c>
      <c r="O78" s="6">
        <f t="shared" si="53"/>
        <v>0.16629288666710229</v>
      </c>
      <c r="P78" s="6">
        <f t="shared" si="53"/>
        <v>0.21091972576324647</v>
      </c>
      <c r="Q78" s="6">
        <f t="shared" si="53"/>
        <v>0.15347643056024429</v>
      </c>
      <c r="R78" s="6">
        <f t="shared" si="53"/>
        <v>0.18646277560319469</v>
      </c>
      <c r="S78" s="6">
        <f t="shared" si="53"/>
        <v>0.14210368118927796</v>
      </c>
      <c r="T78" s="6">
        <f t="shared" si="53"/>
        <v>0.16820164438347751</v>
      </c>
      <c r="U78" s="6">
        <f t="shared" si="53"/>
        <v>0.13287098761846527</v>
      </c>
      <c r="V78" s="6">
        <f t="shared" si="53"/>
        <v>0.15405730967632758</v>
      </c>
      <c r="W78" s="6">
        <f t="shared" si="53"/>
        <v>0.12523059633493516</v>
      </c>
      <c r="X78" s="6">
        <f t="shared" si="53"/>
        <v>0.14278581676216184</v>
      </c>
      <c r="Y78" s="6">
        <f t="shared" si="53"/>
        <v>0.11880624902906867</v>
      </c>
      <c r="Z78" s="6">
        <f t="shared" si="53"/>
        <v>0.13359757235044301</v>
      </c>
      <c r="AA78" s="6">
        <f t="shared" si="53"/>
        <v>0.11333111312260735</v>
      </c>
      <c r="AB78" s="6">
        <f t="shared" si="53"/>
        <v>0.12596745828970746</v>
      </c>
      <c r="AC78" s="6">
        <f t="shared" si="53"/>
        <v>0.10861081782341242</v>
      </c>
    </row>
    <row r="80" spans="1:29" x14ac:dyDescent="0.35">
      <c r="A80" s="27"/>
      <c r="B80" s="28" t="s">
        <v>145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 spans="1:29" x14ac:dyDescent="0.35">
      <c r="A81" t="s">
        <v>146</v>
      </c>
      <c r="B81" t="s">
        <v>147</v>
      </c>
      <c r="C81" t="s">
        <v>148</v>
      </c>
      <c r="D81" s="19">
        <v>94.5</v>
      </c>
      <c r="E81" s="4">
        <f>INDEX(Annual!$A:$R,MATCH($A81,Annual!$A:$A,0),MATCH(E$1,Annual!$A$1:$R$1,0))-D81</f>
        <v>88.300000000000011</v>
      </c>
      <c r="F81" s="19">
        <v>84.5</v>
      </c>
      <c r="G81" s="4">
        <f>INDEX(Annual!$A:$R,MATCH($A81,Annual!$A:$A,0),MATCH(G$1,Annual!$A$1:$R$1,0))-F81</f>
        <v>77.5</v>
      </c>
      <c r="H81" s="19">
        <v>77.099999999999994</v>
      </c>
      <c r="I81" s="4">
        <f>INDEX(Annual!$A:$R,MATCH($A81,Annual!$A:$A,0),MATCH(I$1,Annual!$A$1:$R$1,0))-H81</f>
        <v>75.599999999999994</v>
      </c>
      <c r="J81" s="19">
        <v>89.4</v>
      </c>
      <c r="K81" s="4">
        <f t="shared" ref="K81:AC81" si="54">K93</f>
        <v>99.867999999999995</v>
      </c>
      <c r="L81" s="4">
        <f t="shared" si="54"/>
        <v>103.08200000000001</v>
      </c>
      <c r="M81" s="4">
        <f t="shared" si="54"/>
        <v>102.86404</v>
      </c>
      <c r="N81" s="4">
        <f t="shared" si="54"/>
        <v>106.17446000000001</v>
      </c>
      <c r="O81" s="4">
        <f t="shared" si="54"/>
        <v>105.9499612</v>
      </c>
      <c r="P81" s="4">
        <f t="shared" si="54"/>
        <v>109.35969380000002</v>
      </c>
      <c r="Q81" s="4">
        <f t="shared" si="54"/>
        <v>109.12846003600001</v>
      </c>
      <c r="R81" s="4">
        <f t="shared" si="54"/>
        <v>112.64048461400002</v>
      </c>
      <c r="S81" s="4">
        <f t="shared" si="54"/>
        <v>112.40231383708002</v>
      </c>
      <c r="T81" s="4">
        <f t="shared" si="54"/>
        <v>116.01969915242002</v>
      </c>
      <c r="U81" s="4">
        <f t="shared" si="54"/>
        <v>115.77438325219242</v>
      </c>
      <c r="V81" s="4">
        <f t="shared" si="54"/>
        <v>119.50029012699262</v>
      </c>
      <c r="W81" s="4">
        <f t="shared" si="54"/>
        <v>119.2476147497582</v>
      </c>
      <c r="X81" s="4">
        <f t="shared" si="54"/>
        <v>123.0852988308024</v>
      </c>
      <c r="Y81" s="4">
        <f t="shared" si="54"/>
        <v>122.82504319225094</v>
      </c>
      <c r="Z81" s="4">
        <f t="shared" si="54"/>
        <v>126.77785779572648</v>
      </c>
      <c r="AA81" s="4">
        <f t="shared" si="54"/>
        <v>126.50979448801847</v>
      </c>
      <c r="AB81" s="4">
        <f t="shared" si="54"/>
        <v>130.58119352959827</v>
      </c>
      <c r="AC81" s="4">
        <f t="shared" si="54"/>
        <v>130.30508832265903</v>
      </c>
    </row>
    <row r="82" spans="1:29" x14ac:dyDescent="0.35">
      <c r="A82" t="s">
        <v>149</v>
      </c>
      <c r="B82" t="s">
        <v>150</v>
      </c>
      <c r="C82" t="s">
        <v>148</v>
      </c>
      <c r="D82" s="19">
        <v>32.9</v>
      </c>
      <c r="E82" s="4">
        <f>INDEX(Annual!$A:$R,MATCH($A82,Annual!$A:$A,0),MATCH(E$1,Annual!$A$1:$R$1,0))-D82</f>
        <v>35.699999999999996</v>
      </c>
      <c r="F82" s="19">
        <v>34.6</v>
      </c>
      <c r="G82" s="4">
        <f>INDEX(Annual!$A:$R,MATCH($A82,Annual!$A:$A,0),MATCH(G$1,Annual!$A$1:$R$1,0))-F82</f>
        <v>31.9</v>
      </c>
      <c r="H82" s="19">
        <v>32.200000000000003</v>
      </c>
      <c r="I82" s="4">
        <f>INDEX(Annual!$A:$R,MATCH($A82,Annual!$A:$A,0),MATCH(I$1,Annual!$A$1:$R$1,0))-H82</f>
        <v>28.9</v>
      </c>
      <c r="J82" s="19">
        <v>31.6</v>
      </c>
      <c r="K82" s="4">
        <f t="shared" ref="K82:AC82" si="55">K106</f>
        <v>29.766999999999999</v>
      </c>
      <c r="L82" s="4">
        <f t="shared" si="55"/>
        <v>32.548000000000002</v>
      </c>
      <c r="M82" s="4">
        <f t="shared" si="55"/>
        <v>30.66001</v>
      </c>
      <c r="N82" s="4">
        <f t="shared" si="55"/>
        <v>33.524440000000006</v>
      </c>
      <c r="O82" s="4">
        <f t="shared" si="55"/>
        <v>31.579810300000002</v>
      </c>
      <c r="P82" s="4">
        <f t="shared" si="55"/>
        <v>34.530173200000007</v>
      </c>
      <c r="Q82" s="4">
        <f t="shared" si="55"/>
        <v>32.527204609000002</v>
      </c>
      <c r="R82" s="4">
        <f t="shared" si="55"/>
        <v>35.566078396000009</v>
      </c>
      <c r="S82" s="4">
        <f t="shared" si="55"/>
        <v>33.50302074727</v>
      </c>
      <c r="T82" s="4">
        <f t="shared" si="55"/>
        <v>36.633060747880009</v>
      </c>
      <c r="U82" s="4">
        <f t="shared" si="55"/>
        <v>34.508111369688102</v>
      </c>
      <c r="V82" s="4">
        <f t="shared" si="55"/>
        <v>37.732052570316412</v>
      </c>
      <c r="W82" s="4">
        <f t="shared" si="55"/>
        <v>35.543354710778743</v>
      </c>
      <c r="X82" s="4">
        <f t="shared" si="55"/>
        <v>38.864014147425905</v>
      </c>
      <c r="Y82" s="4">
        <f t="shared" si="55"/>
        <v>36.609655352102109</v>
      </c>
      <c r="Z82" s="4">
        <f t="shared" si="55"/>
        <v>40.029934571848685</v>
      </c>
      <c r="AA82" s="4">
        <f t="shared" si="55"/>
        <v>37.707945012665171</v>
      </c>
      <c r="AB82" s="4">
        <f t="shared" si="55"/>
        <v>41.230832609004146</v>
      </c>
      <c r="AC82" s="4">
        <f t="shared" si="55"/>
        <v>38.83918336304513</v>
      </c>
    </row>
    <row r="83" spans="1:29" x14ac:dyDescent="0.35">
      <c r="A83" t="s">
        <v>151</v>
      </c>
      <c r="B83" s="20" t="s">
        <v>152</v>
      </c>
      <c r="C83" s="20" t="s">
        <v>148</v>
      </c>
      <c r="D83" s="21">
        <f t="shared" ref="D83:AC83" si="56">D81+D82</f>
        <v>127.4</v>
      </c>
      <c r="E83" s="21">
        <f t="shared" si="56"/>
        <v>124</v>
      </c>
      <c r="F83" s="21">
        <f t="shared" si="56"/>
        <v>119.1</v>
      </c>
      <c r="G83" s="21">
        <f t="shared" si="56"/>
        <v>109.4</v>
      </c>
      <c r="H83" s="21">
        <f t="shared" si="56"/>
        <v>109.3</v>
      </c>
      <c r="I83" s="21">
        <f t="shared" si="56"/>
        <v>104.5</v>
      </c>
      <c r="J83" s="21">
        <f t="shared" si="56"/>
        <v>121</v>
      </c>
      <c r="K83" s="21">
        <f t="shared" si="56"/>
        <v>129.63499999999999</v>
      </c>
      <c r="L83" s="21">
        <f t="shared" si="56"/>
        <v>135.63</v>
      </c>
      <c r="M83" s="21">
        <f t="shared" si="56"/>
        <v>133.52404999999999</v>
      </c>
      <c r="N83" s="21">
        <f t="shared" si="56"/>
        <v>139.69890000000001</v>
      </c>
      <c r="O83" s="21">
        <f t="shared" si="56"/>
        <v>137.52977150000001</v>
      </c>
      <c r="P83" s="21">
        <f t="shared" si="56"/>
        <v>143.88986700000004</v>
      </c>
      <c r="Q83" s="21">
        <f t="shared" si="56"/>
        <v>141.655664645</v>
      </c>
      <c r="R83" s="21">
        <f t="shared" si="56"/>
        <v>148.20656301000002</v>
      </c>
      <c r="S83" s="21">
        <f t="shared" si="56"/>
        <v>145.90533458435002</v>
      </c>
      <c r="T83" s="21">
        <f t="shared" si="56"/>
        <v>152.65275990030003</v>
      </c>
      <c r="U83" s="21">
        <f t="shared" si="56"/>
        <v>150.28249462188052</v>
      </c>
      <c r="V83" s="21">
        <f t="shared" si="56"/>
        <v>157.23234269730904</v>
      </c>
      <c r="W83" s="21">
        <f t="shared" si="56"/>
        <v>154.79096946053693</v>
      </c>
      <c r="X83" s="21">
        <f t="shared" si="56"/>
        <v>161.94931297822831</v>
      </c>
      <c r="Y83" s="21">
        <f t="shared" si="56"/>
        <v>159.43469854435307</v>
      </c>
      <c r="Z83" s="21">
        <f t="shared" si="56"/>
        <v>166.80779236757516</v>
      </c>
      <c r="AA83" s="21">
        <f t="shared" si="56"/>
        <v>164.21773950068365</v>
      </c>
      <c r="AB83" s="21">
        <f t="shared" si="56"/>
        <v>171.81202613860242</v>
      </c>
      <c r="AC83" s="21">
        <f t="shared" si="56"/>
        <v>169.14427168570415</v>
      </c>
    </row>
    <row r="84" spans="1:29" x14ac:dyDescent="0.35">
      <c r="A84" t="s">
        <v>153</v>
      </c>
      <c r="B84" s="8" t="s">
        <v>154</v>
      </c>
      <c r="C84" t="s">
        <v>155</v>
      </c>
      <c r="D84" s="29">
        <f t="shared" ref="D84:AC84" si="57">IF(D81=0,"",D7/D81*1000)</f>
        <v>3349.2063492063494</v>
      </c>
      <c r="E84" s="29">
        <f t="shared" si="57"/>
        <v>3168.7429218573038</v>
      </c>
      <c r="F84" s="29">
        <f t="shared" si="57"/>
        <v>2985.7988165680472</v>
      </c>
      <c r="G84" s="29">
        <f t="shared" si="57"/>
        <v>2825.8064516129029</v>
      </c>
      <c r="H84" s="29">
        <f t="shared" si="57"/>
        <v>2722.4383916990923</v>
      </c>
      <c r="I84" s="29">
        <f t="shared" si="57"/>
        <v>2642.8571428571427</v>
      </c>
      <c r="J84" s="29">
        <f t="shared" si="57"/>
        <v>2936.2416107382551</v>
      </c>
      <c r="K84" s="29">
        <f t="shared" si="57"/>
        <v>2708.9285714285706</v>
      </c>
      <c r="L84" s="29">
        <f t="shared" si="57"/>
        <v>3009.6476510067114</v>
      </c>
      <c r="M84" s="29">
        <f t="shared" si="57"/>
        <v>2776.6517857142849</v>
      </c>
      <c r="N84" s="29">
        <f t="shared" si="57"/>
        <v>3084.8888422818791</v>
      </c>
      <c r="O84" s="29">
        <f t="shared" si="57"/>
        <v>2846.0680803571422</v>
      </c>
      <c r="P84" s="29">
        <f t="shared" si="57"/>
        <v>3162.0110633389254</v>
      </c>
      <c r="Q84" s="29">
        <f t="shared" si="57"/>
        <v>2917.2197823660704</v>
      </c>
      <c r="R84" s="29">
        <f t="shared" si="57"/>
        <v>3241.0613399223985</v>
      </c>
      <c r="S84" s="29">
        <f t="shared" si="57"/>
        <v>2990.150276925222</v>
      </c>
      <c r="T84" s="29">
        <f t="shared" si="57"/>
        <v>3322.0878734204589</v>
      </c>
      <c r="U84" s="29">
        <f t="shared" si="57"/>
        <v>3064.9040338483519</v>
      </c>
      <c r="V84" s="29">
        <f t="shared" si="57"/>
        <v>3405.1400702559695</v>
      </c>
      <c r="W84" s="29">
        <f t="shared" si="57"/>
        <v>3141.5266346945614</v>
      </c>
      <c r="X84" s="29">
        <f t="shared" si="57"/>
        <v>3490.2685720123691</v>
      </c>
      <c r="Y84" s="29">
        <f t="shared" si="57"/>
        <v>3220.064800561925</v>
      </c>
      <c r="Z84" s="29">
        <f t="shared" si="57"/>
        <v>3577.5252863126775</v>
      </c>
      <c r="AA84" s="29">
        <f t="shared" si="57"/>
        <v>3300.5664205759722</v>
      </c>
      <c r="AB84" s="29">
        <f t="shared" si="57"/>
        <v>3666.9634184704946</v>
      </c>
      <c r="AC84" s="29">
        <f t="shared" si="57"/>
        <v>3383.0805810903717</v>
      </c>
    </row>
    <row r="85" spans="1:29" x14ac:dyDescent="0.35">
      <c r="A85" t="s">
        <v>156</v>
      </c>
      <c r="B85" s="8" t="s">
        <v>157</v>
      </c>
      <c r="C85" t="s">
        <v>155</v>
      </c>
      <c r="D85" s="29">
        <f t="shared" ref="D85:AC85" si="58">IF(D82=0,"",D8/D82*1000)</f>
        <v>9768.9969604863218</v>
      </c>
      <c r="E85" s="29">
        <f t="shared" si="58"/>
        <v>9165.2661064425793</v>
      </c>
      <c r="F85" s="29">
        <f t="shared" si="58"/>
        <v>9008.6705202312132</v>
      </c>
      <c r="G85" s="29">
        <f t="shared" si="58"/>
        <v>8818.181818181818</v>
      </c>
      <c r="H85" s="29">
        <f t="shared" si="58"/>
        <v>8791.9254658385107</v>
      </c>
      <c r="I85" s="29">
        <f t="shared" si="58"/>
        <v>8833.910034602075</v>
      </c>
      <c r="J85" s="29">
        <f t="shared" si="58"/>
        <v>8636.0759493670885</v>
      </c>
      <c r="K85" s="29">
        <f t="shared" si="58"/>
        <v>9054.7577854671254</v>
      </c>
      <c r="L85" s="29">
        <f t="shared" si="58"/>
        <v>8851.9778481012654</v>
      </c>
      <c r="M85" s="29">
        <f t="shared" si="58"/>
        <v>9281.1267301038024</v>
      </c>
      <c r="N85" s="29">
        <f t="shared" si="58"/>
        <v>9073.2772943037962</v>
      </c>
      <c r="O85" s="29">
        <f t="shared" si="58"/>
        <v>9513.1548983563953</v>
      </c>
      <c r="P85" s="29">
        <f t="shared" si="58"/>
        <v>9300.1092266613905</v>
      </c>
      <c r="Q85" s="29">
        <f t="shared" si="58"/>
        <v>9750.9837708153063</v>
      </c>
      <c r="R85" s="29">
        <f t="shared" si="58"/>
        <v>9532.6119573279248</v>
      </c>
      <c r="S85" s="29">
        <f t="shared" si="58"/>
        <v>9994.7583650856868</v>
      </c>
      <c r="T85" s="29">
        <f t="shared" si="58"/>
        <v>9770.9272562611222</v>
      </c>
      <c r="U85" s="29">
        <f t="shared" si="58"/>
        <v>10244.62732421283</v>
      </c>
      <c r="V85" s="29">
        <f t="shared" si="58"/>
        <v>10015.200437667649</v>
      </c>
      <c r="W85" s="29">
        <f t="shared" si="58"/>
        <v>10500.743007318149</v>
      </c>
      <c r="X85" s="29">
        <f t="shared" si="58"/>
        <v>10265.580448609338</v>
      </c>
      <c r="Y85" s="29">
        <f t="shared" si="58"/>
        <v>10763.261582501102</v>
      </c>
      <c r="Z85" s="29">
        <f t="shared" si="58"/>
        <v>10522.219959824572</v>
      </c>
      <c r="AA85" s="29">
        <f t="shared" si="58"/>
        <v>11032.343122063628</v>
      </c>
      <c r="AB85" s="29">
        <f t="shared" si="58"/>
        <v>10785.275458820186</v>
      </c>
      <c r="AC85" s="29">
        <f t="shared" si="58"/>
        <v>11308.151700115219</v>
      </c>
    </row>
    <row r="86" spans="1:29" x14ac:dyDescent="0.35">
      <c r="A86" t="s">
        <v>158</v>
      </c>
      <c r="B86" s="8" t="s">
        <v>159</v>
      </c>
      <c r="C86" t="s">
        <v>155</v>
      </c>
      <c r="D86" s="29">
        <f t="shared" ref="D86:AC86" si="59">IF(D81=0,"",D19/D81*1000)</f>
        <v>1078.4444444444446</v>
      </c>
      <c r="E86" s="29">
        <f t="shared" si="59"/>
        <v>952.8040770101926</v>
      </c>
      <c r="F86" s="29">
        <f t="shared" si="59"/>
        <v>1056.9727810650888</v>
      </c>
      <c r="G86" s="29">
        <f t="shared" si="59"/>
        <v>701.75225806451601</v>
      </c>
      <c r="H86" s="29">
        <f t="shared" si="59"/>
        <v>781.33981841763944</v>
      </c>
      <c r="I86" s="29">
        <f t="shared" si="59"/>
        <v>779.8769841269841</v>
      </c>
      <c r="J86" s="29">
        <f t="shared" si="59"/>
        <v>877.93624161073797</v>
      </c>
      <c r="K86" s="29">
        <f t="shared" si="59"/>
        <v>799.3739087301584</v>
      </c>
      <c r="L86" s="29">
        <f t="shared" si="59"/>
        <v>899.88464765100639</v>
      </c>
      <c r="M86" s="29">
        <f t="shared" si="59"/>
        <v>819.35825644841236</v>
      </c>
      <c r="N86" s="29">
        <f t="shared" si="59"/>
        <v>922.38176384228154</v>
      </c>
      <c r="O86" s="29">
        <f t="shared" si="59"/>
        <v>839.84221285962269</v>
      </c>
      <c r="P86" s="29">
        <f t="shared" si="59"/>
        <v>945.44130793833847</v>
      </c>
      <c r="Q86" s="29">
        <f t="shared" si="59"/>
        <v>860.83826818111311</v>
      </c>
      <c r="R86" s="29">
        <f t="shared" si="59"/>
        <v>969.07734063679698</v>
      </c>
      <c r="S86" s="29">
        <f t="shared" si="59"/>
        <v>882.35922488564086</v>
      </c>
      <c r="T86" s="29">
        <f t="shared" si="59"/>
        <v>993.30427415271686</v>
      </c>
      <c r="U86" s="29">
        <f t="shared" si="59"/>
        <v>904.41820550778198</v>
      </c>
      <c r="V86" s="29">
        <f t="shared" si="59"/>
        <v>1018.1368810065343</v>
      </c>
      <c r="W86" s="29">
        <f t="shared" si="59"/>
        <v>927.02866064547663</v>
      </c>
      <c r="X86" s="29">
        <f t="shared" si="59"/>
        <v>1043.5903030316981</v>
      </c>
      <c r="Y86" s="29">
        <f t="shared" si="59"/>
        <v>950.20437716161325</v>
      </c>
      <c r="Z86" s="29">
        <f t="shared" si="59"/>
        <v>1069.6800606074905</v>
      </c>
      <c r="AA86" s="29">
        <f t="shared" si="59"/>
        <v>973.95948659065357</v>
      </c>
      <c r="AB86" s="29">
        <f t="shared" si="59"/>
        <v>1096.4220621226775</v>
      </c>
      <c r="AC86" s="29">
        <f t="shared" si="59"/>
        <v>998.30847375541964</v>
      </c>
    </row>
    <row r="87" spans="1:29" x14ac:dyDescent="0.35">
      <c r="A87" t="s">
        <v>160</v>
      </c>
      <c r="B87" s="8" t="s">
        <v>161</v>
      </c>
      <c r="C87" t="s">
        <v>155</v>
      </c>
      <c r="D87" s="29">
        <f t="shared" ref="D87:AC87" si="60">IF(D82=0,"",D20/D82*1000)</f>
        <v>3868.5227963525836</v>
      </c>
      <c r="E87" s="29">
        <f t="shared" si="60"/>
        <v>3647.6134453781533</v>
      </c>
      <c r="F87" s="29">
        <f t="shared" si="60"/>
        <v>3189.0693641618491</v>
      </c>
      <c r="G87" s="29">
        <f t="shared" si="60"/>
        <v>3362.3260188087788</v>
      </c>
      <c r="H87" s="29">
        <f t="shared" si="60"/>
        <v>3516.7701863354037</v>
      </c>
      <c r="I87" s="29">
        <f t="shared" si="60"/>
        <v>3199.3079584775082</v>
      </c>
      <c r="J87" s="29">
        <f t="shared" si="60"/>
        <v>3255.8006329113919</v>
      </c>
      <c r="K87" s="29">
        <f t="shared" si="60"/>
        <v>3279.2906574394451</v>
      </c>
      <c r="L87" s="29">
        <f t="shared" si="60"/>
        <v>3337.1956487341763</v>
      </c>
      <c r="M87" s="29">
        <f t="shared" si="60"/>
        <v>3361.2729238754309</v>
      </c>
      <c r="N87" s="29">
        <f t="shared" si="60"/>
        <v>3420.6255399525307</v>
      </c>
      <c r="O87" s="29">
        <f t="shared" si="60"/>
        <v>3445.3047469723165</v>
      </c>
      <c r="P87" s="29">
        <f t="shared" si="60"/>
        <v>3506.1411784513439</v>
      </c>
      <c r="Q87" s="29">
        <f t="shared" si="60"/>
        <v>3531.4373656466241</v>
      </c>
      <c r="R87" s="29">
        <f t="shared" si="60"/>
        <v>3593.7947079126275</v>
      </c>
      <c r="S87" s="29">
        <f t="shared" si="60"/>
        <v>3619.7232997877891</v>
      </c>
      <c r="T87" s="29">
        <f t="shared" si="60"/>
        <v>3683.639575610443</v>
      </c>
      <c r="U87" s="29">
        <f t="shared" si="60"/>
        <v>3710.2163822824832</v>
      </c>
      <c r="V87" s="29">
        <f t="shared" si="60"/>
        <v>3775.7305650007033</v>
      </c>
      <c r="W87" s="29">
        <f t="shared" si="60"/>
        <v>3802.9717918395454</v>
      </c>
      <c r="X87" s="29">
        <f t="shared" si="60"/>
        <v>3870.1238291257205</v>
      </c>
      <c r="Y87" s="29">
        <f t="shared" si="60"/>
        <v>3898.0460866355338</v>
      </c>
      <c r="Z87" s="29">
        <f t="shared" si="60"/>
        <v>3966.8769248538633</v>
      </c>
      <c r="AA87" s="29">
        <f t="shared" si="60"/>
        <v>3995.4972388014216</v>
      </c>
      <c r="AB87" s="29">
        <f t="shared" si="60"/>
        <v>4066.0488479752103</v>
      </c>
      <c r="AC87" s="29">
        <f t="shared" si="60"/>
        <v>4095.384669771458</v>
      </c>
    </row>
    <row r="88" spans="1:29" x14ac:dyDescent="0.35">
      <c r="A88" t="s">
        <v>162</v>
      </c>
      <c r="B88" t="s">
        <v>163</v>
      </c>
      <c r="C88" t="s">
        <v>164</v>
      </c>
      <c r="D88" s="30">
        <v>11941</v>
      </c>
      <c r="E88" s="29">
        <f>INDEX(Annual!$A:$R,MATCH($A88,Annual!$A:$A,0),MATCH(E$1,Annual!$A$1:$R$1,0))</f>
        <v>12108</v>
      </c>
      <c r="F88" s="30">
        <v>12646</v>
      </c>
      <c r="G88" s="29">
        <f>INDEX(Annual!$A:$R,MATCH($A88,Annual!$A:$A,0),MATCH(G$1,Annual!$A$1:$R$1,0))</f>
        <v>0</v>
      </c>
      <c r="H88" s="30">
        <v>22612</v>
      </c>
      <c r="I88" s="29">
        <f>INDEX(Annual!$A:$R,MATCH($A88,Annual!$A:$A,0),MATCH(I$1,Annual!$A$1:$R$1,0))</f>
        <v>21727</v>
      </c>
      <c r="J88" s="30">
        <v>25456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 spans="1:29" x14ac:dyDescent="0.35">
      <c r="A89" t="s">
        <v>165</v>
      </c>
      <c r="B89" t="s">
        <v>166</v>
      </c>
      <c r="C89" t="s">
        <v>164</v>
      </c>
      <c r="D89" s="30">
        <v>1440</v>
      </c>
      <c r="E89" s="29">
        <f>INDEX(Annual!$A:$R,MATCH($A89,Annual!$A:$A,0),MATCH(E$1,Annual!$A$1:$R$1,0))</f>
        <v>1361</v>
      </c>
      <c r="F89" s="30">
        <v>1283</v>
      </c>
      <c r="G89" s="29">
        <f>INDEX(Annual!$A:$R,MATCH($A89,Annual!$A:$A,0),MATCH(G$1,Annual!$A$1:$R$1,0))</f>
        <v>1326</v>
      </c>
      <c r="H89" s="30">
        <v>1307</v>
      </c>
      <c r="I89" s="29">
        <f>INDEX(Annual!$A:$R,MATCH($A89,Annual!$A:$A,0),MATCH(I$1,Annual!$A$1:$R$1,0))</f>
        <v>1344</v>
      </c>
      <c r="J89" s="30">
        <v>1648</v>
      </c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 spans="1:29" x14ac:dyDescent="0.35">
      <c r="A90" t="s">
        <v>167</v>
      </c>
      <c r="B90" t="s">
        <v>168</v>
      </c>
      <c r="C90" t="s">
        <v>48</v>
      </c>
      <c r="D90" s="6"/>
      <c r="E90" s="6"/>
      <c r="F90" s="6"/>
      <c r="G90" s="6"/>
      <c r="H90" s="6"/>
      <c r="I90" s="6"/>
      <c r="J90" s="31">
        <v>0.98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2" spans="1:29" x14ac:dyDescent="0.35">
      <c r="A92" s="27"/>
      <c r="B92" s="28" t="s">
        <v>364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spans="1:29" x14ac:dyDescent="0.35">
      <c r="B93" s="8" t="s">
        <v>365</v>
      </c>
      <c r="C93" t="s">
        <v>148</v>
      </c>
      <c r="D93" s="4">
        <f t="shared" ref="D93:J93" si="61">D81</f>
        <v>94.5</v>
      </c>
      <c r="E93" s="4">
        <f t="shared" si="61"/>
        <v>88.300000000000011</v>
      </c>
      <c r="F93" s="4">
        <f t="shared" si="61"/>
        <v>84.5</v>
      </c>
      <c r="G93" s="4">
        <f t="shared" si="61"/>
        <v>77.5</v>
      </c>
      <c r="H93" s="4">
        <f t="shared" si="61"/>
        <v>77.099999999999994</v>
      </c>
      <c r="I93" s="4">
        <f t="shared" si="61"/>
        <v>75.599999999999994</v>
      </c>
      <c r="J93" s="4">
        <f t="shared" si="61"/>
        <v>89.4</v>
      </c>
      <c r="K93" s="4">
        <f>I93*(1+K94)+22</f>
        <v>99.867999999999995</v>
      </c>
      <c r="L93" s="4">
        <f>J93*(1+L94)+11</f>
        <v>103.08200000000001</v>
      </c>
      <c r="M93" s="4">
        <f t="shared" ref="M93:AC93" si="62">K93*(1+M94)</f>
        <v>102.86404</v>
      </c>
      <c r="N93" s="4">
        <f t="shared" si="62"/>
        <v>106.17446000000001</v>
      </c>
      <c r="O93" s="4">
        <f t="shared" si="62"/>
        <v>105.9499612</v>
      </c>
      <c r="P93" s="4">
        <f t="shared" si="62"/>
        <v>109.35969380000002</v>
      </c>
      <c r="Q93" s="4">
        <f t="shared" si="62"/>
        <v>109.12846003600001</v>
      </c>
      <c r="R93" s="4">
        <f t="shared" si="62"/>
        <v>112.64048461400002</v>
      </c>
      <c r="S93" s="4">
        <f t="shared" si="62"/>
        <v>112.40231383708002</v>
      </c>
      <c r="T93" s="4">
        <f t="shared" si="62"/>
        <v>116.01969915242002</v>
      </c>
      <c r="U93" s="4">
        <f t="shared" si="62"/>
        <v>115.77438325219242</v>
      </c>
      <c r="V93" s="4">
        <f t="shared" si="62"/>
        <v>119.50029012699262</v>
      </c>
      <c r="W93" s="4">
        <f t="shared" si="62"/>
        <v>119.2476147497582</v>
      </c>
      <c r="X93" s="4">
        <f t="shared" si="62"/>
        <v>123.0852988308024</v>
      </c>
      <c r="Y93" s="4">
        <f t="shared" si="62"/>
        <v>122.82504319225094</v>
      </c>
      <c r="Z93" s="4">
        <f t="shared" si="62"/>
        <v>126.77785779572648</v>
      </c>
      <c r="AA93" s="4">
        <f t="shared" si="62"/>
        <v>126.50979448801847</v>
      </c>
      <c r="AB93" s="4">
        <f t="shared" si="62"/>
        <v>130.58119352959827</v>
      </c>
      <c r="AC93" s="4">
        <f t="shared" si="62"/>
        <v>130.30508832265903</v>
      </c>
    </row>
    <row r="94" spans="1:29" x14ac:dyDescent="0.35">
      <c r="B94" s="25" t="s">
        <v>366</v>
      </c>
      <c r="C94" t="s">
        <v>28</v>
      </c>
      <c r="D94" s="6"/>
      <c r="E94" s="6"/>
      <c r="F94" s="6">
        <f>IF(D93=0,"",F93/D93-1)</f>
        <v>-0.10582010582010581</v>
      </c>
      <c r="G94" s="6">
        <f>IF(E93=0,"",G93/E93-1)</f>
        <v>-0.12231030577576452</v>
      </c>
      <c r="H94" s="6">
        <f>IF(F93=0,"",H93/F93-1)</f>
        <v>-8.7573964497041468E-2</v>
      </c>
      <c r="I94" s="6">
        <f>IF(G93=0,"",I93/G93-1)</f>
        <v>-2.4516129032258083E-2</v>
      </c>
      <c r="J94" s="6">
        <f>IF(H93=0,"",J93/H93-1)</f>
        <v>0.15953307392996119</v>
      </c>
      <c r="K94" s="26">
        <v>0.03</v>
      </c>
      <c r="L94" s="26">
        <v>0.03</v>
      </c>
      <c r="M94" s="26">
        <v>0.03</v>
      </c>
      <c r="N94" s="26">
        <v>0.03</v>
      </c>
      <c r="O94" s="26">
        <v>0.03</v>
      </c>
      <c r="P94" s="26">
        <v>0.03</v>
      </c>
      <c r="Q94" s="26">
        <v>0.03</v>
      </c>
      <c r="R94" s="26">
        <v>0.03</v>
      </c>
      <c r="S94" s="26">
        <v>0.03</v>
      </c>
      <c r="T94" s="26">
        <v>0.03</v>
      </c>
      <c r="U94" s="26">
        <v>0.03</v>
      </c>
      <c r="V94" s="26">
        <v>0.03</v>
      </c>
      <c r="W94" s="26">
        <v>0.03</v>
      </c>
      <c r="X94" s="26">
        <v>0.03</v>
      </c>
      <c r="Y94" s="26">
        <v>0.03</v>
      </c>
      <c r="Z94" s="26">
        <v>0.03</v>
      </c>
      <c r="AA94" s="26">
        <v>0.03</v>
      </c>
      <c r="AB94" s="26">
        <v>0.03</v>
      </c>
      <c r="AC94" s="26">
        <v>0.03</v>
      </c>
    </row>
    <row r="95" spans="1:29" x14ac:dyDescent="0.35">
      <c r="B95" s="8" t="s">
        <v>367</v>
      </c>
      <c r="C95" t="s">
        <v>155</v>
      </c>
      <c r="D95" s="29">
        <f t="shared" ref="D95:J95" si="63">IF(D93=0,"",D7/D93*1000)</f>
        <v>3349.2063492063494</v>
      </c>
      <c r="E95" s="29">
        <f t="shared" si="63"/>
        <v>3168.7429218573038</v>
      </c>
      <c r="F95" s="29">
        <f t="shared" si="63"/>
        <v>2985.7988165680472</v>
      </c>
      <c r="G95" s="29">
        <f t="shared" si="63"/>
        <v>2825.8064516129029</v>
      </c>
      <c r="H95" s="29">
        <f t="shared" si="63"/>
        <v>2722.4383916990923</v>
      </c>
      <c r="I95" s="29">
        <f t="shared" si="63"/>
        <v>2642.8571428571427</v>
      </c>
      <c r="J95" s="29">
        <f t="shared" si="63"/>
        <v>2936.2416107382551</v>
      </c>
      <c r="K95" s="29">
        <f t="shared" ref="K95:AC95" si="64">I95*(1+K96)</f>
        <v>2708.9285714285711</v>
      </c>
      <c r="L95" s="29">
        <f t="shared" si="64"/>
        <v>3009.6476510067114</v>
      </c>
      <c r="M95" s="29">
        <f t="shared" si="64"/>
        <v>2776.6517857142853</v>
      </c>
      <c r="N95" s="29">
        <f t="shared" si="64"/>
        <v>3084.8888422818791</v>
      </c>
      <c r="O95" s="29">
        <f t="shared" si="64"/>
        <v>2846.0680803571422</v>
      </c>
      <c r="P95" s="29">
        <f t="shared" si="64"/>
        <v>3162.0110633389259</v>
      </c>
      <c r="Q95" s="29">
        <f t="shared" si="64"/>
        <v>2917.2197823660704</v>
      </c>
      <c r="R95" s="29">
        <f t="shared" si="64"/>
        <v>3241.0613399223989</v>
      </c>
      <c r="S95" s="29">
        <f t="shared" si="64"/>
        <v>2990.150276925222</v>
      </c>
      <c r="T95" s="29">
        <f t="shared" si="64"/>
        <v>3322.0878734204584</v>
      </c>
      <c r="U95" s="29">
        <f t="shared" si="64"/>
        <v>3064.9040338483524</v>
      </c>
      <c r="V95" s="29">
        <f t="shared" si="64"/>
        <v>3405.1400702559695</v>
      </c>
      <c r="W95" s="29">
        <f t="shared" si="64"/>
        <v>3141.5266346945609</v>
      </c>
      <c r="X95" s="29">
        <f t="shared" si="64"/>
        <v>3490.2685720123686</v>
      </c>
      <c r="Y95" s="29">
        <f t="shared" si="64"/>
        <v>3220.0648005619246</v>
      </c>
      <c r="Z95" s="29">
        <f t="shared" si="64"/>
        <v>3577.5252863126775</v>
      </c>
      <c r="AA95" s="29">
        <f t="shared" si="64"/>
        <v>3300.5664205759722</v>
      </c>
      <c r="AB95" s="29">
        <f t="shared" si="64"/>
        <v>3666.9634184704942</v>
      </c>
      <c r="AC95" s="29">
        <f t="shared" si="64"/>
        <v>3383.0805810903712</v>
      </c>
    </row>
    <row r="96" spans="1:29" x14ac:dyDescent="0.35">
      <c r="B96" s="25" t="s">
        <v>368</v>
      </c>
      <c r="C96" t="s">
        <v>28</v>
      </c>
      <c r="D96" s="6"/>
      <c r="E96" s="6"/>
      <c r="F96" s="6">
        <f>IF(D95=0,"",F95/D95-1)</f>
        <v>-0.10850556661712341</v>
      </c>
      <c r="G96" s="6">
        <f>IF(E95=0,"",G95/E95-1)</f>
        <v>-0.10822476884410515</v>
      </c>
      <c r="H96" s="6">
        <f>IF(F95=0,"",H95/F95-1)</f>
        <v>-8.8204343644180283E-2</v>
      </c>
      <c r="I96" s="6">
        <f>IF(G95=0,"",I95/G95-1)</f>
        <v>-6.4742335290280506E-2</v>
      </c>
      <c r="J96" s="6">
        <f>IF(H95=0,"",J95/H95-1)</f>
        <v>7.8533721714718618E-2</v>
      </c>
      <c r="K96" s="26">
        <v>2.5000000000000001E-2</v>
      </c>
      <c r="L96" s="26">
        <v>2.5000000000000001E-2</v>
      </c>
      <c r="M96" s="26">
        <v>2.5000000000000001E-2</v>
      </c>
      <c r="N96" s="26">
        <v>2.5000000000000001E-2</v>
      </c>
      <c r="O96" s="26">
        <v>2.5000000000000001E-2</v>
      </c>
      <c r="P96" s="26">
        <v>2.5000000000000001E-2</v>
      </c>
      <c r="Q96" s="26">
        <v>2.5000000000000001E-2</v>
      </c>
      <c r="R96" s="26">
        <v>2.5000000000000001E-2</v>
      </c>
      <c r="S96" s="26">
        <v>2.5000000000000001E-2</v>
      </c>
      <c r="T96" s="26">
        <v>2.5000000000000001E-2</v>
      </c>
      <c r="U96" s="26">
        <v>2.5000000000000001E-2</v>
      </c>
      <c r="V96" s="26">
        <v>2.5000000000000001E-2</v>
      </c>
      <c r="W96" s="26">
        <v>2.5000000000000001E-2</v>
      </c>
      <c r="X96" s="26">
        <v>2.5000000000000001E-2</v>
      </c>
      <c r="Y96" s="26">
        <v>2.5000000000000001E-2</v>
      </c>
      <c r="Z96" s="26">
        <v>2.5000000000000001E-2</v>
      </c>
      <c r="AA96" s="26">
        <v>2.5000000000000001E-2</v>
      </c>
      <c r="AB96" s="26">
        <v>2.5000000000000001E-2</v>
      </c>
      <c r="AC96" s="26">
        <v>2.5000000000000001E-2</v>
      </c>
    </row>
    <row r="97" spans="1:29" x14ac:dyDescent="0.35">
      <c r="B97" s="8" t="s">
        <v>19</v>
      </c>
      <c r="C97" t="s">
        <v>22</v>
      </c>
      <c r="D97" s="4">
        <f t="shared" ref="D97:J97" si="65">D7</f>
        <v>316.5</v>
      </c>
      <c r="E97" s="4">
        <f t="shared" si="65"/>
        <v>279.79999999999995</v>
      </c>
      <c r="F97" s="4">
        <f t="shared" si="65"/>
        <v>252.3</v>
      </c>
      <c r="G97" s="4">
        <f t="shared" si="65"/>
        <v>219</v>
      </c>
      <c r="H97" s="4">
        <f t="shared" si="65"/>
        <v>209.9</v>
      </c>
      <c r="I97" s="4">
        <f t="shared" si="65"/>
        <v>199.79999999999998</v>
      </c>
      <c r="J97" s="4">
        <f t="shared" si="65"/>
        <v>262.5</v>
      </c>
      <c r="K97" s="4">
        <f t="shared" ref="K97:AC97" si="66">K93*K95/1000</f>
        <v>270.53527857142848</v>
      </c>
      <c r="L97" s="4">
        <f t="shared" si="66"/>
        <v>310.24049916107384</v>
      </c>
      <c r="M97" s="4">
        <f t="shared" si="66"/>
        <v>285.61762035178566</v>
      </c>
      <c r="N97" s="4">
        <f t="shared" si="66"/>
        <v>327.53640698930371</v>
      </c>
      <c r="O97" s="4">
        <f t="shared" si="66"/>
        <v>301.54080268639768</v>
      </c>
      <c r="P97" s="4">
        <f t="shared" si="66"/>
        <v>345.79656167895735</v>
      </c>
      <c r="Q97" s="4">
        <f t="shared" si="66"/>
        <v>318.35170243616437</v>
      </c>
      <c r="R97" s="4">
        <f t="shared" si="66"/>
        <v>365.07471999255921</v>
      </c>
      <c r="S97" s="4">
        <f t="shared" si="66"/>
        <v>336.09980984698052</v>
      </c>
      <c r="T97" s="4">
        <f t="shared" si="66"/>
        <v>385.42763563214442</v>
      </c>
      <c r="U97" s="4">
        <f t="shared" si="66"/>
        <v>354.83737424594966</v>
      </c>
      <c r="V97" s="4">
        <f t="shared" si="66"/>
        <v>406.91522631863637</v>
      </c>
      <c r="W97" s="4">
        <f t="shared" si="66"/>
        <v>374.61955786016136</v>
      </c>
      <c r="X97" s="4">
        <f t="shared" si="66"/>
        <v>429.60075018590038</v>
      </c>
      <c r="Y97" s="4">
        <f t="shared" si="66"/>
        <v>395.50459821086537</v>
      </c>
      <c r="Z97" s="4">
        <f t="shared" si="66"/>
        <v>453.5509920087643</v>
      </c>
      <c r="AA97" s="4">
        <f t="shared" si="66"/>
        <v>417.55397956112097</v>
      </c>
      <c r="AB97" s="4">
        <f t="shared" si="66"/>
        <v>478.83645981325287</v>
      </c>
      <c r="AC97" s="4">
        <f t="shared" si="66"/>
        <v>440.83261392165349</v>
      </c>
    </row>
    <row r="98" spans="1:29" x14ac:dyDescent="0.35">
      <c r="B98" s="25" t="s">
        <v>47</v>
      </c>
      <c r="C98" t="s">
        <v>48</v>
      </c>
      <c r="D98" s="6">
        <f t="shared" ref="D98:J98" si="67">IF(D7=0,"",D19/D7)</f>
        <v>0.32200000000000001</v>
      </c>
      <c r="E98" s="6">
        <f t="shared" si="67"/>
        <v>0.30068834882058626</v>
      </c>
      <c r="F98" s="6">
        <f t="shared" si="67"/>
        <v>0.35399999999999998</v>
      </c>
      <c r="G98" s="6">
        <f t="shared" si="67"/>
        <v>0.2483369863013698</v>
      </c>
      <c r="H98" s="6">
        <f t="shared" si="67"/>
        <v>0.28699999999999998</v>
      </c>
      <c r="I98" s="6">
        <f t="shared" si="67"/>
        <v>0.29508858858858861</v>
      </c>
      <c r="J98" s="6">
        <f t="shared" si="67"/>
        <v>0.29899999999999993</v>
      </c>
      <c r="K98" s="26">
        <f t="shared" ref="K98:AC98" si="68">I98</f>
        <v>0.29508858858858861</v>
      </c>
      <c r="L98" s="26">
        <f t="shared" si="68"/>
        <v>0.29899999999999993</v>
      </c>
      <c r="M98" s="26">
        <f t="shared" si="68"/>
        <v>0.29508858858858861</v>
      </c>
      <c r="N98" s="26">
        <f t="shared" si="68"/>
        <v>0.29899999999999993</v>
      </c>
      <c r="O98" s="26">
        <f t="shared" si="68"/>
        <v>0.29508858858858861</v>
      </c>
      <c r="P98" s="26">
        <f t="shared" si="68"/>
        <v>0.29899999999999993</v>
      </c>
      <c r="Q98" s="26">
        <f t="shared" si="68"/>
        <v>0.29508858858858861</v>
      </c>
      <c r="R98" s="26">
        <f t="shared" si="68"/>
        <v>0.29899999999999993</v>
      </c>
      <c r="S98" s="26">
        <f t="shared" si="68"/>
        <v>0.29508858858858861</v>
      </c>
      <c r="T98" s="26">
        <f t="shared" si="68"/>
        <v>0.29899999999999993</v>
      </c>
      <c r="U98" s="26">
        <f t="shared" si="68"/>
        <v>0.29508858858858861</v>
      </c>
      <c r="V98" s="26">
        <f t="shared" si="68"/>
        <v>0.29899999999999993</v>
      </c>
      <c r="W98" s="26">
        <f t="shared" si="68"/>
        <v>0.29508858858858861</v>
      </c>
      <c r="X98" s="26">
        <f t="shared" si="68"/>
        <v>0.29899999999999993</v>
      </c>
      <c r="Y98" s="26">
        <f t="shared" si="68"/>
        <v>0.29508858858858861</v>
      </c>
      <c r="Z98" s="26">
        <f t="shared" si="68"/>
        <v>0.29899999999999993</v>
      </c>
      <c r="AA98" s="26">
        <f t="shared" si="68"/>
        <v>0.29508858858858861</v>
      </c>
      <c r="AB98" s="26">
        <f t="shared" si="68"/>
        <v>0.29899999999999993</v>
      </c>
      <c r="AC98" s="26">
        <f t="shared" si="68"/>
        <v>0.29508858858858861</v>
      </c>
    </row>
    <row r="99" spans="1:29" x14ac:dyDescent="0.35">
      <c r="B99" s="8" t="s">
        <v>38</v>
      </c>
      <c r="C99" t="s">
        <v>22</v>
      </c>
      <c r="D99" s="4">
        <f t="shared" ref="D99:J99" si="69">D19</f>
        <v>101.91300000000001</v>
      </c>
      <c r="E99" s="4">
        <f t="shared" si="69"/>
        <v>84.132600000000025</v>
      </c>
      <c r="F99" s="4">
        <f t="shared" si="69"/>
        <v>89.3142</v>
      </c>
      <c r="G99" s="4">
        <f t="shared" si="69"/>
        <v>54.385799999999989</v>
      </c>
      <c r="H99" s="4">
        <f t="shared" si="69"/>
        <v>60.241299999999995</v>
      </c>
      <c r="I99" s="4">
        <f t="shared" si="69"/>
        <v>58.958699999999993</v>
      </c>
      <c r="J99" s="4">
        <f t="shared" si="69"/>
        <v>78.487499999999983</v>
      </c>
      <c r="K99" s="4">
        <f t="shared" ref="K99:AC99" si="70">K97*K98</f>
        <v>79.831873517063471</v>
      </c>
      <c r="L99" s="4">
        <f t="shared" si="70"/>
        <v>92.761909249161064</v>
      </c>
      <c r="M99" s="4">
        <f t="shared" si="70"/>
        <v>84.282500465639771</v>
      </c>
      <c r="N99" s="4">
        <f t="shared" si="70"/>
        <v>97.933385689801781</v>
      </c>
      <c r="O99" s="4">
        <f t="shared" si="70"/>
        <v>88.981249866599185</v>
      </c>
      <c r="P99" s="4">
        <f t="shared" si="70"/>
        <v>103.39317194200822</v>
      </c>
      <c r="Q99" s="4">
        <f t="shared" si="70"/>
        <v>93.941954546662089</v>
      </c>
      <c r="R99" s="4">
        <f t="shared" si="70"/>
        <v>109.15734127777517</v>
      </c>
      <c r="S99" s="4">
        <f t="shared" si="70"/>
        <v>99.179218512638499</v>
      </c>
      <c r="T99" s="4">
        <f t="shared" si="70"/>
        <v>115.24286305401115</v>
      </c>
      <c r="U99" s="4">
        <f t="shared" si="70"/>
        <v>104.70845994471809</v>
      </c>
      <c r="V99" s="4">
        <f t="shared" si="70"/>
        <v>121.66765266927224</v>
      </c>
      <c r="W99" s="4">
        <f t="shared" si="70"/>
        <v>110.54595658663612</v>
      </c>
      <c r="X99" s="4">
        <f t="shared" si="70"/>
        <v>128.45062430558417</v>
      </c>
      <c r="Y99" s="4">
        <f t="shared" si="70"/>
        <v>116.70889366634108</v>
      </c>
      <c r="Z99" s="4">
        <f t="shared" si="70"/>
        <v>135.61174661062049</v>
      </c>
      <c r="AA99" s="4">
        <f t="shared" si="70"/>
        <v>123.21541448823956</v>
      </c>
      <c r="AB99" s="4">
        <f t="shared" si="70"/>
        <v>143.17210148416257</v>
      </c>
      <c r="AC99" s="4">
        <f t="shared" si="70"/>
        <v>130.08467384595892</v>
      </c>
    </row>
    <row r="100" spans="1:29" x14ac:dyDescent="0.35">
      <c r="B100" s="8" t="s">
        <v>369</v>
      </c>
      <c r="C100" t="s">
        <v>22</v>
      </c>
      <c r="D100" s="4">
        <f t="shared" ref="D100:J100" si="71">D38-D19</f>
        <v>-37.613000000000014</v>
      </c>
      <c r="E100" s="4">
        <f t="shared" si="71"/>
        <v>-35.232600000000019</v>
      </c>
      <c r="F100" s="4">
        <f t="shared" si="71"/>
        <v>-51.514200000000002</v>
      </c>
      <c r="G100" s="4">
        <f t="shared" si="71"/>
        <v>-23.385799999999989</v>
      </c>
      <c r="H100" s="4">
        <f t="shared" si="71"/>
        <v>-38.241299999999995</v>
      </c>
      <c r="I100" s="4">
        <f t="shared" si="71"/>
        <v>-36.858699999999992</v>
      </c>
      <c r="J100" s="4">
        <f t="shared" si="71"/>
        <v>-44.587499999999984</v>
      </c>
      <c r="K100" s="4">
        <f t="shared" ref="K100:AC100" si="72">I100*(1+K101)</f>
        <v>-37.78016749999999</v>
      </c>
      <c r="L100" s="4">
        <f t="shared" si="72"/>
        <v>-45.70218749999998</v>
      </c>
      <c r="M100" s="4">
        <f t="shared" si="72"/>
        <v>-38.724671687499985</v>
      </c>
      <c r="N100" s="4">
        <f t="shared" si="72"/>
        <v>-46.844742187499975</v>
      </c>
      <c r="O100" s="4">
        <f t="shared" si="72"/>
        <v>-39.692788479687479</v>
      </c>
      <c r="P100" s="4">
        <f t="shared" si="72"/>
        <v>-48.015860742187471</v>
      </c>
      <c r="Q100" s="4">
        <f t="shared" si="72"/>
        <v>-40.68510819167966</v>
      </c>
      <c r="R100" s="4">
        <f t="shared" si="72"/>
        <v>-49.216257260742154</v>
      </c>
      <c r="S100" s="4">
        <f t="shared" si="72"/>
        <v>-41.702235896471649</v>
      </c>
      <c r="T100" s="4">
        <f t="shared" si="72"/>
        <v>-50.446663692260707</v>
      </c>
      <c r="U100" s="4">
        <f t="shared" si="72"/>
        <v>-42.744791793883437</v>
      </c>
      <c r="V100" s="4">
        <f t="shared" si="72"/>
        <v>-51.707830284567223</v>
      </c>
      <c r="W100" s="4">
        <f t="shared" si="72"/>
        <v>-43.813411588730517</v>
      </c>
      <c r="X100" s="4">
        <f t="shared" si="72"/>
        <v>-53.000526041681397</v>
      </c>
      <c r="Y100" s="4">
        <f t="shared" si="72"/>
        <v>-44.908746878448774</v>
      </c>
      <c r="Z100" s="4">
        <f t="shared" si="72"/>
        <v>-54.325539192723426</v>
      </c>
      <c r="AA100" s="4">
        <f t="shared" si="72"/>
        <v>-46.03146555040999</v>
      </c>
      <c r="AB100" s="4">
        <f t="shared" si="72"/>
        <v>-55.683677672541506</v>
      </c>
      <c r="AC100" s="4">
        <f t="shared" si="72"/>
        <v>-47.182252189170235</v>
      </c>
    </row>
    <row r="101" spans="1:29" x14ac:dyDescent="0.35">
      <c r="B101" s="25" t="s">
        <v>370</v>
      </c>
      <c r="C101" t="s">
        <v>28</v>
      </c>
      <c r="D101" s="6"/>
      <c r="E101" s="6"/>
      <c r="F101" s="6">
        <f>IF(D102=0,"",F102/D102-1)</f>
        <v>0.53166604710035825</v>
      </c>
      <c r="G101" s="6">
        <f>IF(E102=0,"",G102/E102-1)</f>
        <v>-0.24374799512108813</v>
      </c>
      <c r="H101" s="6">
        <f>IF(F102=0,"",H102/F102-1)</f>
        <v>-0.18640547254493556</v>
      </c>
      <c r="I101" s="6">
        <f>IF(G102=0,"",I102/G102-1)</f>
        <v>0.61572591014282163</v>
      </c>
      <c r="J101" s="6">
        <f>IF(H102=0,"",J102/H102-1)</f>
        <v>5.5353292884774419E-3</v>
      </c>
      <c r="K101" s="26">
        <v>2.5000000000000001E-2</v>
      </c>
      <c r="L101" s="26">
        <v>2.5000000000000001E-2</v>
      </c>
      <c r="M101" s="26">
        <v>2.5000000000000001E-2</v>
      </c>
      <c r="N101" s="26">
        <v>2.5000000000000001E-2</v>
      </c>
      <c r="O101" s="26">
        <v>2.5000000000000001E-2</v>
      </c>
      <c r="P101" s="26">
        <v>2.5000000000000001E-2</v>
      </c>
      <c r="Q101" s="26">
        <v>2.5000000000000001E-2</v>
      </c>
      <c r="R101" s="26">
        <v>2.5000000000000001E-2</v>
      </c>
      <c r="S101" s="26">
        <v>2.5000000000000001E-2</v>
      </c>
      <c r="T101" s="26">
        <v>2.5000000000000001E-2</v>
      </c>
      <c r="U101" s="26">
        <v>2.5000000000000001E-2</v>
      </c>
      <c r="V101" s="26">
        <v>2.5000000000000001E-2</v>
      </c>
      <c r="W101" s="26">
        <v>2.5000000000000001E-2</v>
      </c>
      <c r="X101" s="26">
        <v>2.5000000000000001E-2</v>
      </c>
      <c r="Y101" s="26">
        <v>2.5000000000000001E-2</v>
      </c>
      <c r="Z101" s="26">
        <v>2.5000000000000001E-2</v>
      </c>
      <c r="AA101" s="26">
        <v>2.5000000000000001E-2</v>
      </c>
      <c r="AB101" s="26">
        <v>2.5000000000000001E-2</v>
      </c>
      <c r="AC101" s="26">
        <v>2.5000000000000001E-2</v>
      </c>
    </row>
    <row r="102" spans="1:29" x14ac:dyDescent="0.35">
      <c r="B102" s="8" t="s">
        <v>371</v>
      </c>
      <c r="C102" t="s">
        <v>155</v>
      </c>
      <c r="D102" s="29">
        <f t="shared" ref="D102:AC102" si="73">IF(D93=0,"",-D100/D93*1000)</f>
        <v>398.02116402116417</v>
      </c>
      <c r="E102" s="29">
        <f t="shared" si="73"/>
        <v>399.0101925254815</v>
      </c>
      <c r="F102" s="29">
        <f t="shared" si="73"/>
        <v>609.63550295857988</v>
      </c>
      <c r="G102" s="29">
        <f t="shared" si="73"/>
        <v>301.75225806451601</v>
      </c>
      <c r="H102" s="29">
        <f t="shared" si="73"/>
        <v>495.99610894941634</v>
      </c>
      <c r="I102" s="29">
        <f t="shared" si="73"/>
        <v>487.54894179894171</v>
      </c>
      <c r="J102" s="29">
        <f t="shared" si="73"/>
        <v>498.74161073825485</v>
      </c>
      <c r="K102" s="29">
        <f t="shared" si="73"/>
        <v>378.30103236271873</v>
      </c>
      <c r="L102" s="29">
        <f t="shared" si="73"/>
        <v>443.3575939543274</v>
      </c>
      <c r="M102" s="29">
        <f t="shared" si="73"/>
        <v>376.4646195842588</v>
      </c>
      <c r="N102" s="29">
        <f t="shared" si="73"/>
        <v>441.20537262445197</v>
      </c>
      <c r="O102" s="29">
        <f t="shared" si="73"/>
        <v>374.63712143093716</v>
      </c>
      <c r="P102" s="29">
        <f t="shared" si="73"/>
        <v>439.06359897093517</v>
      </c>
      <c r="Q102" s="29">
        <f t="shared" si="73"/>
        <v>372.81849462787426</v>
      </c>
      <c r="R102" s="29">
        <f t="shared" si="73"/>
        <v>436.93222227690148</v>
      </c>
      <c r="S102" s="29">
        <f t="shared" si="73"/>
        <v>371.00869611026314</v>
      </c>
      <c r="T102" s="29">
        <f t="shared" si="73"/>
        <v>434.81119207167382</v>
      </c>
      <c r="U102" s="29">
        <f t="shared" si="73"/>
        <v>369.20768302234922</v>
      </c>
      <c r="V102" s="29">
        <f t="shared" si="73"/>
        <v>432.70045812957824</v>
      </c>
      <c r="W102" s="29">
        <f t="shared" si="73"/>
        <v>367.4154127164154</v>
      </c>
      <c r="X102" s="29">
        <f t="shared" si="73"/>
        <v>430.59997046875498</v>
      </c>
      <c r="Y102" s="29">
        <f t="shared" si="73"/>
        <v>365.63184275177258</v>
      </c>
      <c r="Z102" s="29">
        <f t="shared" si="73"/>
        <v>428.50967934997459</v>
      </c>
      <c r="AA102" s="29">
        <f t="shared" si="73"/>
        <v>363.85693089375428</v>
      </c>
      <c r="AB102" s="29">
        <f t="shared" si="73"/>
        <v>426.42953527546013</v>
      </c>
      <c r="AC102" s="29">
        <f t="shared" si="73"/>
        <v>362.09063511271654</v>
      </c>
    </row>
    <row r="103" spans="1:29" x14ac:dyDescent="0.35">
      <c r="B103" s="20" t="s">
        <v>372</v>
      </c>
      <c r="C103" s="20" t="s">
        <v>22</v>
      </c>
      <c r="D103" s="21">
        <f t="shared" ref="D103:J103" si="74">D38</f>
        <v>64.3</v>
      </c>
      <c r="E103" s="21">
        <f t="shared" si="74"/>
        <v>48.900000000000006</v>
      </c>
      <c r="F103" s="21">
        <f t="shared" si="74"/>
        <v>37.799999999999997</v>
      </c>
      <c r="G103" s="21">
        <f t="shared" si="74"/>
        <v>31</v>
      </c>
      <c r="H103" s="21">
        <f t="shared" si="74"/>
        <v>22</v>
      </c>
      <c r="I103" s="21">
        <f t="shared" si="74"/>
        <v>22.1</v>
      </c>
      <c r="J103" s="21">
        <f t="shared" si="74"/>
        <v>33.9</v>
      </c>
      <c r="K103" s="21">
        <f t="shared" ref="K103:AC103" si="75">K99+K100</f>
        <v>42.051706017063481</v>
      </c>
      <c r="L103" s="21">
        <f t="shared" si="75"/>
        <v>47.059721749161085</v>
      </c>
      <c r="M103" s="21">
        <f t="shared" si="75"/>
        <v>45.557828778139786</v>
      </c>
      <c r="N103" s="21">
        <f t="shared" si="75"/>
        <v>51.088643502301807</v>
      </c>
      <c r="O103" s="21">
        <f t="shared" si="75"/>
        <v>49.288461386911706</v>
      </c>
      <c r="P103" s="21">
        <f t="shared" si="75"/>
        <v>55.377311199820753</v>
      </c>
      <c r="Q103" s="21">
        <f t="shared" si="75"/>
        <v>53.256846354982429</v>
      </c>
      <c r="R103" s="21">
        <f t="shared" si="75"/>
        <v>59.94108401703302</v>
      </c>
      <c r="S103" s="21">
        <f t="shared" si="75"/>
        <v>57.47698261616685</v>
      </c>
      <c r="T103" s="21">
        <f t="shared" si="75"/>
        <v>64.796199361750439</v>
      </c>
      <c r="U103" s="21">
        <f t="shared" si="75"/>
        <v>61.96366815083465</v>
      </c>
      <c r="V103" s="21">
        <f t="shared" si="75"/>
        <v>69.959822384705021</v>
      </c>
      <c r="W103" s="21">
        <f t="shared" si="75"/>
        <v>66.732544997905606</v>
      </c>
      <c r="X103" s="21">
        <f t="shared" si="75"/>
        <v>75.450098263902774</v>
      </c>
      <c r="Y103" s="21">
        <f t="shared" si="75"/>
        <v>71.800146787892317</v>
      </c>
      <c r="Z103" s="21">
        <f t="shared" si="75"/>
        <v>81.28620741789706</v>
      </c>
      <c r="AA103" s="21">
        <f t="shared" si="75"/>
        <v>77.18394893782957</v>
      </c>
      <c r="AB103" s="21">
        <f t="shared" si="75"/>
        <v>87.488423811621061</v>
      </c>
      <c r="AC103" s="21">
        <f t="shared" si="75"/>
        <v>82.902421656788675</v>
      </c>
    </row>
    <row r="105" spans="1:29" x14ac:dyDescent="0.35">
      <c r="A105" s="27"/>
      <c r="B105" s="28" t="s">
        <v>373</v>
      </c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 spans="1:29" x14ac:dyDescent="0.35">
      <c r="B106" s="8" t="s">
        <v>365</v>
      </c>
      <c r="C106" t="s">
        <v>148</v>
      </c>
      <c r="D106" s="4">
        <f t="shared" ref="D106:J106" si="76">D82</f>
        <v>32.9</v>
      </c>
      <c r="E106" s="4">
        <f t="shared" si="76"/>
        <v>35.699999999999996</v>
      </c>
      <c r="F106" s="4">
        <f t="shared" si="76"/>
        <v>34.6</v>
      </c>
      <c r="G106" s="4">
        <f t="shared" si="76"/>
        <v>31.9</v>
      </c>
      <c r="H106" s="4">
        <f t="shared" si="76"/>
        <v>32.200000000000003</v>
      </c>
      <c r="I106" s="4">
        <f t="shared" si="76"/>
        <v>28.9</v>
      </c>
      <c r="J106" s="4">
        <f t="shared" si="76"/>
        <v>31.6</v>
      </c>
      <c r="K106" s="4">
        <f t="shared" ref="K106:AC106" si="77">I106*(1+K107)</f>
        <v>29.766999999999999</v>
      </c>
      <c r="L106" s="4">
        <f t="shared" si="77"/>
        <v>32.548000000000002</v>
      </c>
      <c r="M106" s="4">
        <f t="shared" si="77"/>
        <v>30.66001</v>
      </c>
      <c r="N106" s="4">
        <f t="shared" si="77"/>
        <v>33.524440000000006</v>
      </c>
      <c r="O106" s="4">
        <f t="shared" si="77"/>
        <v>31.579810300000002</v>
      </c>
      <c r="P106" s="4">
        <f t="shared" si="77"/>
        <v>34.530173200000007</v>
      </c>
      <c r="Q106" s="4">
        <f t="shared" si="77"/>
        <v>32.527204609000002</v>
      </c>
      <c r="R106" s="4">
        <f t="shared" si="77"/>
        <v>35.566078396000009</v>
      </c>
      <c r="S106" s="4">
        <f t="shared" si="77"/>
        <v>33.50302074727</v>
      </c>
      <c r="T106" s="4">
        <f t="shared" si="77"/>
        <v>36.633060747880009</v>
      </c>
      <c r="U106" s="4">
        <f t="shared" si="77"/>
        <v>34.508111369688102</v>
      </c>
      <c r="V106" s="4">
        <f t="shared" si="77"/>
        <v>37.732052570316412</v>
      </c>
      <c r="W106" s="4">
        <f t="shared" si="77"/>
        <v>35.543354710778743</v>
      </c>
      <c r="X106" s="4">
        <f t="shared" si="77"/>
        <v>38.864014147425905</v>
      </c>
      <c r="Y106" s="4">
        <f t="shared" si="77"/>
        <v>36.609655352102109</v>
      </c>
      <c r="Z106" s="4">
        <f t="shared" si="77"/>
        <v>40.029934571848685</v>
      </c>
      <c r="AA106" s="4">
        <f t="shared" si="77"/>
        <v>37.707945012665171</v>
      </c>
      <c r="AB106" s="4">
        <f t="shared" si="77"/>
        <v>41.230832609004146</v>
      </c>
      <c r="AC106" s="4">
        <f t="shared" si="77"/>
        <v>38.83918336304513</v>
      </c>
    </row>
    <row r="107" spans="1:29" x14ac:dyDescent="0.35">
      <c r="B107" s="25" t="s">
        <v>366</v>
      </c>
      <c r="C107" t="s">
        <v>28</v>
      </c>
      <c r="D107" s="6"/>
      <c r="E107" s="6"/>
      <c r="F107" s="6">
        <f>IF(D106=0,"",F106/D106-1)</f>
        <v>5.1671732522796443E-2</v>
      </c>
      <c r="G107" s="6">
        <f>IF(E106=0,"",G106/E106-1)</f>
        <v>-0.10644257703081228</v>
      </c>
      <c r="H107" s="6">
        <f>IF(F106=0,"",H106/F106-1)</f>
        <v>-6.9364161849710948E-2</v>
      </c>
      <c r="I107" s="6">
        <f>IF(G106=0,"",I106/G106-1)</f>
        <v>-9.404388714733547E-2</v>
      </c>
      <c r="J107" s="6">
        <f>IF(H106=0,"",J106/H106-1)</f>
        <v>-1.8633540372670843E-2</v>
      </c>
      <c r="K107" s="26">
        <v>0.03</v>
      </c>
      <c r="L107" s="26">
        <v>0.03</v>
      </c>
      <c r="M107" s="26">
        <v>0.03</v>
      </c>
      <c r="N107" s="26">
        <v>0.03</v>
      </c>
      <c r="O107" s="26">
        <v>0.03</v>
      </c>
      <c r="P107" s="26">
        <v>0.03</v>
      </c>
      <c r="Q107" s="26">
        <v>0.03</v>
      </c>
      <c r="R107" s="26">
        <v>0.03</v>
      </c>
      <c r="S107" s="26">
        <v>0.03</v>
      </c>
      <c r="T107" s="26">
        <v>0.03</v>
      </c>
      <c r="U107" s="26">
        <v>0.03</v>
      </c>
      <c r="V107" s="26">
        <v>0.03</v>
      </c>
      <c r="W107" s="26">
        <v>0.03</v>
      </c>
      <c r="X107" s="26">
        <v>0.03</v>
      </c>
      <c r="Y107" s="26">
        <v>0.03</v>
      </c>
      <c r="Z107" s="26">
        <v>0.03</v>
      </c>
      <c r="AA107" s="26">
        <v>0.03</v>
      </c>
      <c r="AB107" s="26">
        <v>0.03</v>
      </c>
      <c r="AC107" s="26">
        <v>0.03</v>
      </c>
    </row>
    <row r="108" spans="1:29" x14ac:dyDescent="0.35">
      <c r="B108" s="8" t="s">
        <v>367</v>
      </c>
      <c r="C108" t="s">
        <v>155</v>
      </c>
      <c r="D108" s="29">
        <f t="shared" ref="D108:J108" si="78">IF(D106=0,"",D8/D106*1000)</f>
        <v>9768.9969604863218</v>
      </c>
      <c r="E108" s="29">
        <f t="shared" si="78"/>
        <v>9165.2661064425793</v>
      </c>
      <c r="F108" s="29">
        <f t="shared" si="78"/>
        <v>9008.6705202312132</v>
      </c>
      <c r="G108" s="29">
        <f t="shared" si="78"/>
        <v>8818.181818181818</v>
      </c>
      <c r="H108" s="29">
        <f t="shared" si="78"/>
        <v>8791.9254658385107</v>
      </c>
      <c r="I108" s="29">
        <f t="shared" si="78"/>
        <v>8833.910034602075</v>
      </c>
      <c r="J108" s="29">
        <f t="shared" si="78"/>
        <v>8636.0759493670885</v>
      </c>
      <c r="K108" s="29">
        <f t="shared" ref="K108:AC108" si="79">I108*(1+K109)</f>
        <v>9054.7577854671254</v>
      </c>
      <c r="L108" s="29">
        <f t="shared" si="79"/>
        <v>8851.9778481012654</v>
      </c>
      <c r="M108" s="29">
        <f t="shared" si="79"/>
        <v>9281.1267301038024</v>
      </c>
      <c r="N108" s="29">
        <f t="shared" si="79"/>
        <v>9073.2772943037962</v>
      </c>
      <c r="O108" s="29">
        <f t="shared" si="79"/>
        <v>9513.1548983563971</v>
      </c>
      <c r="P108" s="29">
        <f t="shared" si="79"/>
        <v>9300.1092266613905</v>
      </c>
      <c r="Q108" s="29">
        <f t="shared" si="79"/>
        <v>9750.9837708153063</v>
      </c>
      <c r="R108" s="29">
        <f t="shared" si="79"/>
        <v>9532.6119573279248</v>
      </c>
      <c r="S108" s="29">
        <f t="shared" si="79"/>
        <v>9994.7583650856886</v>
      </c>
      <c r="T108" s="29">
        <f t="shared" si="79"/>
        <v>9770.9272562611222</v>
      </c>
      <c r="U108" s="29">
        <f t="shared" si="79"/>
        <v>10244.62732421283</v>
      </c>
      <c r="V108" s="29">
        <f t="shared" si="79"/>
        <v>10015.200437667649</v>
      </c>
      <c r="W108" s="29">
        <f t="shared" si="79"/>
        <v>10500.743007318149</v>
      </c>
      <c r="X108" s="29">
        <f t="shared" si="79"/>
        <v>10265.580448609338</v>
      </c>
      <c r="Y108" s="29">
        <f t="shared" si="79"/>
        <v>10763.261582501102</v>
      </c>
      <c r="Z108" s="29">
        <f t="shared" si="79"/>
        <v>10522.219959824572</v>
      </c>
      <c r="AA108" s="29">
        <f t="shared" si="79"/>
        <v>11032.343122063628</v>
      </c>
      <c r="AB108" s="29">
        <f t="shared" si="79"/>
        <v>10785.275458820184</v>
      </c>
      <c r="AC108" s="29">
        <f t="shared" si="79"/>
        <v>11308.151700115219</v>
      </c>
    </row>
    <row r="109" spans="1:29" x14ac:dyDescent="0.35">
      <c r="B109" s="25" t="s">
        <v>368</v>
      </c>
      <c r="C109" t="s">
        <v>28</v>
      </c>
      <c r="D109" s="6"/>
      <c r="E109" s="6"/>
      <c r="F109" s="6">
        <f>IF(D108=0,"",F108/D108-1)</f>
        <v>-7.7830553467308827E-2</v>
      </c>
      <c r="G109" s="6">
        <f>IF(E108=0,"",G108/E108-1)</f>
        <v>-3.7869526561458366E-2</v>
      </c>
      <c r="H109" s="6">
        <f>IF(F108=0,"",H108/F108-1)</f>
        <v>-2.4059605011188645E-2</v>
      </c>
      <c r="I109" s="6">
        <f>IF(G108=0,"",I108/G108-1)</f>
        <v>1.7836121713692421E-3</v>
      </c>
      <c r="J109" s="6">
        <f>IF(H108=0,"",J108/H108-1)</f>
        <v>-1.7726437408618123E-2</v>
      </c>
      <c r="K109" s="26">
        <v>2.5000000000000001E-2</v>
      </c>
      <c r="L109" s="26">
        <v>2.5000000000000001E-2</v>
      </c>
      <c r="M109" s="26">
        <v>2.5000000000000001E-2</v>
      </c>
      <c r="N109" s="26">
        <v>2.5000000000000001E-2</v>
      </c>
      <c r="O109" s="26">
        <v>2.5000000000000001E-2</v>
      </c>
      <c r="P109" s="26">
        <v>2.5000000000000001E-2</v>
      </c>
      <c r="Q109" s="26">
        <v>2.5000000000000001E-2</v>
      </c>
      <c r="R109" s="26">
        <v>2.5000000000000001E-2</v>
      </c>
      <c r="S109" s="26">
        <v>2.5000000000000001E-2</v>
      </c>
      <c r="T109" s="26">
        <v>2.5000000000000001E-2</v>
      </c>
      <c r="U109" s="26">
        <v>2.5000000000000001E-2</v>
      </c>
      <c r="V109" s="26">
        <v>2.5000000000000001E-2</v>
      </c>
      <c r="W109" s="26">
        <v>2.5000000000000001E-2</v>
      </c>
      <c r="X109" s="26">
        <v>2.5000000000000001E-2</v>
      </c>
      <c r="Y109" s="26">
        <v>2.5000000000000001E-2</v>
      </c>
      <c r="Z109" s="26">
        <v>2.5000000000000001E-2</v>
      </c>
      <c r="AA109" s="26">
        <v>2.5000000000000001E-2</v>
      </c>
      <c r="AB109" s="26">
        <v>2.5000000000000001E-2</v>
      </c>
      <c r="AC109" s="26">
        <v>2.5000000000000001E-2</v>
      </c>
    </row>
    <row r="110" spans="1:29" x14ac:dyDescent="0.35">
      <c r="B110" s="8" t="s">
        <v>19</v>
      </c>
      <c r="C110" t="s">
        <v>22</v>
      </c>
      <c r="D110" s="4">
        <f t="shared" ref="D110:J110" si="80">D8</f>
        <v>321.39999999999998</v>
      </c>
      <c r="E110" s="4">
        <f t="shared" si="80"/>
        <v>327.20000000000005</v>
      </c>
      <c r="F110" s="4">
        <f t="shared" si="80"/>
        <v>311.7</v>
      </c>
      <c r="G110" s="4">
        <f t="shared" si="80"/>
        <v>281.3</v>
      </c>
      <c r="H110" s="4">
        <f t="shared" si="80"/>
        <v>283.10000000000002</v>
      </c>
      <c r="I110" s="4">
        <f t="shared" si="80"/>
        <v>255.29999999999995</v>
      </c>
      <c r="J110" s="4">
        <f t="shared" si="80"/>
        <v>272.89999999999998</v>
      </c>
      <c r="K110" s="4">
        <f t="shared" ref="K110:AC110" si="81">K106*K108/1000</f>
        <v>269.53297499999991</v>
      </c>
      <c r="L110" s="4">
        <f t="shared" si="81"/>
        <v>288.11417499999999</v>
      </c>
      <c r="M110" s="4">
        <f t="shared" si="81"/>
        <v>284.55943835624987</v>
      </c>
      <c r="N110" s="4">
        <f t="shared" si="81"/>
        <v>304.17654025625001</v>
      </c>
      <c r="O110" s="4">
        <f t="shared" si="81"/>
        <v>300.42362704461078</v>
      </c>
      <c r="P110" s="4">
        <f t="shared" si="81"/>
        <v>321.13438237553595</v>
      </c>
      <c r="Q110" s="4">
        <f t="shared" si="81"/>
        <v>317.17224425234787</v>
      </c>
      <c r="R110" s="4">
        <f t="shared" si="81"/>
        <v>339.03762419297209</v>
      </c>
      <c r="S110" s="4">
        <f t="shared" si="81"/>
        <v>334.85459686941618</v>
      </c>
      <c r="T110" s="4">
        <f t="shared" si="81"/>
        <v>357.93897174173026</v>
      </c>
      <c r="U110" s="4">
        <f t="shared" si="81"/>
        <v>353.52274064488614</v>
      </c>
      <c r="V110" s="4">
        <f t="shared" si="81"/>
        <v>377.89406941633166</v>
      </c>
      <c r="W110" s="4">
        <f t="shared" si="81"/>
        <v>373.23163343583849</v>
      </c>
      <c r="X110" s="4">
        <f t="shared" si="81"/>
        <v>398.96166378629209</v>
      </c>
      <c r="Y110" s="4">
        <f t="shared" si="81"/>
        <v>394.03929699988646</v>
      </c>
      <c r="Z110" s="4">
        <f t="shared" si="81"/>
        <v>421.20377654237791</v>
      </c>
      <c r="AA110" s="4">
        <f t="shared" si="81"/>
        <v>416.00698780763008</v>
      </c>
      <c r="AB110" s="4">
        <f t="shared" si="81"/>
        <v>444.68588708461544</v>
      </c>
      <c r="AC110" s="4">
        <f t="shared" si="81"/>
        <v>439.19937737790553</v>
      </c>
    </row>
    <row r="111" spans="1:29" x14ac:dyDescent="0.35">
      <c r="B111" s="25" t="s">
        <v>47</v>
      </c>
      <c r="C111" t="s">
        <v>48</v>
      </c>
      <c r="D111" s="6">
        <f t="shared" ref="D111:J111" si="82">IF(D8=0,"",D20/D8)</f>
        <v>0.39599999999999996</v>
      </c>
      <c r="E111" s="6">
        <f t="shared" si="82"/>
        <v>0.39798227383863088</v>
      </c>
      <c r="F111" s="6">
        <f t="shared" si="82"/>
        <v>0.35399999999999993</v>
      </c>
      <c r="G111" s="6">
        <f t="shared" si="82"/>
        <v>0.38129470316388214</v>
      </c>
      <c r="H111" s="6">
        <f t="shared" si="82"/>
        <v>0.4</v>
      </c>
      <c r="I111" s="6">
        <f t="shared" si="82"/>
        <v>0.36216216216216213</v>
      </c>
      <c r="J111" s="6">
        <f t="shared" si="82"/>
        <v>0.377</v>
      </c>
      <c r="K111" s="26">
        <f t="shared" ref="K111:AC111" si="83">I111</f>
        <v>0.36216216216216213</v>
      </c>
      <c r="L111" s="26">
        <f t="shared" si="83"/>
        <v>0.377</v>
      </c>
      <c r="M111" s="26">
        <f t="shared" si="83"/>
        <v>0.36216216216216213</v>
      </c>
      <c r="N111" s="26">
        <f t="shared" si="83"/>
        <v>0.377</v>
      </c>
      <c r="O111" s="26">
        <f t="shared" si="83"/>
        <v>0.36216216216216213</v>
      </c>
      <c r="P111" s="26">
        <f t="shared" si="83"/>
        <v>0.377</v>
      </c>
      <c r="Q111" s="26">
        <f t="shared" si="83"/>
        <v>0.36216216216216213</v>
      </c>
      <c r="R111" s="26">
        <f t="shared" si="83"/>
        <v>0.377</v>
      </c>
      <c r="S111" s="26">
        <f t="shared" si="83"/>
        <v>0.36216216216216213</v>
      </c>
      <c r="T111" s="26">
        <f t="shared" si="83"/>
        <v>0.377</v>
      </c>
      <c r="U111" s="26">
        <f t="shared" si="83"/>
        <v>0.36216216216216213</v>
      </c>
      <c r="V111" s="26">
        <f t="shared" si="83"/>
        <v>0.377</v>
      </c>
      <c r="W111" s="26">
        <f t="shared" si="83"/>
        <v>0.36216216216216213</v>
      </c>
      <c r="X111" s="26">
        <f t="shared" si="83"/>
        <v>0.377</v>
      </c>
      <c r="Y111" s="26">
        <f t="shared" si="83"/>
        <v>0.36216216216216213</v>
      </c>
      <c r="Z111" s="26">
        <f t="shared" si="83"/>
        <v>0.377</v>
      </c>
      <c r="AA111" s="26">
        <f t="shared" si="83"/>
        <v>0.36216216216216213</v>
      </c>
      <c r="AB111" s="26">
        <f t="shared" si="83"/>
        <v>0.377</v>
      </c>
      <c r="AC111" s="26">
        <f t="shared" si="83"/>
        <v>0.36216216216216213</v>
      </c>
    </row>
    <row r="112" spans="1:29" x14ac:dyDescent="0.35">
      <c r="B112" s="8" t="s">
        <v>38</v>
      </c>
      <c r="C112" t="s">
        <v>22</v>
      </c>
      <c r="D112" s="4">
        <f t="shared" ref="D112:J112" si="84">D20</f>
        <v>127.27439999999999</v>
      </c>
      <c r="E112" s="4">
        <f t="shared" si="84"/>
        <v>130.21980000000005</v>
      </c>
      <c r="F112" s="4">
        <f t="shared" si="84"/>
        <v>110.34179999999998</v>
      </c>
      <c r="G112" s="4">
        <f t="shared" si="84"/>
        <v>107.25820000000004</v>
      </c>
      <c r="H112" s="4">
        <f t="shared" si="84"/>
        <v>113.24000000000001</v>
      </c>
      <c r="I112" s="4">
        <f t="shared" si="84"/>
        <v>92.45999999999998</v>
      </c>
      <c r="J112" s="4">
        <f t="shared" si="84"/>
        <v>102.88329999999999</v>
      </c>
      <c r="K112" s="4">
        <f t="shared" ref="K112:AC112" si="85">K110*K111</f>
        <v>97.614644999999953</v>
      </c>
      <c r="L112" s="4">
        <f t="shared" si="85"/>
        <v>108.619043975</v>
      </c>
      <c r="M112" s="4">
        <f t="shared" si="85"/>
        <v>103.05666145874994</v>
      </c>
      <c r="N112" s="4">
        <f t="shared" si="85"/>
        <v>114.67455567660625</v>
      </c>
      <c r="O112" s="4">
        <f t="shared" si="85"/>
        <v>108.80207033507524</v>
      </c>
      <c r="P112" s="4">
        <f t="shared" si="85"/>
        <v>121.06766215557705</v>
      </c>
      <c r="Q112" s="4">
        <f t="shared" si="85"/>
        <v>114.8677857562557</v>
      </c>
      <c r="R112" s="4">
        <f t="shared" si="85"/>
        <v>127.81718432075048</v>
      </c>
      <c r="S112" s="4">
        <f t="shared" si="85"/>
        <v>121.27166481216693</v>
      </c>
      <c r="T112" s="4">
        <f t="shared" si="85"/>
        <v>134.94299234663231</v>
      </c>
      <c r="U112" s="4">
        <f t="shared" si="85"/>
        <v>128.03256012544523</v>
      </c>
      <c r="V112" s="4">
        <f t="shared" si="85"/>
        <v>142.46606416995704</v>
      </c>
      <c r="W112" s="4">
        <f t="shared" si="85"/>
        <v>135.17037535243878</v>
      </c>
      <c r="X112" s="4">
        <f t="shared" si="85"/>
        <v>150.40854724743213</v>
      </c>
      <c r="Y112" s="4">
        <f t="shared" si="85"/>
        <v>142.70612377833726</v>
      </c>
      <c r="Z112" s="4">
        <f t="shared" si="85"/>
        <v>158.79382375647648</v>
      </c>
      <c r="AA112" s="4">
        <f t="shared" si="85"/>
        <v>150.66199017897952</v>
      </c>
      <c r="AB112" s="4">
        <f t="shared" si="85"/>
        <v>167.64657943090003</v>
      </c>
      <c r="AC112" s="4">
        <f t="shared" si="85"/>
        <v>159.06139613145766</v>
      </c>
    </row>
    <row r="113" spans="2:29" x14ac:dyDescent="0.35">
      <c r="B113" s="8" t="s">
        <v>369</v>
      </c>
      <c r="C113" t="s">
        <v>22</v>
      </c>
      <c r="D113" s="4">
        <f t="shared" ref="D113:J113" si="86">D39-D20</f>
        <v>-60.674399999999991</v>
      </c>
      <c r="E113" s="4">
        <f t="shared" si="86"/>
        <v>-65.819800000000043</v>
      </c>
      <c r="F113" s="4">
        <f t="shared" si="86"/>
        <v>-57.341799999999978</v>
      </c>
      <c r="G113" s="4">
        <f t="shared" si="86"/>
        <v>-60.758200000000045</v>
      </c>
      <c r="H113" s="4">
        <f t="shared" si="86"/>
        <v>-68.84</v>
      </c>
      <c r="I113" s="4">
        <f t="shared" si="86"/>
        <v>-51.959999999999972</v>
      </c>
      <c r="J113" s="4">
        <f t="shared" si="86"/>
        <v>-66.383299999999991</v>
      </c>
      <c r="K113" s="4">
        <f t="shared" ref="K113:AC113" si="87">I113*(1+K114)</f>
        <v>-53.258999999999965</v>
      </c>
      <c r="L113" s="4">
        <f t="shared" si="87"/>
        <v>-68.04288249999999</v>
      </c>
      <c r="M113" s="4">
        <f t="shared" si="87"/>
        <v>-54.590474999999962</v>
      </c>
      <c r="N113" s="4">
        <f t="shared" si="87"/>
        <v>-69.743954562499979</v>
      </c>
      <c r="O113" s="4">
        <f t="shared" si="87"/>
        <v>-55.955236874999954</v>
      </c>
      <c r="P113" s="4">
        <f t="shared" si="87"/>
        <v>-71.487553426562471</v>
      </c>
      <c r="Q113" s="4">
        <f t="shared" si="87"/>
        <v>-57.354117796874945</v>
      </c>
      <c r="R113" s="4">
        <f t="shared" si="87"/>
        <v>-73.274742262226525</v>
      </c>
      <c r="S113" s="4">
        <f t="shared" si="87"/>
        <v>-58.787970741796812</v>
      </c>
      <c r="T113" s="4">
        <f t="shared" si="87"/>
        <v>-75.106610818782187</v>
      </c>
      <c r="U113" s="4">
        <f t="shared" si="87"/>
        <v>-60.257670010341727</v>
      </c>
      <c r="V113" s="4">
        <f t="shared" si="87"/>
        <v>-76.984276089251736</v>
      </c>
      <c r="W113" s="4">
        <f t="shared" si="87"/>
        <v>-61.764111760600265</v>
      </c>
      <c r="X113" s="4">
        <f t="shared" si="87"/>
        <v>-78.908882991483026</v>
      </c>
      <c r="Y113" s="4">
        <f t="shared" si="87"/>
        <v>-63.308214554615269</v>
      </c>
      <c r="Z113" s="4">
        <f t="shared" si="87"/>
        <v>-80.881605066270097</v>
      </c>
      <c r="AA113" s="4">
        <f t="shared" si="87"/>
        <v>-64.890919918480648</v>
      </c>
      <c r="AB113" s="4">
        <f t="shared" si="87"/>
        <v>-82.903645192926845</v>
      </c>
      <c r="AC113" s="4">
        <f t="shared" si="87"/>
        <v>-66.513192916442662</v>
      </c>
    </row>
    <row r="114" spans="2:29" x14ac:dyDescent="0.35">
      <c r="B114" s="25" t="s">
        <v>370</v>
      </c>
      <c r="C114" t="s">
        <v>28</v>
      </c>
      <c r="D114" s="6"/>
      <c r="E114" s="6"/>
      <c r="F114" s="6">
        <f>IF(D115=0,"",F115/D115-1)</f>
        <v>-0.10136023885362855</v>
      </c>
      <c r="G114" s="6">
        <f>IF(E115=0,"",G115/E115-1)</f>
        <v>3.3060779864042322E-2</v>
      </c>
      <c r="H114" s="6">
        <f>IF(F115=0,"",H115/F115-1)</f>
        <v>0.29000016876028756</v>
      </c>
      <c r="I114" s="6">
        <f>IF(G115=0,"",I115/G115-1)</f>
        <v>-5.60324100072499E-2</v>
      </c>
      <c r="J114" s="6">
        <f>IF(H115=0,"",J115/H115-1)</f>
        <v>-1.7377361925286383E-2</v>
      </c>
      <c r="K114" s="26">
        <v>2.5000000000000001E-2</v>
      </c>
      <c r="L114" s="26">
        <v>2.5000000000000001E-2</v>
      </c>
      <c r="M114" s="26">
        <v>2.5000000000000001E-2</v>
      </c>
      <c r="N114" s="26">
        <v>2.5000000000000001E-2</v>
      </c>
      <c r="O114" s="26">
        <v>2.5000000000000001E-2</v>
      </c>
      <c r="P114" s="26">
        <v>2.5000000000000001E-2</v>
      </c>
      <c r="Q114" s="26">
        <v>2.5000000000000001E-2</v>
      </c>
      <c r="R114" s="26">
        <v>2.5000000000000001E-2</v>
      </c>
      <c r="S114" s="26">
        <v>2.5000000000000001E-2</v>
      </c>
      <c r="T114" s="26">
        <v>2.5000000000000001E-2</v>
      </c>
      <c r="U114" s="26">
        <v>2.5000000000000001E-2</v>
      </c>
      <c r="V114" s="26">
        <v>2.5000000000000001E-2</v>
      </c>
      <c r="W114" s="26">
        <v>2.5000000000000001E-2</v>
      </c>
      <c r="X114" s="26">
        <v>2.5000000000000001E-2</v>
      </c>
      <c r="Y114" s="26">
        <v>2.5000000000000001E-2</v>
      </c>
      <c r="Z114" s="26">
        <v>2.5000000000000001E-2</v>
      </c>
      <c r="AA114" s="26">
        <v>2.5000000000000001E-2</v>
      </c>
      <c r="AB114" s="26">
        <v>2.5000000000000001E-2</v>
      </c>
      <c r="AC114" s="26">
        <v>2.5000000000000001E-2</v>
      </c>
    </row>
    <row r="115" spans="2:29" x14ac:dyDescent="0.35">
      <c r="B115" s="8" t="s">
        <v>371</v>
      </c>
      <c r="C115" t="s">
        <v>155</v>
      </c>
      <c r="D115" s="29">
        <f t="shared" ref="D115:AC115" si="88">IF(D106=0,"",-D113/D106*1000)</f>
        <v>1844.2066869300911</v>
      </c>
      <c r="E115" s="29">
        <f t="shared" si="88"/>
        <v>1843.6918767507018</v>
      </c>
      <c r="F115" s="29">
        <f t="shared" si="88"/>
        <v>1657.2774566473981</v>
      </c>
      <c r="G115" s="29">
        <f t="shared" si="88"/>
        <v>1904.6457680250799</v>
      </c>
      <c r="H115" s="29">
        <f t="shared" si="88"/>
        <v>2137.8881987577638</v>
      </c>
      <c r="I115" s="29">
        <f t="shared" si="88"/>
        <v>1797.9238754325252</v>
      </c>
      <c r="J115" s="29">
        <f t="shared" si="88"/>
        <v>2100.7373417721515</v>
      </c>
      <c r="K115" s="29">
        <f t="shared" si="88"/>
        <v>1789.1960896294543</v>
      </c>
      <c r="L115" s="29">
        <f t="shared" si="88"/>
        <v>2090.5395876858788</v>
      </c>
      <c r="M115" s="29">
        <f t="shared" si="88"/>
        <v>1780.5106717186316</v>
      </c>
      <c r="N115" s="29">
        <f t="shared" si="88"/>
        <v>2080.3913372602192</v>
      </c>
      <c r="O115" s="29">
        <f t="shared" si="88"/>
        <v>1771.8674160306766</v>
      </c>
      <c r="P115" s="29">
        <f t="shared" si="88"/>
        <v>2070.2923501861401</v>
      </c>
      <c r="Q115" s="29">
        <f t="shared" si="88"/>
        <v>1763.2661178946053</v>
      </c>
      <c r="R115" s="29">
        <f t="shared" si="88"/>
        <v>2060.2423873211578</v>
      </c>
      <c r="S115" s="29">
        <f t="shared" si="88"/>
        <v>1754.7065736329807</v>
      </c>
      <c r="T115" s="29">
        <f t="shared" si="88"/>
        <v>2050.2412106836769</v>
      </c>
      <c r="U115" s="29">
        <f t="shared" si="88"/>
        <v>1746.1885805570923</v>
      </c>
      <c r="V115" s="29">
        <f t="shared" si="88"/>
        <v>2040.2885834473482</v>
      </c>
      <c r="W115" s="29">
        <f t="shared" si="88"/>
        <v>1737.7119369621551</v>
      </c>
      <c r="X115" s="29">
        <f t="shared" si="88"/>
        <v>2030.3842699354675</v>
      </c>
      <c r="Y115" s="29">
        <f t="shared" si="88"/>
        <v>1729.2764421225327</v>
      </c>
      <c r="Z115" s="29">
        <f t="shared" si="88"/>
        <v>2020.5280356153921</v>
      </c>
      <c r="AA115" s="29">
        <f t="shared" si="88"/>
        <v>1720.8818962869864</v>
      </c>
      <c r="AB115" s="29">
        <f t="shared" si="88"/>
        <v>2010.7196470929871</v>
      </c>
      <c r="AC115" s="29">
        <f t="shared" si="88"/>
        <v>1712.5281006739426</v>
      </c>
    </row>
    <row r="116" spans="2:29" x14ac:dyDescent="0.35">
      <c r="B116" s="20" t="s">
        <v>372</v>
      </c>
      <c r="C116" s="20" t="s">
        <v>22</v>
      </c>
      <c r="D116" s="21">
        <f t="shared" ref="D116:J116" si="89">D39</f>
        <v>66.599999999999994</v>
      </c>
      <c r="E116" s="21">
        <f t="shared" si="89"/>
        <v>64.400000000000006</v>
      </c>
      <c r="F116" s="21">
        <f t="shared" si="89"/>
        <v>53</v>
      </c>
      <c r="G116" s="21">
        <f t="shared" si="89"/>
        <v>46.5</v>
      </c>
      <c r="H116" s="21">
        <f t="shared" si="89"/>
        <v>44.4</v>
      </c>
      <c r="I116" s="21">
        <f t="shared" si="89"/>
        <v>40.500000000000007</v>
      </c>
      <c r="J116" s="21">
        <f t="shared" si="89"/>
        <v>36.5</v>
      </c>
      <c r="K116" s="21">
        <f t="shared" ref="K116:AC116" si="90">K112+K113</f>
        <v>44.355644999999988</v>
      </c>
      <c r="L116" s="21">
        <f t="shared" si="90"/>
        <v>40.576161475000006</v>
      </c>
      <c r="M116" s="21">
        <f t="shared" si="90"/>
        <v>48.466186458749981</v>
      </c>
      <c r="N116" s="21">
        <f t="shared" si="90"/>
        <v>44.930601114106267</v>
      </c>
      <c r="O116" s="21">
        <f t="shared" si="90"/>
        <v>52.846833460075288</v>
      </c>
      <c r="P116" s="21">
        <f t="shared" si="90"/>
        <v>49.580108729014583</v>
      </c>
      <c r="Q116" s="21">
        <f t="shared" si="90"/>
        <v>57.513667959380754</v>
      </c>
      <c r="R116" s="21">
        <f t="shared" si="90"/>
        <v>54.54244205852396</v>
      </c>
      <c r="S116" s="21">
        <f t="shared" si="90"/>
        <v>62.48369407037012</v>
      </c>
      <c r="T116" s="21">
        <f t="shared" si="90"/>
        <v>59.836381527850122</v>
      </c>
      <c r="U116" s="21">
        <f t="shared" si="90"/>
        <v>67.774890115103503</v>
      </c>
      <c r="V116" s="21">
        <f t="shared" si="90"/>
        <v>65.4817880807053</v>
      </c>
      <c r="W116" s="21">
        <f t="shared" si="90"/>
        <v>73.406263591838524</v>
      </c>
      <c r="X116" s="21">
        <f t="shared" si="90"/>
        <v>71.499664255949099</v>
      </c>
      <c r="Y116" s="21">
        <f t="shared" si="90"/>
        <v>79.397909223721996</v>
      </c>
      <c r="Z116" s="21">
        <f t="shared" si="90"/>
        <v>77.912218690206387</v>
      </c>
      <c r="AA116" s="21">
        <f t="shared" si="90"/>
        <v>85.771070260498874</v>
      </c>
      <c r="AB116" s="21">
        <f t="shared" si="90"/>
        <v>84.742934237973188</v>
      </c>
      <c r="AC116" s="21">
        <f t="shared" si="90"/>
        <v>92.548203215014993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4"/>
  <sheetViews>
    <sheetView workbookViewId="0"/>
  </sheetViews>
  <sheetFormatPr defaultRowHeight="14.5" x14ac:dyDescent="0.35"/>
  <cols>
    <col min="2" max="2" width="30" customWidth="1"/>
    <col min="3" max="3" width="8" customWidth="1"/>
    <col min="4" max="9" width="12" customWidth="1"/>
  </cols>
  <sheetData>
    <row r="2" spans="2:7" ht="18.5" customHeight="1" x14ac:dyDescent="0.45">
      <c r="B2" s="47" t="s">
        <v>374</v>
      </c>
    </row>
    <row r="3" spans="2:7" x14ac:dyDescent="0.35">
      <c r="B3" s="48" t="s">
        <v>375</v>
      </c>
      <c r="C3" s="48" t="s">
        <v>376</v>
      </c>
      <c r="D3" s="49" t="s">
        <v>325</v>
      </c>
      <c r="E3" s="49" t="s">
        <v>327</v>
      </c>
      <c r="F3" s="49" t="s">
        <v>329</v>
      </c>
      <c r="G3" s="49" t="s">
        <v>331</v>
      </c>
    </row>
    <row r="5" spans="2:7" x14ac:dyDescent="0.35">
      <c r="B5" s="50" t="s">
        <v>377</v>
      </c>
      <c r="C5" s="51"/>
      <c r="D5" s="51"/>
      <c r="E5" s="51"/>
      <c r="F5" s="51"/>
      <c r="G5" s="55"/>
    </row>
    <row r="6" spans="2:7" x14ac:dyDescent="0.35">
      <c r="B6" t="s">
        <v>353</v>
      </c>
      <c r="C6" t="s">
        <v>48</v>
      </c>
      <c r="D6" s="52">
        <v>0.32200000000000001</v>
      </c>
      <c r="E6" s="52">
        <v>0.35399999999999998</v>
      </c>
      <c r="F6" s="52">
        <v>0.28699999999999998</v>
      </c>
      <c r="G6" s="56">
        <v>0.29899999999999999</v>
      </c>
    </row>
    <row r="7" spans="2:7" x14ac:dyDescent="0.35">
      <c r="B7" t="s">
        <v>354</v>
      </c>
      <c r="C7" t="s">
        <v>48</v>
      </c>
      <c r="D7" s="52">
        <v>0.39600000000000002</v>
      </c>
      <c r="E7" s="52">
        <v>0.35399999999999998</v>
      </c>
      <c r="F7" s="52">
        <v>0.4</v>
      </c>
      <c r="G7" s="56">
        <v>0.377</v>
      </c>
    </row>
    <row r="9" spans="2:7" x14ac:dyDescent="0.35">
      <c r="B9" s="50" t="s">
        <v>378</v>
      </c>
      <c r="C9" s="51"/>
      <c r="D9" s="51"/>
      <c r="E9" s="51"/>
      <c r="F9" s="51"/>
      <c r="G9" s="55"/>
    </row>
    <row r="10" spans="2:7" x14ac:dyDescent="0.35">
      <c r="B10" t="s">
        <v>81</v>
      </c>
      <c r="C10" t="s">
        <v>22</v>
      </c>
      <c r="D10" s="53">
        <v>-6.7</v>
      </c>
      <c r="E10" s="53">
        <v>-7.8</v>
      </c>
      <c r="F10" s="53">
        <v>-9.1</v>
      </c>
      <c r="G10" s="57">
        <v>-9.6999999999999993</v>
      </c>
    </row>
    <row r="12" spans="2:7" x14ac:dyDescent="0.35">
      <c r="B12" s="50" t="s">
        <v>379</v>
      </c>
      <c r="C12" s="51"/>
      <c r="D12" s="51"/>
      <c r="E12" s="51"/>
      <c r="F12" s="51"/>
      <c r="G12" s="55"/>
    </row>
    <row r="13" spans="2:7" x14ac:dyDescent="0.35">
      <c r="B13" t="s">
        <v>98</v>
      </c>
      <c r="C13" t="s">
        <v>22</v>
      </c>
      <c r="D13" s="53">
        <v>-8</v>
      </c>
      <c r="E13" s="53">
        <v>-8.3000000000000007</v>
      </c>
      <c r="F13" s="53">
        <v>-8.5</v>
      </c>
      <c r="G13" s="57">
        <v>-10.4</v>
      </c>
    </row>
    <row r="14" spans="2:7" x14ac:dyDescent="0.35">
      <c r="B14" t="s">
        <v>100</v>
      </c>
      <c r="C14" t="s">
        <v>22</v>
      </c>
      <c r="D14" s="53">
        <v>-9.3000000000000007</v>
      </c>
      <c r="E14" s="53">
        <v>-12.4</v>
      </c>
      <c r="F14" s="53">
        <v>-9.8000000000000007</v>
      </c>
      <c r="G14" s="57">
        <v>-7.3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9"/>
  <sheetViews>
    <sheetView workbookViewId="0">
      <selection activeCell="H12" sqref="H12"/>
    </sheetView>
  </sheetViews>
  <sheetFormatPr defaultRowHeight="14.5" x14ac:dyDescent="0.35"/>
  <cols>
    <col min="1" max="1" width="22" customWidth="1"/>
    <col min="2" max="2" width="12" customWidth="1"/>
    <col min="3" max="3" width="13" hidden="1" customWidth="1"/>
    <col min="4" max="8" width="12" customWidth="1"/>
  </cols>
  <sheetData>
    <row r="1" spans="1:8" x14ac:dyDescent="0.35">
      <c r="A1" s="58" t="s">
        <v>380</v>
      </c>
    </row>
    <row r="2" spans="1:8" x14ac:dyDescent="0.35">
      <c r="A2" s="59" t="s">
        <v>381</v>
      </c>
      <c r="B2" s="59" t="s">
        <v>382</v>
      </c>
      <c r="C2" s="59" t="s">
        <v>383</v>
      </c>
      <c r="D2" s="59" t="s">
        <v>384</v>
      </c>
      <c r="E2" s="59" t="s">
        <v>385</v>
      </c>
      <c r="F2" s="59" t="s">
        <v>386</v>
      </c>
      <c r="G2" s="59" t="s">
        <v>387</v>
      </c>
      <c r="H2" s="59" t="s">
        <v>388</v>
      </c>
    </row>
    <row r="3" spans="1:8" x14ac:dyDescent="0.35">
      <c r="A3" s="60" t="s">
        <v>389</v>
      </c>
      <c r="B3" s="4">
        <f>Annual!E45</f>
        <v>147.60000000000002</v>
      </c>
      <c r="C3">
        <v>1</v>
      </c>
      <c r="D3" s="4">
        <f>B3</f>
        <v>147.60000000000002</v>
      </c>
      <c r="E3" s="4">
        <f t="shared" ref="E3:E9" si="0">IF(C3=1,0,IF(B3&gt;=0,D3-B3,D3))</f>
        <v>0</v>
      </c>
      <c r="F3" s="4">
        <f t="shared" ref="F3:F9" si="1">IF(C3=1,B3,0)</f>
        <v>147.60000000000002</v>
      </c>
      <c r="G3" s="4">
        <f t="shared" ref="G3:G9" si="2">IF(AND(C3=0,B3&gt;0),B3,0)</f>
        <v>0</v>
      </c>
      <c r="H3" s="4">
        <f t="shared" ref="H3:H9" si="3">IF(AND(C3=0,B3&lt;0),-B3,0)</f>
        <v>0</v>
      </c>
    </row>
    <row r="4" spans="1:8" x14ac:dyDescent="0.35">
      <c r="A4" s="60" t="s">
        <v>361</v>
      </c>
      <c r="B4" s="4">
        <f>-Annual!E44</f>
        <v>0</v>
      </c>
      <c r="C4">
        <v>0</v>
      </c>
      <c r="D4" s="4">
        <f t="shared" ref="D4:D9" si="4">IF(C4=1,B4,D3+B4)</f>
        <v>147.60000000000002</v>
      </c>
      <c r="E4" s="4">
        <f t="shared" si="0"/>
        <v>147.60000000000002</v>
      </c>
      <c r="F4" s="4">
        <f t="shared" si="1"/>
        <v>0</v>
      </c>
      <c r="G4" s="4">
        <f t="shared" si="2"/>
        <v>0</v>
      </c>
      <c r="H4" s="4">
        <f t="shared" si="3"/>
        <v>0</v>
      </c>
    </row>
    <row r="5" spans="1:8" x14ac:dyDescent="0.35">
      <c r="A5" s="60" t="s">
        <v>390</v>
      </c>
      <c r="B5" s="4">
        <f>Annual!E38</f>
        <v>147.60000000000002</v>
      </c>
      <c r="C5">
        <v>1</v>
      </c>
      <c r="D5" s="4">
        <f t="shared" si="4"/>
        <v>147.60000000000002</v>
      </c>
      <c r="E5" s="4">
        <f t="shared" si="0"/>
        <v>0</v>
      </c>
      <c r="F5" s="4">
        <f t="shared" si="1"/>
        <v>147.60000000000002</v>
      </c>
      <c r="G5" s="4">
        <f t="shared" si="2"/>
        <v>0</v>
      </c>
      <c r="H5" s="4">
        <f t="shared" si="3"/>
        <v>0</v>
      </c>
    </row>
    <row r="6" spans="1:8" x14ac:dyDescent="0.35">
      <c r="A6" s="60" t="s">
        <v>391</v>
      </c>
      <c r="B6" s="4">
        <f>B15+B24</f>
        <v>-25.919218880534675</v>
      </c>
      <c r="C6">
        <v>0</v>
      </c>
      <c r="D6" s="4">
        <f t="shared" si="4"/>
        <v>121.68078111946535</v>
      </c>
      <c r="E6" s="4">
        <f t="shared" si="0"/>
        <v>121.68078111946535</v>
      </c>
      <c r="F6" s="4">
        <f t="shared" si="1"/>
        <v>0</v>
      </c>
      <c r="G6" s="4">
        <f t="shared" si="2"/>
        <v>0</v>
      </c>
      <c r="H6" s="4">
        <f t="shared" si="3"/>
        <v>25.919218880534675</v>
      </c>
    </row>
    <row r="7" spans="1:8" x14ac:dyDescent="0.35">
      <c r="A7" s="60" t="s">
        <v>392</v>
      </c>
      <c r="B7" s="4">
        <f>(Annual!F22-Annual!E22)-B6</f>
        <v>-10.480781119465416</v>
      </c>
      <c r="C7">
        <v>0</v>
      </c>
      <c r="D7" s="4">
        <f t="shared" si="4"/>
        <v>111.19999999999993</v>
      </c>
      <c r="E7" s="4">
        <f t="shared" si="0"/>
        <v>111.19999999999993</v>
      </c>
      <c r="F7" s="4">
        <f t="shared" si="1"/>
        <v>0</v>
      </c>
      <c r="G7" s="4">
        <f t="shared" si="2"/>
        <v>0</v>
      </c>
      <c r="H7" s="4">
        <f t="shared" si="3"/>
        <v>10.480781119465416</v>
      </c>
    </row>
    <row r="8" spans="1:8" x14ac:dyDescent="0.35">
      <c r="A8" s="60" t="s">
        <v>393</v>
      </c>
      <c r="B8" s="4">
        <f>(Annual!F38-Annual!E38)-(Annual!F22-Annual!E22)</f>
        <v>0.80000000000006821</v>
      </c>
      <c r="C8">
        <v>0</v>
      </c>
      <c r="D8" s="4">
        <f t="shared" si="4"/>
        <v>112</v>
      </c>
      <c r="E8" s="4">
        <f t="shared" si="0"/>
        <v>111.19999999999993</v>
      </c>
      <c r="F8" s="4">
        <f t="shared" si="1"/>
        <v>0</v>
      </c>
      <c r="G8" s="4">
        <f t="shared" si="2"/>
        <v>0.80000000000006821</v>
      </c>
      <c r="H8" s="4">
        <f t="shared" si="3"/>
        <v>0</v>
      </c>
    </row>
    <row r="9" spans="1:8" x14ac:dyDescent="0.35">
      <c r="A9" s="60" t="s">
        <v>394</v>
      </c>
      <c r="B9" s="4">
        <f>Annual!F38</f>
        <v>112</v>
      </c>
      <c r="C9">
        <v>1</v>
      </c>
      <c r="D9" s="4">
        <f t="shared" si="4"/>
        <v>112</v>
      </c>
      <c r="E9" s="4">
        <f t="shared" si="0"/>
        <v>0</v>
      </c>
      <c r="F9" s="4">
        <f t="shared" si="1"/>
        <v>112</v>
      </c>
      <c r="G9" s="4">
        <f t="shared" si="2"/>
        <v>0</v>
      </c>
      <c r="H9" s="4">
        <f t="shared" si="3"/>
        <v>0</v>
      </c>
    </row>
    <row r="12" spans="1:8" x14ac:dyDescent="0.35">
      <c r="A12" s="58" t="s">
        <v>395</v>
      </c>
    </row>
    <row r="13" spans="1:8" x14ac:dyDescent="0.35">
      <c r="A13" s="59" t="s">
        <v>381</v>
      </c>
      <c r="B13" s="59" t="s">
        <v>382</v>
      </c>
      <c r="C13" s="59" t="s">
        <v>383</v>
      </c>
      <c r="D13" s="59" t="s">
        <v>384</v>
      </c>
      <c r="E13" s="59" t="s">
        <v>385</v>
      </c>
      <c r="F13" s="59" t="s">
        <v>386</v>
      </c>
      <c r="G13" s="59" t="s">
        <v>387</v>
      </c>
      <c r="H13" s="59" t="s">
        <v>388</v>
      </c>
    </row>
    <row r="14" spans="1:8" x14ac:dyDescent="0.35">
      <c r="A14" s="60" t="s">
        <v>396</v>
      </c>
      <c r="B14" s="4">
        <f>Annual!E35</f>
        <v>68.8</v>
      </c>
      <c r="C14">
        <v>1</v>
      </c>
      <c r="D14" s="4">
        <f>B14</f>
        <v>68.8</v>
      </c>
      <c r="E14" s="4">
        <f>IF(C14=1,0,IF(B14&gt;=0,D14-B14,D14))</f>
        <v>0</v>
      </c>
      <c r="F14" s="4">
        <f>IF(C14=1,B14,0)</f>
        <v>68.8</v>
      </c>
      <c r="G14" s="4">
        <f>IF(AND(C14=0,B14&gt;0),B14,0)</f>
        <v>0</v>
      </c>
      <c r="H14" s="4">
        <f>IF(AND(C14=0,B14&lt;0),-B14,0)</f>
        <v>0</v>
      </c>
    </row>
    <row r="15" spans="1:8" x14ac:dyDescent="0.35">
      <c r="A15" s="60" t="s">
        <v>391</v>
      </c>
      <c r="B15" s="4">
        <f>(Annual!F95-Annual!E95)*Annual!E19/Annual!E95</f>
        <v>-8.2494444444444532</v>
      </c>
      <c r="C15">
        <v>0</v>
      </c>
      <c r="D15" s="4">
        <f>IF(C15=1,B15,D14+B15)</f>
        <v>60.550555555555547</v>
      </c>
      <c r="E15" s="4">
        <f>IF(C15=1,0,IF(B15&gt;=0,D15-B15,D15))</f>
        <v>60.550555555555547</v>
      </c>
      <c r="F15" s="4">
        <f>IF(C15=1,B15,0)</f>
        <v>0</v>
      </c>
      <c r="G15" s="4">
        <f>IF(AND(C15=0,B15&gt;0),B15,0)</f>
        <v>0</v>
      </c>
      <c r="H15" s="4">
        <f>IF(AND(C15=0,B15&lt;0),-B15,0)</f>
        <v>8.2494444444444532</v>
      </c>
    </row>
    <row r="16" spans="1:8" x14ac:dyDescent="0.35">
      <c r="A16" s="60" t="s">
        <v>392</v>
      </c>
      <c r="B16" s="4">
        <f>(Annual!F19-Annual!E19)-B15</f>
        <v>-16.250555555555547</v>
      </c>
      <c r="C16">
        <v>0</v>
      </c>
      <c r="D16" s="4">
        <f>IF(C16=1,B16,D15+B16)</f>
        <v>44.3</v>
      </c>
      <c r="E16" s="4">
        <f>IF(C16=1,0,IF(B16&gt;=0,D16-B16,D16))</f>
        <v>44.3</v>
      </c>
      <c r="F16" s="4">
        <f>IF(C16=1,B16,0)</f>
        <v>0</v>
      </c>
      <c r="G16" s="4">
        <f>IF(AND(C16=0,B16&gt;0),B16,0)</f>
        <v>0</v>
      </c>
      <c r="H16" s="4">
        <f>IF(AND(C16=0,B16&lt;0),-B16,0)</f>
        <v>16.250555555555547</v>
      </c>
    </row>
    <row r="17" spans="1:8" x14ac:dyDescent="0.35">
      <c r="A17" s="60" t="s">
        <v>393</v>
      </c>
      <c r="B17" s="4">
        <f>(Annual!F35-Annual!E35)-(Annual!F19-Annual!E19)</f>
        <v>-0.19999999999999574</v>
      </c>
      <c r="C17">
        <v>0</v>
      </c>
      <c r="D17" s="4">
        <f>IF(C17=1,B17,D16+B17)</f>
        <v>44.1</v>
      </c>
      <c r="E17" s="4">
        <f>IF(C17=1,0,IF(B17&gt;=0,D17-B17,D17))</f>
        <v>44.1</v>
      </c>
      <c r="F17" s="4">
        <f>IF(C17=1,B17,0)</f>
        <v>0</v>
      </c>
      <c r="G17" s="4">
        <f>IF(AND(C17=0,B17&gt;0),B17,0)</f>
        <v>0</v>
      </c>
      <c r="H17" s="4">
        <f>IF(AND(C17=0,B17&lt;0),-B17,0)</f>
        <v>0.19999999999999574</v>
      </c>
    </row>
    <row r="18" spans="1:8" x14ac:dyDescent="0.35">
      <c r="A18" s="60" t="s">
        <v>397</v>
      </c>
      <c r="B18" s="4">
        <f>Annual!F35</f>
        <v>44.1</v>
      </c>
      <c r="C18">
        <v>1</v>
      </c>
      <c r="D18" s="4">
        <f>IF(C18=1,B18,D17+B18)</f>
        <v>44.1</v>
      </c>
      <c r="E18" s="4">
        <f>IF(C18=1,0,IF(B18&gt;=0,D18-B18,D18))</f>
        <v>0</v>
      </c>
      <c r="F18" s="4">
        <f>IF(C18=1,B18,0)</f>
        <v>44.1</v>
      </c>
      <c r="G18" s="4">
        <f>IF(AND(C18=0,B18&gt;0),B18,0)</f>
        <v>0</v>
      </c>
      <c r="H18" s="4">
        <f>IF(AND(C18=0,B18&lt;0),-B18,0)</f>
        <v>0</v>
      </c>
    </row>
    <row r="21" spans="1:8" x14ac:dyDescent="0.35">
      <c r="A21" s="58" t="s">
        <v>398</v>
      </c>
    </row>
    <row r="22" spans="1:8" x14ac:dyDescent="0.35">
      <c r="A22" s="59" t="s">
        <v>381</v>
      </c>
      <c r="B22" s="59" t="s">
        <v>382</v>
      </c>
      <c r="C22" s="59" t="s">
        <v>383</v>
      </c>
      <c r="D22" s="59" t="s">
        <v>384</v>
      </c>
      <c r="E22" s="59" t="s">
        <v>385</v>
      </c>
      <c r="F22" s="59" t="s">
        <v>386</v>
      </c>
      <c r="G22" s="59" t="s">
        <v>387</v>
      </c>
      <c r="H22" s="59" t="s">
        <v>388</v>
      </c>
    </row>
    <row r="23" spans="1:8" x14ac:dyDescent="0.35">
      <c r="A23" s="60" t="s">
        <v>399</v>
      </c>
      <c r="B23" s="4">
        <f>Annual!E36</f>
        <v>99.5</v>
      </c>
      <c r="C23">
        <v>1</v>
      </c>
      <c r="D23" s="4">
        <f>B23</f>
        <v>99.5</v>
      </c>
      <c r="E23" s="4">
        <f>IF(C23=1,0,IF(B23&gt;=0,D23-B23,D23))</f>
        <v>0</v>
      </c>
      <c r="F23" s="4">
        <f>IF(C23=1,B23,0)</f>
        <v>99.5</v>
      </c>
      <c r="G23" s="4">
        <f>IF(AND(C23=0,B23&gt;0),B23,0)</f>
        <v>0</v>
      </c>
      <c r="H23" s="4">
        <f>IF(AND(C23=0,B23&lt;0),-B23,0)</f>
        <v>0</v>
      </c>
    </row>
    <row r="24" spans="1:8" x14ac:dyDescent="0.35">
      <c r="A24" s="60" t="s">
        <v>391</v>
      </c>
      <c r="B24" s="4">
        <f>(Annual!F96-Annual!E96)*Annual!E20/Annual!E96</f>
        <v>-17.669774436090222</v>
      </c>
      <c r="C24">
        <v>0</v>
      </c>
      <c r="D24" s="4">
        <f>IF(C24=1,B24,D23+B24)</f>
        <v>81.830225563909778</v>
      </c>
      <c r="E24" s="4">
        <f>IF(C24=1,0,IF(B24&gt;=0,D24-B24,D24))</f>
        <v>81.830225563909778</v>
      </c>
      <c r="F24" s="4">
        <f>IF(C24=1,B24,0)</f>
        <v>0</v>
      </c>
      <c r="G24" s="4">
        <f>IF(AND(C24=0,B24&gt;0),B24,0)</f>
        <v>0</v>
      </c>
      <c r="H24" s="4">
        <f>IF(AND(C24=0,B24&lt;0),-B24,0)</f>
        <v>17.669774436090222</v>
      </c>
    </row>
    <row r="25" spans="1:8" x14ac:dyDescent="0.35">
      <c r="A25" s="60" t="s">
        <v>392</v>
      </c>
      <c r="B25" s="4">
        <f>(Annual!F20-Annual!E20)-B24</f>
        <v>5.7697744360901879</v>
      </c>
      <c r="C25">
        <v>0</v>
      </c>
      <c r="D25" s="4">
        <f>IF(C25=1,B25,D24+B25)</f>
        <v>87.599999999999966</v>
      </c>
      <c r="E25" s="4">
        <f>IF(C25=1,0,IF(B25&gt;=0,D25-B25,D25))</f>
        <v>81.830225563909778</v>
      </c>
      <c r="F25" s="4">
        <f>IF(C25=1,B25,0)</f>
        <v>0</v>
      </c>
      <c r="G25" s="4">
        <f>IF(AND(C25=0,B25&gt;0),B25,0)</f>
        <v>5.7697744360901879</v>
      </c>
      <c r="H25" s="4">
        <f>IF(AND(C25=0,B25&lt;0),-B25,0)</f>
        <v>0</v>
      </c>
    </row>
    <row r="26" spans="1:8" x14ac:dyDescent="0.35">
      <c r="A26" s="60" t="s">
        <v>393</v>
      </c>
      <c r="B26" s="4">
        <f>(Annual!F36-Annual!E36)-(Annual!F20-Annual!E20)</f>
        <v>-2.6999999999999602</v>
      </c>
      <c r="C26">
        <v>0</v>
      </c>
      <c r="D26" s="4">
        <f>IF(C26=1,B26,D25+B26)</f>
        <v>84.9</v>
      </c>
      <c r="E26" s="4">
        <f>IF(C26=1,0,IF(B26&gt;=0,D26-B26,D26))</f>
        <v>84.9</v>
      </c>
      <c r="F26" s="4">
        <f>IF(C26=1,B26,0)</f>
        <v>0</v>
      </c>
      <c r="G26" s="4">
        <f>IF(AND(C26=0,B26&gt;0),B26,0)</f>
        <v>0</v>
      </c>
      <c r="H26" s="4">
        <f>IF(AND(C26=0,B26&lt;0),-B26,0)</f>
        <v>2.6999999999999602</v>
      </c>
    </row>
    <row r="27" spans="1:8" x14ac:dyDescent="0.35">
      <c r="A27" s="60" t="s">
        <v>400</v>
      </c>
      <c r="B27" s="4">
        <f>Annual!F36</f>
        <v>84.9</v>
      </c>
      <c r="C27">
        <v>1</v>
      </c>
      <c r="D27" s="4">
        <f>IF(C27=1,B27,D26+B27)</f>
        <v>84.9</v>
      </c>
      <c r="E27" s="4">
        <f>IF(C27=1,0,IF(B27&gt;=0,D27-B27,D27))</f>
        <v>0</v>
      </c>
      <c r="F27" s="4">
        <f>IF(C27=1,B27,0)</f>
        <v>84.9</v>
      </c>
      <c r="G27" s="4">
        <f>IF(AND(C27=0,B27&gt;0),B27,0)</f>
        <v>0</v>
      </c>
      <c r="H27" s="4">
        <f>IF(AND(C27=0,B27&lt;0),-B27,0)</f>
        <v>0</v>
      </c>
    </row>
    <row r="30" spans="1:8" x14ac:dyDescent="0.35">
      <c r="A30" s="58" t="s">
        <v>401</v>
      </c>
    </row>
    <row r="31" spans="1:8" x14ac:dyDescent="0.35">
      <c r="A31" s="59" t="s">
        <v>381</v>
      </c>
      <c r="B31" s="59" t="s">
        <v>382</v>
      </c>
      <c r="C31" s="59" t="s">
        <v>383</v>
      </c>
      <c r="D31" s="59" t="s">
        <v>384</v>
      </c>
      <c r="E31" s="59" t="s">
        <v>385</v>
      </c>
      <c r="F31" s="59" t="s">
        <v>386</v>
      </c>
      <c r="G31" s="59" t="s">
        <v>387</v>
      </c>
      <c r="H31" s="59" t="s">
        <v>388</v>
      </c>
    </row>
    <row r="32" spans="1:8" x14ac:dyDescent="0.35">
      <c r="A32" s="60" t="s">
        <v>402</v>
      </c>
      <c r="B32" s="4">
        <f>Annual!F38</f>
        <v>112</v>
      </c>
      <c r="C32">
        <v>1</v>
      </c>
      <c r="D32" s="4">
        <f>B32</f>
        <v>112</v>
      </c>
      <c r="E32" s="4">
        <f t="shared" ref="E32:E41" si="5">IF(C32=1,0,IF(B32&gt;=0,D32-B32,D32))</f>
        <v>0</v>
      </c>
      <c r="F32" s="4">
        <f t="shared" ref="F32:F41" si="6">IF(C32=1,B32,0)</f>
        <v>112</v>
      </c>
      <c r="G32" s="4">
        <f t="shared" ref="G32:G41" si="7">IF(AND(C32=0,B32&gt;0),B32,0)</f>
        <v>0</v>
      </c>
      <c r="H32" s="4">
        <f t="shared" ref="H32:H41" si="8">IF(AND(C32=0,B32&lt;0),-B32,0)</f>
        <v>0</v>
      </c>
    </row>
    <row r="33" spans="1:8" x14ac:dyDescent="0.35">
      <c r="A33" s="60" t="s">
        <v>403</v>
      </c>
      <c r="B33" s="4">
        <f>Annual!F154</f>
        <v>-18</v>
      </c>
      <c r="C33">
        <v>0</v>
      </c>
      <c r="D33" s="4">
        <f t="shared" ref="D33:D41" si="9">IF(C33=1,B33,D32+B33)</f>
        <v>94</v>
      </c>
      <c r="E33" s="4">
        <f t="shared" si="5"/>
        <v>94</v>
      </c>
      <c r="F33" s="4">
        <f t="shared" si="6"/>
        <v>0</v>
      </c>
      <c r="G33" s="4">
        <f t="shared" si="7"/>
        <v>0</v>
      </c>
      <c r="H33" s="4">
        <f t="shared" si="8"/>
        <v>18</v>
      </c>
    </row>
    <row r="34" spans="1:8" x14ac:dyDescent="0.35">
      <c r="A34" s="60" t="s">
        <v>232</v>
      </c>
      <c r="B34" s="4">
        <f>Annual!F153</f>
        <v>-23.9</v>
      </c>
      <c r="C34">
        <v>0</v>
      </c>
      <c r="D34" s="4">
        <f t="shared" si="9"/>
        <v>70.099999999999994</v>
      </c>
      <c r="E34" s="4">
        <f t="shared" si="5"/>
        <v>70.099999999999994</v>
      </c>
      <c r="F34" s="4">
        <f t="shared" si="6"/>
        <v>0</v>
      </c>
      <c r="G34" s="4">
        <f t="shared" si="7"/>
        <v>0</v>
      </c>
      <c r="H34" s="4">
        <f t="shared" si="8"/>
        <v>23.9</v>
      </c>
    </row>
    <row r="35" spans="1:8" x14ac:dyDescent="0.35">
      <c r="A35" s="60" t="s">
        <v>404</v>
      </c>
      <c r="B35" s="4">
        <f>Annual!F155</f>
        <v>-7.5</v>
      </c>
      <c r="C35">
        <v>0</v>
      </c>
      <c r="D35" s="4">
        <f t="shared" si="9"/>
        <v>62.599999999999994</v>
      </c>
      <c r="E35" s="4">
        <f t="shared" si="5"/>
        <v>62.599999999999994</v>
      </c>
      <c r="F35" s="4">
        <f t="shared" si="6"/>
        <v>0</v>
      </c>
      <c r="G35" s="4">
        <f t="shared" si="7"/>
        <v>0</v>
      </c>
      <c r="H35" s="4">
        <f t="shared" si="8"/>
        <v>7.5</v>
      </c>
    </row>
    <row r="36" spans="1:8" x14ac:dyDescent="0.35">
      <c r="A36" s="60" t="s">
        <v>405</v>
      </c>
      <c r="B36" s="4">
        <f>SUM(B32:B35)</f>
        <v>62.599999999999994</v>
      </c>
      <c r="C36">
        <v>1</v>
      </c>
      <c r="D36" s="4">
        <f t="shared" si="9"/>
        <v>62.599999999999994</v>
      </c>
      <c r="E36" s="4">
        <f t="shared" si="5"/>
        <v>0</v>
      </c>
      <c r="F36" s="4">
        <f t="shared" si="6"/>
        <v>62.599999999999994</v>
      </c>
      <c r="G36" s="4">
        <f t="shared" si="7"/>
        <v>0</v>
      </c>
      <c r="H36" s="4">
        <f t="shared" si="8"/>
        <v>0</v>
      </c>
    </row>
    <row r="37" spans="1:8" x14ac:dyDescent="0.35">
      <c r="A37" s="60" t="s">
        <v>406</v>
      </c>
      <c r="B37" s="4">
        <f>Annual!F156-B36</f>
        <v>42.400000000000006</v>
      </c>
      <c r="C37">
        <v>0</v>
      </c>
      <c r="D37" s="4">
        <f t="shared" si="9"/>
        <v>105</v>
      </c>
      <c r="E37" s="4">
        <f t="shared" si="5"/>
        <v>62.599999999999994</v>
      </c>
      <c r="F37" s="4">
        <f t="shared" si="6"/>
        <v>0</v>
      </c>
      <c r="G37" s="4">
        <f t="shared" si="7"/>
        <v>42.400000000000006</v>
      </c>
      <c r="H37" s="4">
        <f t="shared" si="8"/>
        <v>0</v>
      </c>
    </row>
    <row r="38" spans="1:8" x14ac:dyDescent="0.35">
      <c r="A38" s="60" t="s">
        <v>407</v>
      </c>
      <c r="B38" s="4">
        <f>Annual!F156</f>
        <v>105</v>
      </c>
      <c r="C38">
        <v>1</v>
      </c>
      <c r="D38" s="4">
        <f t="shared" si="9"/>
        <v>105</v>
      </c>
      <c r="E38" s="4">
        <f t="shared" si="5"/>
        <v>0</v>
      </c>
      <c r="F38" s="4">
        <f t="shared" si="6"/>
        <v>105</v>
      </c>
      <c r="G38" s="4">
        <f t="shared" si="7"/>
        <v>0</v>
      </c>
      <c r="H38" s="4">
        <f t="shared" si="8"/>
        <v>0</v>
      </c>
    </row>
    <row r="39" spans="1:8" x14ac:dyDescent="0.35">
      <c r="A39" s="60" t="s">
        <v>267</v>
      </c>
      <c r="B39" s="4">
        <f>Annual!F160+Annual!F162+Annual!F164</f>
        <v>-17.200000000000003</v>
      </c>
      <c r="C39">
        <v>0</v>
      </c>
      <c r="D39" s="4">
        <f t="shared" si="9"/>
        <v>87.8</v>
      </c>
      <c r="E39" s="4">
        <f t="shared" si="5"/>
        <v>87.8</v>
      </c>
      <c r="F39" s="4">
        <f t="shared" si="6"/>
        <v>0</v>
      </c>
      <c r="G39" s="4">
        <f t="shared" si="7"/>
        <v>0</v>
      </c>
      <c r="H39" s="4">
        <f t="shared" si="8"/>
        <v>17.200000000000003</v>
      </c>
    </row>
    <row r="40" spans="1:8" x14ac:dyDescent="0.35">
      <c r="A40" s="60" t="s">
        <v>408</v>
      </c>
      <c r="B40" s="4">
        <f>Annual!F171</f>
        <v>-26.7</v>
      </c>
      <c r="C40">
        <v>0</v>
      </c>
      <c r="D40" s="4">
        <f t="shared" si="9"/>
        <v>61.099999999999994</v>
      </c>
      <c r="E40" s="4">
        <f t="shared" si="5"/>
        <v>61.099999999999994</v>
      </c>
      <c r="F40" s="4">
        <f t="shared" si="6"/>
        <v>0</v>
      </c>
      <c r="G40" s="4">
        <f t="shared" si="7"/>
        <v>0</v>
      </c>
      <c r="H40" s="4">
        <f t="shared" si="8"/>
        <v>26.7</v>
      </c>
    </row>
    <row r="41" spans="1:8" x14ac:dyDescent="0.35">
      <c r="A41" s="60" t="s">
        <v>409</v>
      </c>
      <c r="B41" s="4">
        <f>B38+B39+B40</f>
        <v>61.099999999999994</v>
      </c>
      <c r="C41">
        <v>1</v>
      </c>
      <c r="D41" s="4">
        <f t="shared" si="9"/>
        <v>61.099999999999994</v>
      </c>
      <c r="E41" s="4">
        <f t="shared" si="5"/>
        <v>0</v>
      </c>
      <c r="F41" s="4">
        <f t="shared" si="6"/>
        <v>61.099999999999994</v>
      </c>
      <c r="G41" s="4">
        <f t="shared" si="7"/>
        <v>0</v>
      </c>
      <c r="H41" s="4">
        <f t="shared" si="8"/>
        <v>0</v>
      </c>
    </row>
    <row r="44" spans="1:8" x14ac:dyDescent="0.35">
      <c r="A44" s="58" t="s">
        <v>410</v>
      </c>
    </row>
    <row r="45" spans="1:8" x14ac:dyDescent="0.35">
      <c r="A45" s="59" t="s">
        <v>381</v>
      </c>
      <c r="B45" s="59" t="s">
        <v>382</v>
      </c>
      <c r="C45" s="59" t="s">
        <v>383</v>
      </c>
      <c r="D45" s="59" t="s">
        <v>384</v>
      </c>
      <c r="E45" s="59" t="s">
        <v>385</v>
      </c>
      <c r="F45" s="59" t="s">
        <v>386</v>
      </c>
      <c r="G45" s="59" t="s">
        <v>387</v>
      </c>
      <c r="H45" s="59" t="s">
        <v>388</v>
      </c>
    </row>
    <row r="46" spans="1:8" x14ac:dyDescent="0.35">
      <c r="A46" s="60" t="s">
        <v>411</v>
      </c>
      <c r="B46" s="4">
        <f>Annual!E120</f>
        <v>361.30000000000007</v>
      </c>
      <c r="C46">
        <v>1</v>
      </c>
      <c r="D46" s="4">
        <f>B46</f>
        <v>361.30000000000007</v>
      </c>
      <c r="E46" s="4">
        <f>IF(C46=1,0,IF(B46&gt;=0,D46-B46,D46))</f>
        <v>0</v>
      </c>
      <c r="F46" s="4">
        <f>IF(C46=1,B46,0)</f>
        <v>361.30000000000007</v>
      </c>
      <c r="G46" s="4">
        <f>IF(AND(C46=0,B46&gt;0),B46,0)</f>
        <v>0</v>
      </c>
      <c r="H46" s="4">
        <f>IF(AND(C46=0,B46&lt;0),-B46,0)</f>
        <v>0</v>
      </c>
    </row>
    <row r="47" spans="1:8" x14ac:dyDescent="0.35">
      <c r="A47" s="60" t="s">
        <v>412</v>
      </c>
      <c r="B47" s="4">
        <f>Annual!F112-Annual!E112</f>
        <v>-26.700000000000045</v>
      </c>
      <c r="C47">
        <v>0</v>
      </c>
      <c r="D47" s="4">
        <f>IF(C47=1,B47,D46+B47)</f>
        <v>334.6</v>
      </c>
      <c r="E47" s="4">
        <f>IF(C47=1,0,IF(B47&gt;=0,D47-B47,D47))</f>
        <v>334.6</v>
      </c>
      <c r="F47" s="4">
        <f>IF(C47=1,B47,0)</f>
        <v>0</v>
      </c>
      <c r="G47" s="4">
        <f>IF(AND(C47=0,B47&gt;0),B47,0)</f>
        <v>0</v>
      </c>
      <c r="H47" s="4">
        <f>IF(AND(C47=0,B47&lt;0),-B47,0)</f>
        <v>26.700000000000045</v>
      </c>
    </row>
    <row r="48" spans="1:8" x14ac:dyDescent="0.35">
      <c r="A48" s="60" t="s">
        <v>413</v>
      </c>
      <c r="B48" s="4">
        <f>Annual!F111-Annual!E111</f>
        <v>-14</v>
      </c>
      <c r="C48">
        <v>0</v>
      </c>
      <c r="D48" s="4">
        <f>IF(C48=1,B48,D47+B48)</f>
        <v>320.60000000000002</v>
      </c>
      <c r="E48" s="4">
        <f>IF(C48=1,0,IF(B48&gt;=0,D48-B48,D48))</f>
        <v>320.60000000000002</v>
      </c>
      <c r="F48" s="4">
        <f>IF(C48=1,B48,0)</f>
        <v>0</v>
      </c>
      <c r="G48" s="4">
        <f>IF(AND(C48=0,B48&gt;0),B48,0)</f>
        <v>0</v>
      </c>
      <c r="H48" s="4">
        <f>IF(AND(C48=0,B48&lt;0),-B48,0)</f>
        <v>14</v>
      </c>
    </row>
    <row r="49" spans="1:8" x14ac:dyDescent="0.35">
      <c r="A49" s="60" t="s">
        <v>414</v>
      </c>
      <c r="B49" s="4">
        <f>-(Annual!F125-Annual!E125)</f>
        <v>0.79999999999998295</v>
      </c>
      <c r="C49">
        <v>0</v>
      </c>
      <c r="D49" s="4">
        <f>IF(C49=1,B49,D48+B49)</f>
        <v>321.39999999999998</v>
      </c>
      <c r="E49" s="4">
        <f>IF(C49=1,0,IF(B49&gt;=0,D49-B49,D49))</f>
        <v>320.60000000000002</v>
      </c>
      <c r="F49" s="4">
        <f>IF(C49=1,B49,0)</f>
        <v>0</v>
      </c>
      <c r="G49" s="4">
        <f>IF(AND(C49=0,B49&gt;0),B49,0)</f>
        <v>0.79999999999998295</v>
      </c>
      <c r="H49" s="4">
        <f>IF(AND(C49=0,B49&lt;0),-B49,0)</f>
        <v>0</v>
      </c>
    </row>
    <row r="50" spans="1:8" x14ac:dyDescent="0.35">
      <c r="A50" s="60" t="s">
        <v>415</v>
      </c>
      <c r="B50" s="4">
        <f>Annual!F120</f>
        <v>321.39999999999998</v>
      </c>
      <c r="C50">
        <v>1</v>
      </c>
      <c r="D50" s="4">
        <f>IF(C50=1,B50,D49+B50)</f>
        <v>321.39999999999998</v>
      </c>
      <c r="E50" s="4">
        <f>IF(C50=1,0,IF(B50&gt;=0,D50-B50,D50))</f>
        <v>0</v>
      </c>
      <c r="F50" s="4">
        <f>IF(C50=1,B50,0)</f>
        <v>321.39999999999998</v>
      </c>
      <c r="G50" s="4">
        <f>IF(AND(C50=0,B50&gt;0),B50,0)</f>
        <v>0</v>
      </c>
      <c r="H50" s="4">
        <f>IF(AND(C50=0,B50&lt;0),-B50,0)</f>
        <v>0</v>
      </c>
    </row>
    <row r="52" spans="1:8" x14ac:dyDescent="0.35">
      <c r="A52" t="s">
        <v>416</v>
      </c>
    </row>
    <row r="53" spans="1:8" x14ac:dyDescent="0.35">
      <c r="A53" t="s">
        <v>381</v>
      </c>
      <c r="B53" t="s">
        <v>382</v>
      </c>
      <c r="C53" t="s">
        <v>383</v>
      </c>
      <c r="D53" t="s">
        <v>384</v>
      </c>
      <c r="E53" t="s">
        <v>385</v>
      </c>
      <c r="F53" t="s">
        <v>386</v>
      </c>
      <c r="G53" t="s">
        <v>387</v>
      </c>
      <c r="H53" t="s">
        <v>388</v>
      </c>
    </row>
    <row r="54" spans="1:8" x14ac:dyDescent="0.35">
      <c r="A54" t="s">
        <v>417</v>
      </c>
      <c r="B54" s="4">
        <f>Annual!E9</f>
        <v>1064.3</v>
      </c>
      <c r="C54" s="4">
        <v>1</v>
      </c>
      <c r="D54" s="4">
        <f>B54</f>
        <v>1064.3</v>
      </c>
      <c r="E54" s="4">
        <f t="shared" ref="E54:E59" si="10">IF(C54=1,0,IF(B54&gt;=0,D54-B54,D54))</f>
        <v>0</v>
      </c>
      <c r="F54" s="4">
        <f t="shared" ref="F54:F59" si="11">IF(C54=1,B54,0)</f>
        <v>1064.3</v>
      </c>
      <c r="G54" s="4">
        <f t="shared" ref="G54:G59" si="12">IF(AND(C54=0,B54&gt;0),B54,0)</f>
        <v>0</v>
      </c>
      <c r="H54" s="4">
        <f t="shared" ref="H54:H59" si="13">IF(AND(C54=0,B54&lt;0),-B54,0)</f>
        <v>0</v>
      </c>
    </row>
    <row r="55" spans="1:8" x14ac:dyDescent="0.35">
      <c r="A55" t="s">
        <v>418</v>
      </c>
      <c r="B55" s="4">
        <f>((Annual!F95-Annual!E95)*Annual!E98)/1000</f>
        <v>-27.056111111111147</v>
      </c>
      <c r="C55" s="4">
        <v>0</v>
      </c>
      <c r="D55" s="4">
        <f>IF(C55=1,B55,D54+B55)</f>
        <v>1037.2438888888887</v>
      </c>
      <c r="E55" s="4">
        <f t="shared" si="10"/>
        <v>1037.2438888888887</v>
      </c>
      <c r="F55" s="4">
        <f t="shared" si="11"/>
        <v>0</v>
      </c>
      <c r="G55" s="4">
        <f t="shared" si="12"/>
        <v>0</v>
      </c>
      <c r="H55" s="4">
        <f t="shared" si="13"/>
        <v>27.056111111111147</v>
      </c>
    </row>
    <row r="56" spans="1:8" x14ac:dyDescent="0.35">
      <c r="A56" t="s">
        <v>419</v>
      </c>
      <c r="B56" s="4">
        <f>((Annual!F98-Annual!E98)*Annual!F95)/1000</f>
        <v>-34.543888888888851</v>
      </c>
      <c r="C56" s="4">
        <v>0</v>
      </c>
      <c r="D56" s="4">
        <f>IF(C56=1,B56,D55+B56)</f>
        <v>1002.6999999999998</v>
      </c>
      <c r="E56" s="4">
        <f t="shared" si="10"/>
        <v>1002.6999999999998</v>
      </c>
      <c r="F56" s="4">
        <f t="shared" si="11"/>
        <v>0</v>
      </c>
      <c r="G56" s="4">
        <f t="shared" si="12"/>
        <v>0</v>
      </c>
      <c r="H56" s="4">
        <f t="shared" si="13"/>
        <v>34.543888888888851</v>
      </c>
    </row>
    <row r="57" spans="1:8" x14ac:dyDescent="0.35">
      <c r="A57" t="s">
        <v>420</v>
      </c>
      <c r="B57" s="4">
        <f>((Annual!F96-Annual!E96)*Annual!E99)/1000</f>
        <v>-48.153383458646601</v>
      </c>
      <c r="C57" s="4">
        <v>0</v>
      </c>
      <c r="D57" s="4">
        <f>IF(C57=1,B57,D56+B57)</f>
        <v>954.54661654135316</v>
      </c>
      <c r="E57" s="4">
        <f t="shared" si="10"/>
        <v>954.54661654135316</v>
      </c>
      <c r="F57" s="4">
        <f t="shared" si="11"/>
        <v>0</v>
      </c>
      <c r="G57" s="4">
        <f t="shared" si="12"/>
        <v>0</v>
      </c>
      <c r="H57" s="4">
        <f t="shared" si="13"/>
        <v>48.153383458646601</v>
      </c>
    </row>
    <row r="58" spans="1:8" x14ac:dyDescent="0.35">
      <c r="A58" t="s">
        <v>421</v>
      </c>
      <c r="B58" s="4">
        <f>((Annual!F99-Annual!E99)*Annual!F96)/1000</f>
        <v>-6.4466165413533236</v>
      </c>
      <c r="C58" s="4">
        <v>0</v>
      </c>
      <c r="D58" s="4">
        <f>IF(C58=1,B58,D57+B58)</f>
        <v>948.0999999999998</v>
      </c>
      <c r="E58" s="4">
        <f t="shared" si="10"/>
        <v>948.0999999999998</v>
      </c>
      <c r="F58" s="4">
        <f t="shared" si="11"/>
        <v>0</v>
      </c>
      <c r="G58" s="4">
        <f t="shared" si="12"/>
        <v>0</v>
      </c>
      <c r="H58" s="4">
        <f t="shared" si="13"/>
        <v>6.4466165413533236</v>
      </c>
    </row>
    <row r="59" spans="1:8" x14ac:dyDescent="0.35">
      <c r="A59" t="s">
        <v>422</v>
      </c>
      <c r="B59" s="4">
        <f>Annual!F9</f>
        <v>948.09999999999991</v>
      </c>
      <c r="C59" s="4">
        <v>1</v>
      </c>
      <c r="D59" s="4">
        <f>IF(C59=1,B59,D58+B59)</f>
        <v>948.09999999999991</v>
      </c>
      <c r="E59" s="4">
        <f t="shared" si="10"/>
        <v>0</v>
      </c>
      <c r="F59" s="4">
        <f t="shared" si="11"/>
        <v>948.09999999999991</v>
      </c>
      <c r="G59" s="4">
        <f t="shared" si="12"/>
        <v>0</v>
      </c>
      <c r="H59" s="4">
        <f t="shared" si="13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Value</vt:lpstr>
      <vt:lpstr>Annual</vt:lpstr>
      <vt:lpstr>HY &amp; Segments</vt:lpstr>
      <vt:lpstr>Inputs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Wilson</cp:lastModifiedBy>
  <dcterms:created xsi:type="dcterms:W3CDTF">2026-03-02T02:03:35Z</dcterms:created>
  <dcterms:modified xsi:type="dcterms:W3CDTF">2026-03-20T00:05:08Z</dcterms:modified>
</cp:coreProperties>
</file>